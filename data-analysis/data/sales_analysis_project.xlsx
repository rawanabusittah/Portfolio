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1.xml" ContentType="application/vnd.openxmlformats-officedocument.spreadsheetml.comments+xml"/>
  <Override PartName="/xl/comments13.xml" ContentType="application/vnd.openxmlformats-officedocument.spreadsheetml.comments+xml"/>
  <Override PartName="/xl/drawings/drawing8.xml" ContentType="application/vnd.openxmlformats-officedocument.drawing+xml"/>
  <Override PartName="/xl/drawings/vmlDrawing7.vml" ContentType="application/vnd.openxmlformats-officedocument.vmlDrawing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3.vml" ContentType="application/vnd.openxmlformats-officedocument.vmlDrawing"/>
  <Override PartName="/xl/drawings/drawing4.xml" ContentType="application/vnd.openxmlformats-officedocument.drawing+xml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_rels/drawing9.xml.rels" ContentType="application/vnd.openxmlformats-package.relationships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فهرس" sheetId="1" state="visible" r:id="rId3"/>
    <sheet name="لوحة المؤشرات" sheetId="2" state="visible" r:id="rId4"/>
    <sheet name="الرؤى والتوصيات" sheetId="3" state="visible" r:id="rId5"/>
    <sheet name="تحليل الزمن" sheetId="4" state="visible" r:id="rId6"/>
    <sheet name="الفئات والمناطق" sheetId="5" state="visible" r:id="rId7"/>
    <sheet name="تحليل المنتجات" sheetId="6" state="visible" r:id="rId8"/>
    <sheet name="تحليل العملاء" sheetId="7" state="visible" r:id="rId9"/>
    <sheet name="الموظفون" sheetId="8" state="visible" r:id="rId10"/>
    <sheet name="الأهداف" sheetId="9" state="visible" r:id="rId11"/>
    <sheet name="الإحصاء والتنبؤ" sheetId="10" state="visible" r:id="rId12"/>
    <sheet name="السيناريوهات" sheetId="11" state="visible" r:id="rId13"/>
    <sheet name="جودة البيانات" sheetId="12" state="visible" r:id="rId14"/>
    <sheet name="البيانات" sheetId="13" state="visible" r:id="rId15"/>
    <sheet name="المنتجات" sheetId="14" state="visible" r:id="rId16"/>
    <sheet name="العملاء" sheetId="15" state="visible" r:id="rId17"/>
  </sheets>
  <definedNames>
    <definedName function="false" hidden="true" localSheetId="14" name="_xlnm._FilterDatabase" vbProcedure="false">العملاء!$A$1:$F$201</definedName>
    <definedName function="false" hidden="true" localSheetId="6" name="_xlnm._FilterDatabase" vbProcedure="false">'تحليل العملاء'!$A$20:$O$220</definedName>
    <definedName function="false" hidden="false" name="c_City" vbProcedure="false">العملاء!$D$2:$D$201</definedName>
    <definedName function="false" hidden="false" name="c_ID" vbProcedure="false">العملاء!$A$2:$A$201</definedName>
    <definedName function="false" hidden="false" name="c_Name" vbProcedure="false">العملاء!$B$2:$B$201</definedName>
    <definedName function="false" hidden="false" name="c_Region" vbProcedure="false">العملاء!$E$2:$E$201</definedName>
    <definedName function="false" hidden="false" name="c_Seg" vbProcedure="false">العملاء!$C$2:$C$201</definedName>
    <definedName function="false" hidden="false" name="d_Cat" vbProcedure="false">البيانات!$H$2:$H$1501</definedName>
    <definedName function="false" hidden="false" name="d_Channel" vbProcedure="false">البيانات!$J$2:$J$1501</definedName>
    <definedName function="false" hidden="false" name="d_Cost" vbProcedure="false">البيانات!$P$2:$P$1501</definedName>
    <definedName function="false" hidden="false" name="d_Cust" vbProcedure="false">البيانات!$C$2:$C$1501</definedName>
    <definedName function="false" hidden="false" name="d_Date" vbProcedure="false">البيانات!$B$2:$B$1501</definedName>
    <definedName function="false" hidden="false" name="d_Disc" vbProcedure="false">البيانات!$M$2:$M$1501</definedName>
    <definedName function="false" hidden="false" name="d_Margin" vbProcedure="false">البيانات!$T$2:$T$1501</definedName>
    <definedName function="false" hidden="false" name="d_Order" vbProcedure="false">البيانات!$A$2:$A$1501</definedName>
    <definedName function="false" hidden="false" name="d_Period" vbProcedure="false">البيانات!$R$2:$R$1501</definedName>
    <definedName function="false" hidden="false" name="d_PID" vbProcedure="false">البيانات!$F$2:$F$1501</definedName>
    <definedName function="false" hidden="false" name="d_Price" vbProcedure="false">البيانات!$L$2:$L$1501</definedName>
    <definedName function="false" hidden="false" name="d_Prod" vbProcedure="false">البيانات!$G$2:$G$1501</definedName>
    <definedName function="false" hidden="false" name="d_Profit" vbProcedure="false">البيانات!$Q$2:$Q$1501</definedName>
    <definedName function="false" hidden="false" name="d_Qtr" vbProcedure="false">البيانات!$S$2:$S$1501</definedName>
    <definedName function="false" hidden="false" name="d_Qty" vbProcedure="false">البيانات!$K$2:$K$1501</definedName>
    <definedName function="false" hidden="false" name="d_Region" vbProcedure="false">البيانات!$E$2:$E$1501</definedName>
    <definedName function="false" hidden="false" name="d_Rep" vbProcedure="false">البيانات!$I$2:$I$1501</definedName>
    <definedName function="false" hidden="false" name="d_Rev" vbProcedure="false">البيانات!$O$2:$O$1501</definedName>
    <definedName function="false" hidden="false" name="d_RevPos" vbProcedure="false">البيانات!$U$2:$U$1501</definedName>
    <definedName function="false" hidden="false" name="d_Status" vbProcedure="false">البيانات!$N$2:$N$1501</definedName>
    <definedName function="false" hidden="false" name="p_Cat" vbProcedure="false">المنتجات!$C$2:$C$25</definedName>
    <definedName function="false" hidden="false" name="p_Cost" vbProcedure="false">المنتجات!$E$2:$E$25</definedName>
    <definedName function="false" hidden="false" name="p_ID" vbProcedure="false">المنتجات!$A$2:$A$25</definedName>
    <definedName function="false" hidden="false" name="p_Name" vbProcedure="false">المنتجات!$B$2:$B$25</definedName>
    <definedName function="false" hidden="false" name="p_Price" vbProcedure="false">المنتجات!$D$2:$D$25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FreeSans"/>
            <family val="2"/>
          </rPr>
          <t xml:space="preserve">أول شهرين: متوسط الأشهر المتاحة حتى تتوفر نافذة من </t>
        </r>
        <r>
          <rPr>
            <sz val="10"/>
            <rFont val="Arial"/>
            <family val="2"/>
          </rPr>
          <t xml:space="preserve">3 أشهر.</t>
        </r>
      </text>
    </comment>
    <comment ref="J4" authorId="0">
      <text>
        <r>
          <rPr>
            <sz val="10"/>
            <rFont val="Arial"/>
            <family val="2"/>
          </rPr>
          <t xml:space="preserve">1.00 = </t>
        </r>
        <r>
          <rPr>
            <sz val="10"/>
            <rFont val="FreeSans"/>
            <family val="2"/>
          </rPr>
          <t xml:space="preserve">متوسط الشهر. أعلى من </t>
        </r>
        <r>
          <rPr>
            <sz val="10"/>
            <rFont val="Arial"/>
            <family val="2"/>
          </rPr>
          <t xml:space="preserve">1.2 = موسم قوي، أقل من 0.9 = موسم ضعيف.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5" authorId="0">
      <text>
        <r>
          <rPr>
            <sz val="10"/>
            <rFont val="FreeSans"/>
            <family val="2"/>
          </rPr>
          <t xml:space="preserve">نجم: إيراد ≥ المتوسط وهامش ≥ هامش الشركة. حجم بلا ربحية: إيراد مرتفع وهامش منخفض. فرصة نمو: هامش جيد وإيراد منخفض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FreeSans"/>
            <family val="2"/>
          </rPr>
          <t xml:space="preserve">أهداف افتراضية لأغراض العرض (مدخلات قابلة للتعديل)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FreeSans"/>
            <family val="2"/>
          </rPr>
          <t xml:space="preserve">افتراض: الهدف السنوي = إجمالي الإيراد الفعلي × </t>
        </r>
        <r>
          <rPr>
            <sz val="10"/>
            <rFont val="Arial"/>
            <family val="2"/>
          </rPr>
          <t xml:space="preserve">1.04 مقرّباً (بيانات وهمية للعرض).</t>
        </r>
      </text>
    </comment>
    <comment ref="B5" authorId="0">
      <text>
        <r>
          <rPr>
            <sz val="10"/>
            <rFont val="FreeSans"/>
            <family val="2"/>
          </rPr>
          <t xml:space="preserve">نسبة التحقيق ≥ هذا الحد وأقل من </t>
        </r>
        <r>
          <rPr>
            <sz val="10"/>
            <rFont val="Arial"/>
            <family val="2"/>
          </rPr>
          <t xml:space="preserve">100% تُصنَّف «قريب».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39" authorId="0">
      <text>
        <r>
          <rPr>
            <sz val="10"/>
            <rFont val="FreeSans"/>
            <family val="2"/>
          </rPr>
          <t xml:space="preserve">التنبؤ الموسمي = اتجاه خطي على السلسلة المنزوعة منها الموسمية × مؤشر موسمية الشهر المقابل. يعتمد على سنة واحدة لذا يُستخدم كمؤشر استرشادي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FreeSans"/>
            <family val="2"/>
          </rPr>
          <t xml:space="preserve">افتراض: المصروفات التشغيلية ≈ </t>
        </r>
        <r>
          <rPr>
            <sz val="10"/>
            <rFont val="Arial"/>
            <family val="2"/>
          </rPr>
          <t xml:space="preserve">12% من الإيراد (رقم وهمي للتوضيح).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FreeSans"/>
            <family val="2"/>
          </rPr>
          <t xml:space="preserve">البيانات وهمية بالكامل ومولّدة لأغراض التدريب. الأعمدة </t>
        </r>
        <r>
          <rPr>
            <sz val="10"/>
            <rFont val="Arial"/>
            <family val="2"/>
          </rPr>
          <t xml:space="preserve">D,E,G,H,L,O:U </t>
        </r>
        <r>
          <rPr>
            <sz val="10"/>
            <rFont val="FreeSans"/>
            <family val="2"/>
          </rPr>
          <t xml:space="preserve">صيغ تلقائية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<sst xmlns="http://schemas.openxmlformats.org/spreadsheetml/2006/main" count="10959" uniqueCount="2386">
  <si>
    <t xml:space="preserve">مشروع تحليل مبيعات — شركة الأفق للتجزئة</t>
  </si>
  <si>
    <t xml:space="preserve">↩ الفهرس</t>
  </si>
  <si>
    <t xml:space="preserve">تحليل شامل لـ 1,500 عملية بيع خلال 12 شهراً — بيانات وهمية بالكامل لأغراض التدريب والعرض</t>
  </si>
  <si>
    <t xml:space="preserve">عدد السجلات</t>
  </si>
  <si>
    <t xml:space="preserve">إجمالي الإيراد (ريال)</t>
  </si>
  <si>
    <t xml:space="preserve">إجمالي الربح (ريال)</t>
  </si>
  <si>
    <t xml:space="preserve">درجة جودة البيانات</t>
  </si>
  <si>
    <t xml:space="preserve">فهرس الأوراق (اضغط على الاسم للانتقال)</t>
  </si>
  <si>
    <t xml:space="preserve">#</t>
  </si>
  <si>
    <t xml:space="preserve">الورقة</t>
  </si>
  <si>
    <t xml:space="preserve">ماذا تجد فيها؟</t>
  </si>
  <si>
    <t xml:space="preserve">أبرز مهارات Excel</t>
  </si>
  <si>
    <t xml:space="preserve">لوحة المؤشرات</t>
  </si>
  <si>
    <t xml:space="preserve">لوحة تفاعلية: 6 مؤشرات رئيسية و4 رسوم تتغير بفلاتر المنطقة/الفئة/القناة</t>
  </si>
  <si>
    <t xml:space="preserve">قوائم منسدلة، SUMIFS/COUNTIFS بمعايير متعددة، بطاقات KPI، رسوم مركّبة</t>
  </si>
  <si>
    <t xml:space="preserve">الرؤى والتوصيات</t>
  </si>
  <si>
    <t xml:space="preserve">12 نتيجة و6 توصيات تُكتب تلقائياً من الأرقام</t>
  </si>
  <si>
    <t xml:space="preserve">نصوص ديناميكية: TEXT، INDEX/MATCH، التجميع بين الأوراق</t>
  </si>
  <si>
    <t xml:space="preserve">تحليل الزمن</t>
  </si>
  <si>
    <t xml:space="preserve">النمو الشهري، المتوسط المتحرك، مؤشر الموسمية، الأرباع، أيام الأسبوع</t>
  </si>
  <si>
    <t xml:space="preserve">EDATE، RANK، SUMPRODUCT+WEEKDAY، Icon Sets، Color Scales، Data Bars</t>
  </si>
  <si>
    <t xml:space="preserve">الفئات والمناطق</t>
  </si>
  <si>
    <t xml:space="preserve">الفئات والمناطق والقنوات + مصفوفة الإيراد وخريطة حرارية للهامش</t>
  </si>
  <si>
    <t xml:space="preserve">جداول محورية بالصيغ، AVERAGEIFS، رسم مُكدّس ودائري</t>
  </si>
  <si>
    <t xml:space="preserve">تحليل المنتجات</t>
  </si>
  <si>
    <t xml:space="preserve">ترتيب المنتجات، تصنيف الأداء، باريتو ABC، المبعثر</t>
  </si>
  <si>
    <t xml:space="preserve">RANK مع كسر التعادل، INDEX/MATCH، رسم باريتو بمحور ثانوي، Scatter</t>
  </si>
  <si>
    <t xml:space="preserve">تحليل العملاء</t>
  </si>
  <si>
    <t xml:space="preserve">تقسيم RFM لـ 200 عميل، أفضل 10 عملاء، حسب النوع</t>
  </si>
  <si>
    <t xml:space="preserve">QUARTILE، IF المتداخلة، SUMPRODUCT(MAX)، فلتر تلقائي</t>
  </si>
  <si>
    <t xml:space="preserve">الموظفون</t>
  </si>
  <si>
    <t xml:space="preserve">أهداف الموظفين، التحقيق، شرائح الحوافز والعمولات</t>
  </si>
  <si>
    <t xml:space="preserve">VLOOKUP التقريبي، مدخلات قابلة للتعديل، رسوم أعمدة</t>
  </si>
  <si>
    <t xml:space="preserve">الأهداف</t>
  </si>
  <si>
    <t xml:space="preserve">خطة شهرية بأوزان موسمية، تحقيق تراكمي، أهداف إقليمية</t>
  </si>
  <si>
    <t xml:space="preserve">إشارات المرور، حالات نصية ملوّنة، تراكمي</t>
  </si>
  <si>
    <t xml:space="preserve">الإحصاء والتنبؤ</t>
  </si>
  <si>
    <t xml:space="preserve">إحصاء وصفي، مدرج تكراري، ارتباط وانحدار، تنبؤ 3 أشهر</t>
  </si>
  <si>
    <t xml:space="preserve">STDEV، SKEW، KURT، CONFIDENCE، CORREL، SLOPE، FORECAST، STEYX</t>
  </si>
  <si>
    <t xml:space="preserve">السيناريوهات</t>
  </si>
  <si>
    <t xml:space="preserve">4 سيناريوهات، جدول حساسية، أثر السيناريو على الفئات</t>
  </si>
  <si>
    <t xml:space="preserve">What-If، INDEX/MATCH للسيناريو المختار، مقياس لوني بنقطة وسط</t>
  </si>
  <si>
    <t xml:space="preserve">جودة البيانات</t>
  </si>
  <si>
    <t xml:space="preserve">12 فحصاً للجودة + تسوية الإيراد بين 8 أوراق</t>
  </si>
  <si>
    <t xml:space="preserve">COUNTIF، SUMPRODUCT، ISNA+MATCH، حالات سليم/مراجعة</t>
  </si>
  <si>
    <t xml:space="preserve">البيانات</t>
  </si>
  <si>
    <t xml:space="preserve">1,500 سطر مبيعات (جدول Excel) بأعمدة محسوبة</t>
  </si>
  <si>
    <t xml:space="preserve">جدول tblSales، أسماء معرّفة، تحقق من البيانات، تجميد، تلوين المرتجعات</t>
  </si>
  <si>
    <t xml:space="preserve">المنتجات</t>
  </si>
  <si>
    <t xml:space="preserve">كتالوج 24 منتجاً بالسعر والتكلفة</t>
  </si>
  <si>
    <t xml:space="preserve">مدخلات زرقاء، Color Scale</t>
  </si>
  <si>
    <t xml:space="preserve">العملاء</t>
  </si>
  <si>
    <t xml:space="preserve">سجل 200 عميل بالنوع والمدينة والمنطقة</t>
  </si>
  <si>
    <t xml:space="preserve">فلتر تلقائي، أسماء معرّفة</t>
  </si>
  <si>
    <t xml:space="preserve">دليل الألوان</t>
  </si>
  <si>
    <t xml:space="preserve">1,250</t>
  </si>
  <si>
    <t xml:space="preserve">خط أزرق + خلفية صفراء = مدخل/افتراض قابل للتعديل</t>
  </si>
  <si>
    <t xml:space="preserve">خط أسود = صيغة محسوبة (لا تكتب فوقها)</t>
  </si>
  <si>
    <t xml:space="preserve">سليم</t>
  </si>
  <si>
    <t xml:space="preserve">أخضر = تحقق/نتيجة جيدة</t>
  </si>
  <si>
    <t xml:space="preserve">مراجعة</t>
  </si>
  <si>
    <t xml:space="preserve">أحمر/برتقالي = تحتاج انتباهاً</t>
  </si>
  <si>
    <t xml:space="preserve">كيف تستخدم المشروع؟</t>
  </si>
  <si>
    <t xml:space="preserve">1) ابدأ من «لوحة المؤشرات» وغيّر الفلاتر الصفراء لترى الأرقام والرسوم تتبدل فوراً.</t>
  </si>
  <si>
    <t xml:space="preserve">2) اقرأ «الرؤى والتوصيات» ثم انتقل لورقة التحليل التي تهمّك للتفاصيل.</t>
  </si>
  <si>
    <t xml:space="preserve">3) جرّب «السيناريوهات»: عدّل التغيّر في السعر والحجم والتكلفة واختر السيناريو من القائمة.</t>
  </si>
  <si>
    <t xml:space="preserve">4) أضف أسطراً جديدة في جدول «البيانات» (الصيغ تمتد تلقائياً)، وعدّل الأسماء المعرّفة إن لزم.</t>
  </si>
  <si>
    <t xml:space="preserve">5) راجع «جودة البيانات» دائماً للتأكد من تطابق الإجماليات.</t>
  </si>
  <si>
    <t xml:space="preserve">ملاحظات</t>
  </si>
  <si>
    <t xml:space="preserve">• كل البيانات وهمية (أسماء، أرقام، أهداف، عمولات) وولّدت بخوارزمية عشوائية ثابتة؛ لا تمثل أي شركة حقيقية.</t>
  </si>
  <si>
    <t xml:space="preserve">• الأهداف والمصروفات التشغيلية افتراضات للعرض وموثّقة بتعليقات على خلاياها (الخلايا الصفراء).</t>
  </si>
  <si>
    <t xml:space="preserve">• لا تستخدم المشروع دوال حديثة (XLOOKUP/FILTER) ليعمل على كل إصدارات Excel 2010 فما فوق.</t>
  </si>
  <si>
    <t xml:space="preserve">↩</t>
  </si>
  <si>
    <t xml:space="preserve">لوحة مؤشرات الأداء — شركة الأفق للتجزئة</t>
  </si>
  <si>
    <t xml:space="preserve">معايير الفلاتر (آلي)</t>
  </si>
  <si>
    <t xml:space="preserve">المنطقة</t>
  </si>
  <si>
    <t xml:space="preserve">الكل</t>
  </si>
  <si>
    <t xml:space="preserve">الفئة</t>
  </si>
  <si>
    <t xml:space="preserve">القناة</t>
  </si>
  <si>
    <t xml:space="preserve">الإيراد الصافي (ريال)</t>
  </si>
  <si>
    <t xml:space="preserve">الربح (ريال)</t>
  </si>
  <si>
    <t xml:space="preserve">الطلبات المكتملة</t>
  </si>
  <si>
    <t xml:space="preserve">الوحدات المباعة</t>
  </si>
  <si>
    <t xml:space="preserve">معدل المرتجعات</t>
  </si>
  <si>
    <t xml:space="preserve">تحقيق الهدف السنوي</t>
  </si>
  <si>
    <t xml:space="preserve">جداول مصدر الرسوم (تتأثر بالفلاتر أعلاه)</t>
  </si>
  <si>
    <t xml:space="preserve">بداية الفترة</t>
  </si>
  <si>
    <t xml:space="preserve">الشهر</t>
  </si>
  <si>
    <t xml:space="preserve">الإيراد</t>
  </si>
  <si>
    <t xml:space="preserve">الربح</t>
  </si>
  <si>
    <t xml:space="preserve">إلكترونيات</t>
  </si>
  <si>
    <t xml:space="preserve">متجر</t>
  </si>
  <si>
    <t xml:space="preserve">أجهزة منزلية</t>
  </si>
  <si>
    <t xml:space="preserve">أونلاين</t>
  </si>
  <si>
    <t xml:space="preserve">أثاث</t>
  </si>
  <si>
    <t xml:space="preserve">جملة</t>
  </si>
  <si>
    <t xml:space="preserve">مستلزمات مكتبية</t>
  </si>
  <si>
    <t xml:space="preserve">رياضة</t>
  </si>
  <si>
    <t xml:space="preserve">عناية شخصية</t>
  </si>
  <si>
    <t xml:space="preserve">الوسطى</t>
  </si>
  <si>
    <t xml:space="preserve">الغربية</t>
  </si>
  <si>
    <t xml:space="preserve">الشرقية</t>
  </si>
  <si>
    <t xml:space="preserve">الجنوبية</t>
  </si>
  <si>
    <t xml:space="preserve">الرؤى والتوصيات (نصوص ديناميكية)</t>
  </si>
  <si>
    <t xml:space="preserve">كل جملة هنا صيغة حيّة؛ تتحدث تلقائياً عند تغيير البيانات أو الافتراضات</t>
  </si>
  <si>
    <t xml:space="preserve">أولاً: أبرز النتائج</t>
  </si>
  <si>
    <t xml:space="preserve">النتيجة</t>
  </si>
  <si>
    <t xml:space="preserve">المصدر</t>
  </si>
  <si>
    <t xml:space="preserve">ثانياً: التوصيات التنفيذية</t>
  </si>
  <si>
    <t xml:space="preserve">التوصية</t>
  </si>
  <si>
    <t xml:space="preserve">تحليل الاتجاه الزمني للمبيعات</t>
  </si>
  <si>
    <t xml:space="preserve">الإيراد الشهري والربع سنوي، النمو، المتوسط المتحرك، مؤشر الموسمية، وأداء أيام الأسبوع</t>
  </si>
  <si>
    <t xml:space="preserve">أولاً: الأداء الشهري</t>
  </si>
  <si>
    <t xml:space="preserve">الإيراد (ريال)</t>
  </si>
  <si>
    <t xml:space="preserve">هامش الربح</t>
  </si>
  <si>
    <t xml:space="preserve">النمو الشهري</t>
  </si>
  <si>
    <t xml:space="preserve">الإيراد التراكمي</t>
  </si>
  <si>
    <t xml:space="preserve">متوسط متحرك 3 أشهر</t>
  </si>
  <si>
    <t xml:space="preserve">مؤشر الموسمية</t>
  </si>
  <si>
    <t xml:space="preserve">ترتيب الشهر</t>
  </si>
  <si>
    <t xml:space="preserve">حصة الشهر</t>
  </si>
  <si>
    <t xml:space="preserve">—</t>
  </si>
  <si>
    <t xml:space="preserve">الإجمالي</t>
  </si>
  <si>
    <t xml:space="preserve">12 شهراً</t>
  </si>
  <si>
    <t xml:space="preserve">ثانياً: الأداء الربع سنوي</t>
  </si>
  <si>
    <t xml:space="preserve">ثالثاً: أيام الأسبوع</t>
  </si>
  <si>
    <t xml:space="preserve">الربع</t>
  </si>
  <si>
    <t xml:space="preserve">النمو عن الربع السابق</t>
  </si>
  <si>
    <t xml:space="preserve">الحصة</t>
  </si>
  <si>
    <t xml:space="preserve">اليوم</t>
  </si>
  <si>
    <t xml:space="preserve">الطلبات</t>
  </si>
  <si>
    <t xml:space="preserve">متوسط قيمة الطلب</t>
  </si>
  <si>
    <t xml:space="preserve">2025-Q4</t>
  </si>
  <si>
    <t xml:space="preserve">الأحد</t>
  </si>
  <si>
    <t xml:space="preserve">2026-Q1</t>
  </si>
  <si>
    <t xml:space="preserve">الاثنين</t>
  </si>
  <si>
    <t xml:space="preserve">2026-Q2</t>
  </si>
  <si>
    <t xml:space="preserve">الثلاثاء</t>
  </si>
  <si>
    <t xml:space="preserve">2026-Q3</t>
  </si>
  <si>
    <t xml:space="preserve">الأربعاء</t>
  </si>
  <si>
    <t xml:space="preserve">الخميس</t>
  </si>
  <si>
    <t xml:space="preserve">الجمعة</t>
  </si>
  <si>
    <t xml:space="preserve">السبت</t>
  </si>
  <si>
    <t xml:space="preserve">تحليل الفئات والمناطق والقنوات</t>
  </si>
  <si>
    <t xml:space="preserve">جداول محورية مبنية بالصيغ (SUMIFS) مع مصفوفة المنطقة × الفئة وخريطة حرارية للهوامش</t>
  </si>
  <si>
    <t xml:space="preserve">أولاً: حسب الفئة</t>
  </si>
  <si>
    <t xml:space="preserve">متوسط الخصم</t>
  </si>
  <si>
    <t xml:space="preserve">الترتيب</t>
  </si>
  <si>
    <t xml:space="preserve">نسبة المرتجعات</t>
  </si>
  <si>
    <t xml:space="preserve">ثانياً: حسب المنطقة</t>
  </si>
  <si>
    <t xml:space="preserve">ثالثاً: حسب القناة</t>
  </si>
  <si>
    <t xml:space="preserve">رابعاً: مصفوفة الإيراد — المنطقة × الفئة</t>
  </si>
  <si>
    <t xml:space="preserve">خامساً: خريطة حرارية لهامش الربح — المنطقة × الفئة</t>
  </si>
  <si>
    <t xml:space="preserve">تحليل المنتجات وباريتو (ABC)</t>
  </si>
  <si>
    <t xml:space="preserve">ترتيب المنتجات، تصنيف الأداء (الإيراد × الهامش)، وقاعدة 80/20</t>
  </si>
  <si>
    <t xml:space="preserve">أداء المنتجات</t>
  </si>
  <si>
    <t xml:space="preserve">الترتيب التنازلي وتحليل باريتو</t>
  </si>
  <si>
    <t xml:space="preserve">رقم المنتج</t>
  </si>
  <si>
    <t xml:space="preserve">المنتج</t>
  </si>
  <si>
    <t xml:space="preserve">الوحدات</t>
  </si>
  <si>
    <t xml:space="preserve">تصنيف الأداء</t>
  </si>
  <si>
    <t xml:space="preserve">التراكمي</t>
  </si>
  <si>
    <t xml:space="preserve">تصنيف ABC</t>
  </si>
  <si>
    <t xml:space="preserve">الهامش</t>
  </si>
  <si>
    <t xml:space="preserve">P001</t>
  </si>
  <si>
    <t xml:space="preserve">P002</t>
  </si>
  <si>
    <t xml:space="preserve">P003</t>
  </si>
  <si>
    <t xml:space="preserve">P004</t>
  </si>
  <si>
    <t xml:space="preserve">P005</t>
  </si>
  <si>
    <t xml:space="preserve">P006</t>
  </si>
  <si>
    <t xml:space="preserve">P007</t>
  </si>
  <si>
    <t xml:space="preserve">P008</t>
  </si>
  <si>
    <t xml:space="preserve">P009</t>
  </si>
  <si>
    <t xml:space="preserve">P010</t>
  </si>
  <si>
    <t xml:space="preserve">P011</t>
  </si>
  <si>
    <t xml:space="preserve">P012</t>
  </si>
  <si>
    <t xml:space="preserve">P013</t>
  </si>
  <si>
    <t xml:space="preserve">P014</t>
  </si>
  <si>
    <t xml:space="preserve">P015</t>
  </si>
  <si>
    <t xml:space="preserve">P016</t>
  </si>
  <si>
    <t xml:space="preserve">P017</t>
  </si>
  <si>
    <t xml:space="preserve">P018</t>
  </si>
  <si>
    <t xml:space="preserve">P019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</si>
  <si>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</si>
  <si>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</si>
  <si>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</si>
  <si>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</si>
  <si>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</si>
  <si>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ملخص تصنيف ABC</t>
  </si>
  <si>
    <t xml:space="preserve">التصنيف</t>
  </si>
  <si>
    <t xml:space="preserve">عدد المنتجات</t>
  </si>
  <si>
    <t xml:space="preserve">A</t>
  </si>
  <si>
    <t xml:space="preserve">B</t>
  </si>
  <si>
    <t xml:space="preserve">C</t>
  </si>
  <si>
    <t xml:space="preserve">تحليل العملاء وشرائح RFM</t>
  </si>
  <si>
    <t xml:space="preserve">الحداثة (Recency) × التكرار (Frequency) × القيمة (Monetary) مع ترتيب أفضل العملاء</t>
  </si>
  <si>
    <t xml:space="preserve">تاريخ المرجع</t>
  </si>
  <si>
    <t xml:space="preserve">حدود الأرباع (تُحسب آلياً)</t>
  </si>
  <si>
    <t xml:space="preserve">أفضل 10 عملاء</t>
  </si>
  <si>
    <t xml:space="preserve">حسب نوع العميل</t>
  </si>
  <si>
    <t xml:space="preserve">المقياس</t>
  </si>
  <si>
    <t xml:space="preserve">الربع الأول (25%)</t>
  </si>
  <si>
    <t xml:space="preserve">الوسيط</t>
  </si>
  <si>
    <t xml:space="preserve">الربع الثالث (75%)</t>
  </si>
  <si>
    <t xml:space="preserve">العميل</t>
  </si>
  <si>
    <t xml:space="preserve">الشريحة</t>
  </si>
  <si>
    <t xml:space="preserve">النوع</t>
  </si>
  <si>
    <t xml:space="preserve">عدد العملاء</t>
  </si>
  <si>
    <t xml:space="preserve">الحداثة (أيام)</t>
  </si>
  <si>
    <t xml:space="preserve">أفراد</t>
  </si>
  <si>
    <t xml:space="preserve">التكرار (طلبات)</t>
  </si>
  <si>
    <t xml:space="preserve">شركات صغيرة</t>
  </si>
  <si>
    <t xml:space="preserve">القيمة (ريال)</t>
  </si>
  <si>
    <t xml:space="preserve">مؤسسات</t>
  </si>
  <si>
    <t xml:space="preserve">ملخص شرائح RFM</t>
  </si>
  <si>
    <t xml:space="preserve">حصة الإيراد</t>
  </si>
  <si>
    <t xml:space="preserve">متوسط الإيراد/عميل</t>
  </si>
  <si>
    <t xml:space="preserve">أبطال</t>
  </si>
  <si>
    <t xml:space="preserve">أوفياء</t>
  </si>
  <si>
    <t xml:space="preserve">واعدون</t>
  </si>
  <si>
    <t xml:space="preserve">معرضون للفقد</t>
  </si>
  <si>
    <t xml:space="preserve">نائمون</t>
  </si>
  <si>
    <t xml:space="preserve">تفاصيل العملاء</t>
  </si>
  <si>
    <t xml:space="preserve">رقم العميل</t>
  </si>
  <si>
    <t xml:space="preserve">الاسم</t>
  </si>
  <si>
    <t xml:space="preserve">آخر شراء</t>
  </si>
  <si>
    <t xml:space="preserve">الحداثة (يوم)</t>
  </si>
  <si>
    <t xml:space="preserve">R</t>
  </si>
  <si>
    <t xml:space="preserve">F</t>
  </si>
  <si>
    <t xml:space="preserve">M</t>
  </si>
  <si>
    <t xml:space="preserve">المجموع</t>
  </si>
  <si>
    <t xml:space="preserve">ترتيب الإيراد</t>
  </si>
  <si>
    <t xml:space="preserve">C001</t>
  </si>
  <si>
    <t xml:space="preserve">C002</t>
  </si>
  <si>
    <t xml:space="preserve">C003</t>
  </si>
  <si>
    <t xml:space="preserve">C004</t>
  </si>
  <si>
    <t xml:space="preserve">C005</t>
  </si>
  <si>
    <t xml:space="preserve">C006</t>
  </si>
  <si>
    <t xml:space="preserve">C007</t>
  </si>
  <si>
    <t xml:space="preserve">C008</t>
  </si>
  <si>
    <t xml:space="preserve">C009</t>
  </si>
  <si>
    <t xml:space="preserve">C010</t>
  </si>
  <si>
    <t xml:space="preserve">C011</t>
  </si>
  <si>
    <t xml:space="preserve">C012</t>
  </si>
  <si>
    <t xml:space="preserve">C013</t>
  </si>
  <si>
    <t xml:space="preserve">C014</t>
  </si>
  <si>
    <t xml:space="preserve">C015</t>
  </si>
  <si>
    <t xml:space="preserve">C016</t>
  </si>
  <si>
    <t xml:space="preserve">C017</t>
  </si>
  <si>
    <t xml:space="preserve">C018</t>
  </si>
  <si>
    <t xml:space="preserve">C019</t>
  </si>
  <si>
    <t xml:space="preserve">C020</t>
  </si>
  <si>
    <t xml:space="preserve">C021</t>
  </si>
  <si>
    <t xml:space="preserve">C022</t>
  </si>
  <si>
    <t xml:space="preserve">C023</t>
  </si>
  <si>
    <t xml:space="preserve">C024</t>
  </si>
  <si>
    <t xml:space="preserve">C025</t>
  </si>
  <si>
    <t xml:space="preserve">C026</t>
  </si>
  <si>
    <t xml:space="preserve">C027</t>
  </si>
  <si>
    <t xml:space="preserve">C028</t>
  </si>
  <si>
    <t xml:space="preserve">C029</t>
  </si>
  <si>
    <t xml:space="preserve">C030</t>
  </si>
  <si>
    <t xml:space="preserve">C031</t>
  </si>
  <si>
    <t xml:space="preserve">C032</t>
  </si>
  <si>
    <t xml:space="preserve">C033</t>
  </si>
  <si>
    <t xml:space="preserve">C034</t>
  </si>
  <si>
    <t xml:space="preserve">C035</t>
  </si>
  <si>
    <t xml:space="preserve">C036</t>
  </si>
  <si>
    <t xml:space="preserve">C037</t>
  </si>
  <si>
    <t xml:space="preserve">C038</t>
  </si>
  <si>
    <t xml:space="preserve">C039</t>
  </si>
  <si>
    <t xml:space="preserve">C040</t>
  </si>
  <si>
    <t xml:space="preserve">C041</t>
  </si>
  <si>
    <t xml:space="preserve">C042</t>
  </si>
  <si>
    <t xml:space="preserve">C043</t>
  </si>
  <si>
    <t xml:space="preserve">C044</t>
  </si>
  <si>
    <t xml:space="preserve">C045</t>
  </si>
  <si>
    <t xml:space="preserve">C046</t>
  </si>
  <si>
    <t xml:space="preserve">C047</t>
  </si>
  <si>
    <t xml:space="preserve">C048</t>
  </si>
  <si>
    <t xml:space="preserve">C049</t>
  </si>
  <si>
    <t xml:space="preserve">C050</t>
  </si>
  <si>
    <t xml:space="preserve">C051</t>
  </si>
  <si>
    <t xml:space="preserve">C052</t>
  </si>
  <si>
    <t xml:space="preserve">C053</t>
  </si>
  <si>
    <t xml:space="preserve">C054</t>
  </si>
  <si>
    <t xml:space="preserve">C055</t>
  </si>
  <si>
    <t xml:space="preserve">C056</t>
  </si>
  <si>
    <t xml:space="preserve">C057</t>
  </si>
  <si>
    <t xml:space="preserve">C058</t>
  </si>
  <si>
    <t xml:space="preserve">C059</t>
  </si>
  <si>
    <t xml:space="preserve">C060</t>
  </si>
  <si>
    <t xml:space="preserve">C061</t>
  </si>
  <si>
    <t xml:space="preserve">C062</t>
  </si>
  <si>
    <t xml:space="preserve">C063</t>
  </si>
  <si>
    <t xml:space="preserve">C064</t>
  </si>
  <si>
    <t xml:space="preserve">C065</t>
  </si>
  <si>
    <t xml:space="preserve">C066</t>
  </si>
  <si>
    <t xml:space="preserve">C067</t>
  </si>
  <si>
    <t xml:space="preserve">C068</t>
  </si>
  <si>
    <t xml:space="preserve">C069</t>
  </si>
  <si>
    <t xml:space="preserve">C070</t>
  </si>
  <si>
    <t xml:space="preserve">C071</t>
  </si>
  <si>
    <t xml:space="preserve">C072</t>
  </si>
  <si>
    <t xml:space="preserve">C073</t>
  </si>
  <si>
    <t xml:space="preserve">C074</t>
  </si>
  <si>
    <t xml:space="preserve">C075</t>
  </si>
  <si>
    <t xml:space="preserve">C076</t>
  </si>
  <si>
    <t xml:space="preserve">C077</t>
  </si>
  <si>
    <t xml:space="preserve">C078</t>
  </si>
  <si>
    <t xml:space="preserve">C079</t>
  </si>
  <si>
    <t xml:space="preserve">C080</t>
  </si>
  <si>
    <t xml:space="preserve">C081</t>
  </si>
  <si>
    <t xml:space="preserve">C082</t>
  </si>
  <si>
    <t xml:space="preserve">C083</t>
  </si>
  <si>
    <t xml:space="preserve">C084</t>
  </si>
  <si>
    <t xml:space="preserve">C085</t>
  </si>
  <si>
    <t xml:space="preserve">C086</t>
  </si>
  <si>
    <t xml:space="preserve">C087</t>
  </si>
  <si>
    <t xml:space="preserve">C088</t>
  </si>
  <si>
    <t xml:space="preserve">C089</t>
  </si>
  <si>
    <t xml:space="preserve">C090</t>
  </si>
  <si>
    <t xml:space="preserve">C091</t>
  </si>
  <si>
    <t xml:space="preserve">C092</t>
  </si>
  <si>
    <t xml:space="preserve">C093</t>
  </si>
  <si>
    <t xml:space="preserve">C094</t>
  </si>
  <si>
    <t xml:space="preserve">C095</t>
  </si>
  <si>
    <t xml:space="preserve">C096</t>
  </si>
  <si>
    <t xml:space="preserve">C097</t>
  </si>
  <si>
    <t xml:space="preserve">C098</t>
  </si>
  <si>
    <t xml:space="preserve">C099</t>
  </si>
  <si>
    <t xml:space="preserve">C100</t>
  </si>
  <si>
    <t xml:space="preserve">C101</t>
  </si>
  <si>
    <t xml:space="preserve">C102</t>
  </si>
  <si>
    <t xml:space="preserve">C103</t>
  </si>
  <si>
    <t xml:space="preserve">C104</t>
  </si>
  <si>
    <t xml:space="preserve">C105</t>
  </si>
  <si>
    <t xml:space="preserve">C106</t>
  </si>
  <si>
    <t xml:space="preserve">C107</t>
  </si>
  <si>
    <t xml:space="preserve">C108</t>
  </si>
  <si>
    <t xml:space="preserve">C109</t>
  </si>
  <si>
    <t xml:space="preserve">C110</t>
  </si>
  <si>
    <t xml:space="preserve">C111</t>
  </si>
  <si>
    <t xml:space="preserve">C112</t>
  </si>
  <si>
    <t xml:space="preserve">C113</t>
  </si>
  <si>
    <t xml:space="preserve">C114</t>
  </si>
  <si>
    <t xml:space="preserve">C115</t>
  </si>
  <si>
    <t xml:space="preserve">C116</t>
  </si>
  <si>
    <t xml:space="preserve">C117</t>
  </si>
  <si>
    <t xml:space="preserve">C118</t>
  </si>
  <si>
    <t xml:space="preserve">C119</t>
  </si>
  <si>
    <t xml:space="preserve">C120</t>
  </si>
  <si>
    <t xml:space="preserve">C121</t>
  </si>
  <si>
    <t xml:space="preserve">C122</t>
  </si>
  <si>
    <t xml:space="preserve">C123</t>
  </si>
  <si>
    <t xml:space="preserve">C124</t>
  </si>
  <si>
    <t xml:space="preserve">C125</t>
  </si>
  <si>
    <t xml:space="preserve">C126</t>
  </si>
  <si>
    <t xml:space="preserve">C127</t>
  </si>
  <si>
    <t xml:space="preserve">C128</t>
  </si>
  <si>
    <t xml:space="preserve">C129</t>
  </si>
  <si>
    <t xml:space="preserve">C130</t>
  </si>
  <si>
    <t xml:space="preserve">C131</t>
  </si>
  <si>
    <t xml:space="preserve">C132</t>
  </si>
  <si>
    <t xml:space="preserve">C133</t>
  </si>
  <si>
    <t xml:space="preserve">C134</t>
  </si>
  <si>
    <t xml:space="preserve">C135</t>
  </si>
  <si>
    <t xml:space="preserve">C136</t>
  </si>
  <si>
    <t xml:space="preserve">C137</t>
  </si>
  <si>
    <t xml:space="preserve">C138</t>
  </si>
  <si>
    <t xml:space="preserve">C139</t>
  </si>
  <si>
    <t xml:space="preserve">C140</t>
  </si>
  <si>
    <t xml:space="preserve">C141</t>
  </si>
  <si>
    <t xml:space="preserve">C142</t>
  </si>
  <si>
    <t xml:space="preserve">C143</t>
  </si>
  <si>
    <t xml:space="preserve">C144</t>
  </si>
  <si>
    <t xml:space="preserve">C145</t>
  </si>
  <si>
    <t xml:space="preserve">C146</t>
  </si>
  <si>
    <t xml:space="preserve">C147</t>
  </si>
  <si>
    <t xml:space="preserve">C148</t>
  </si>
  <si>
    <t xml:space="preserve">C149</t>
  </si>
  <si>
    <t xml:space="preserve">C150</t>
  </si>
  <si>
    <t xml:space="preserve">C151</t>
  </si>
  <si>
    <t xml:space="preserve">C152</t>
  </si>
  <si>
    <t xml:space="preserve">C153</t>
  </si>
  <si>
    <t xml:space="preserve">C154</t>
  </si>
  <si>
    <t xml:space="preserve">C155</t>
  </si>
  <si>
    <t xml:space="preserve">C156</t>
  </si>
  <si>
    <t xml:space="preserve">C157</t>
  </si>
  <si>
    <t xml:space="preserve">C158</t>
  </si>
  <si>
    <t xml:space="preserve">C159</t>
  </si>
  <si>
    <t xml:space="preserve">C160</t>
  </si>
  <si>
    <t xml:space="preserve">C161</t>
  </si>
  <si>
    <t xml:space="preserve">C162</t>
  </si>
  <si>
    <t xml:space="preserve">C163</t>
  </si>
  <si>
    <t xml:space="preserve">C164</t>
  </si>
  <si>
    <t xml:space="preserve">C165</t>
  </si>
  <si>
    <t xml:space="preserve">C166</t>
  </si>
  <si>
    <t xml:space="preserve">C167</t>
  </si>
  <si>
    <t xml:space="preserve">C168</t>
  </si>
  <si>
    <t xml:space="preserve">C169</t>
  </si>
  <si>
    <t xml:space="preserve">C170</t>
  </si>
  <si>
    <t xml:space="preserve">C171</t>
  </si>
  <si>
    <t xml:space="preserve">C172</t>
  </si>
  <si>
    <t xml:space="preserve">C173</t>
  </si>
  <si>
    <t xml:space="preserve">C174</t>
  </si>
  <si>
    <t xml:space="preserve">C175</t>
  </si>
  <si>
    <t xml:space="preserve">C176</t>
  </si>
  <si>
    <t xml:space="preserve">C177</t>
  </si>
  <si>
    <t xml:space="preserve">C178</t>
  </si>
  <si>
    <t xml:space="preserve">C179</t>
  </si>
  <si>
    <t xml:space="preserve">C180</t>
  </si>
  <si>
    <t xml:space="preserve">C181</t>
  </si>
  <si>
    <t xml:space="preserve">C182</t>
  </si>
  <si>
    <t xml:space="preserve">C183</t>
  </si>
  <si>
    <t xml:space="preserve">C184</t>
  </si>
  <si>
    <t xml:space="preserve">C185</t>
  </si>
  <si>
    <t xml:space="preserve">C186</t>
  </si>
  <si>
    <t xml:space="preserve">C187</t>
  </si>
  <si>
    <t xml:space="preserve">C188</t>
  </si>
  <si>
    <t xml:space="preserve">C189</t>
  </si>
  <si>
    <t xml:space="preserve">C190</t>
  </si>
  <si>
    <t xml:space="preserve">C191</t>
  </si>
  <si>
    <t xml:space="preserve">C192</t>
  </si>
  <si>
    <t xml:space="preserve">C193</t>
  </si>
  <si>
    <t xml:space="preserve">C194</t>
  </si>
  <si>
    <t xml:space="preserve">C195</t>
  </si>
  <si>
    <t xml:space="preserve">C196</t>
  </si>
  <si>
    <t xml:space="preserve">C197</t>
  </si>
  <si>
    <t xml:space="preserve">C198</t>
  </si>
  <si>
    <t xml:space="preserve">C199</t>
  </si>
  <si>
    <t xml:space="preserve">C200</t>
  </si>
  <si>
    <t xml:space="preserve">أداء فريق المبيعات والعمولات</t>
  </si>
  <si>
    <t xml:space="preserve">تحقيق الأهداف الفردية، شرائح الحوافز، وحساب العمولة بالبحث التقريبي (VLOOKUP)</t>
  </si>
  <si>
    <t xml:space="preserve">الرقم</t>
  </si>
  <si>
    <t xml:space="preserve">الموظف</t>
  </si>
  <si>
    <t xml:space="preserve">الهدف السنوي (ريال)</t>
  </si>
  <si>
    <t xml:space="preserve">الإيراد الفعلي</t>
  </si>
  <si>
    <t xml:space="preserve">نسبة التحقيق</t>
  </si>
  <si>
    <t xml:space="preserve">نسبة العمولة</t>
  </si>
  <si>
    <t xml:space="preserve">العمولة (ريال)</t>
  </si>
  <si>
    <t xml:space="preserve">حد التحقيق (من)</t>
  </si>
  <si>
    <t xml:space="preserve">R01</t>
  </si>
  <si>
    <t xml:space="preserve">عبدالرحمن السالم</t>
  </si>
  <si>
    <t xml:space="preserve">تحت التوقعات</t>
  </si>
  <si>
    <t xml:space="preserve">R02</t>
  </si>
  <si>
    <t xml:space="preserve">منصور الراشد</t>
  </si>
  <si>
    <t xml:space="preserve">برونزي</t>
  </si>
  <si>
    <t xml:space="preserve">R03</t>
  </si>
  <si>
    <t xml:space="preserve">هيفاء الحمد</t>
  </si>
  <si>
    <t xml:space="preserve">فضي</t>
  </si>
  <si>
    <t xml:space="preserve">R04</t>
  </si>
  <si>
    <t xml:space="preserve">بدر الفهد</t>
  </si>
  <si>
    <t xml:space="preserve">ذهبي</t>
  </si>
  <si>
    <t xml:space="preserve">R05</t>
  </si>
  <si>
    <t xml:space="preserve">ماجد النعيمي</t>
  </si>
  <si>
    <t xml:space="preserve">بلاتيني</t>
  </si>
  <si>
    <t xml:space="preserve">R06</t>
  </si>
  <si>
    <t xml:space="preserve">لجين القاسم</t>
  </si>
  <si>
    <t xml:space="preserve">جدول العمولات: أعدّل الحدود والنسب وستتحدث كل الحسابات</t>
  </si>
  <si>
    <t xml:space="preserve">R07</t>
  </si>
  <si>
    <t xml:space="preserve">رائد العمري</t>
  </si>
  <si>
    <t xml:space="preserve">R08</t>
  </si>
  <si>
    <t xml:space="preserve">شهد الكعبي</t>
  </si>
  <si>
    <t xml:space="preserve">R09</t>
  </si>
  <si>
    <t xml:space="preserve">وليد الصالح</t>
  </si>
  <si>
    <t xml:space="preserve">R10</t>
  </si>
  <si>
    <t xml:space="preserve">أروى الجبر</t>
  </si>
  <si>
    <t xml:space="preserve">الأهداف مقابل الفعلي</t>
  </si>
  <si>
    <t xml:space="preserve">خطة الإيراد الشهرية بأوزان موسمية، ونسب التحقيق التراكمية والإقليمية مع إشارات المرور</t>
  </si>
  <si>
    <t xml:space="preserve">حد «قريب من الهدف»</t>
  </si>
  <si>
    <t xml:space="preserve">أولاً: الخطة الشهرية</t>
  </si>
  <si>
    <t xml:space="preserve">وزن الموسم</t>
  </si>
  <si>
    <t xml:space="preserve">الهدف (ريال)</t>
  </si>
  <si>
    <t xml:space="preserve">الفعلي (ريال)</t>
  </si>
  <si>
    <t xml:space="preserve">الفرق</t>
  </si>
  <si>
    <t xml:space="preserve">الحالة</t>
  </si>
  <si>
    <t xml:space="preserve">الهدف التراكمي</t>
  </si>
  <si>
    <t xml:space="preserve">الفعلي التراكمي</t>
  </si>
  <si>
    <t xml:space="preserve">التحقيق التراكمي</t>
  </si>
  <si>
    <t xml:space="preserve">ثانياً: الأهداف الإقليمية</t>
  </si>
  <si>
    <t xml:space="preserve">الإحصاء الوصفي، الارتباط، والتنبؤ</t>
  </si>
  <si>
    <t xml:space="preserve">قيمة الطلب: مقاييس التمركز والتشتت والشواذ، علاقة الخصم بالهامش، وتنبؤ الأشهر الثلاثة القادمة</t>
  </si>
  <si>
    <t xml:space="preserve">أولاً: الإحصاء الوصفي لقيمة الطلب المكتمل</t>
  </si>
  <si>
    <t xml:space="preserve">المدرج التكراري لقيمة الطلب</t>
  </si>
  <si>
    <t xml:space="preserve">مستوى الدلالة α</t>
  </si>
  <si>
    <t xml:space="preserve">عرض الفئة (ريال)</t>
  </si>
  <si>
    <t xml:space="preserve">القيمة</t>
  </si>
  <si>
    <t xml:space="preserve">المعنى</t>
  </si>
  <si>
    <t xml:space="preserve">من</t>
  </si>
  <si>
    <t xml:space="preserve">إلى</t>
  </si>
  <si>
    <t xml:space="preserve">التكرار</t>
  </si>
  <si>
    <t xml:space="preserve">النسبة</t>
  </si>
  <si>
    <t xml:space="preserve">عدد الطلبات المكتملة</t>
  </si>
  <si>
    <t xml:space="preserve">حجم العينة المستخدمة</t>
  </si>
  <si>
    <t xml:space="preserve">المتوسط</t>
  </si>
  <si>
    <t xml:space="preserve">متوسط قيمة الطلب بالريال</t>
  </si>
  <si>
    <t xml:space="preserve">القيمة التي يقع نصف الطلبات تحتها؛ أقل من المتوسط يعني التواءً لليمين</t>
  </si>
  <si>
    <t xml:space="preserve">الانحراف المعياري</t>
  </si>
  <si>
    <t xml:space="preserve">مدى تشتت قيم الطلبات حول المتوسط</t>
  </si>
  <si>
    <t xml:space="preserve">التباين</t>
  </si>
  <si>
    <t xml:space="preserve">مربع الانحراف المعياري</t>
  </si>
  <si>
    <t xml:space="preserve">معامل الاختلاف</t>
  </si>
  <si>
    <t xml:space="preserve">التشتت النسبي؛ أعلى من 100% = تباين كبير جداً</t>
  </si>
  <si>
    <t xml:space="preserve">الأدنى</t>
  </si>
  <si>
    <t xml:space="preserve">أصغر طلب</t>
  </si>
  <si>
    <t xml:space="preserve">الأعلى</t>
  </si>
  <si>
    <t xml:space="preserve">أكبر طلب</t>
  </si>
  <si>
    <t xml:space="preserve">المدى</t>
  </si>
  <si>
    <t xml:space="preserve">الفرق بين الأكبر والأصغر</t>
  </si>
  <si>
    <t xml:space="preserve">الربع الأول Q1</t>
  </si>
  <si>
    <t xml:space="preserve">25% من الطلبات أقل من هذه القيمة</t>
  </si>
  <si>
    <t xml:space="preserve">الربع الثالث Q3</t>
  </si>
  <si>
    <t xml:space="preserve">75% من الطلبات أقل من هذه القيمة</t>
  </si>
  <si>
    <t xml:space="preserve">المدى الربعي IQR</t>
  </si>
  <si>
    <t xml:space="preserve">عرض النصف الأوسط من البيانات</t>
  </si>
  <si>
    <t xml:space="preserve">الالتواء</t>
  </si>
  <si>
    <t xml:space="preserve">موجب = ذيل طويل نحو الطلبات الكبيرة</t>
  </si>
  <si>
    <t xml:space="preserve">التفلطح</t>
  </si>
  <si>
    <t xml:space="preserve">موجب = ذيول ثقيلة وقيم متطرفة أكثر من التوزيع الطبيعي</t>
  </si>
  <si>
    <t xml:space="preserve">هامش الثقة للمتوسط</t>
  </si>
  <si>
    <t xml:space="preserve">نصف عرض مجال الثقة (حسب α)</t>
  </si>
  <si>
    <t xml:space="preserve">الحد الأدنى لمجال الثقة</t>
  </si>
  <si>
    <t xml:space="preserve">المتوسط − هامش الثقة</t>
  </si>
  <si>
    <t xml:space="preserve">الحد الأعلى لمجال الثقة</t>
  </si>
  <si>
    <t xml:space="preserve">المتوسط + هامش الثقة</t>
  </si>
  <si>
    <t xml:space="preserve">حد القيم الشاذة العلوي</t>
  </si>
  <si>
    <t xml:space="preserve">Q3 + 1.5 × IQR (قاعدة تيوكي)</t>
  </si>
  <si>
    <t xml:space="preserve">عدد القيم الشاذة</t>
  </si>
  <si>
    <t xml:space="preserve">طلبات تتجاوز الحد العلوي</t>
  </si>
  <si>
    <t xml:space="preserve">نسبة القيم الشاذة</t>
  </si>
  <si>
    <t xml:space="preserve">حصة الشواذ من الطلبات</t>
  </si>
  <si>
    <t xml:space="preserve">ثانياً: الارتباط والانحدار</t>
  </si>
  <si>
    <t xml:space="preserve">المؤشر</t>
  </si>
  <si>
    <t xml:space="preserve">التفسير</t>
  </si>
  <si>
    <t xml:space="preserve">ارتباط الخصم بهامش الربح</t>
  </si>
  <si>
    <t xml:space="preserve">ميل الانحدار (الهامش لكل وحدة خصم)</t>
  </si>
  <si>
    <t xml:space="preserve">تغيّر الهامش عند زيادة الخصم بمقدار 100% (اضرب في 0.1 لكل 10 نقاط)</t>
  </si>
  <si>
    <t xml:space="preserve">المقطع</t>
  </si>
  <si>
    <t xml:space="preserve">الهامش المتوقع بدون خصم</t>
  </si>
  <si>
    <t xml:space="preserve">معامل التحديد R²</t>
  </si>
  <si>
    <t xml:space="preserve">نسبة تباين الهامش التي يفسرها الخصم</t>
  </si>
  <si>
    <t xml:space="preserve">ارتباط الكمية بقيمة الطلب</t>
  </si>
  <si>
    <t xml:space="preserve">ارتباط سعر الوحدة بالكمية</t>
  </si>
  <si>
    <t xml:space="preserve">ثالثاً: التنبؤ بالإيراد (اتجاه خطي + تعديل موسمي)</t>
  </si>
  <si>
    <t xml:space="preserve">الفعلي</t>
  </si>
  <si>
    <t xml:space="preserve">تنبؤ خطي</t>
  </si>
  <si>
    <t xml:space="preserve">الحد الأدنى</t>
  </si>
  <si>
    <t xml:space="preserve">الحد الأعلى</t>
  </si>
  <si>
    <t xml:space="preserve">الفعلي بعد إزالة الموسمية</t>
  </si>
  <si>
    <t xml:space="preserve">تنبؤ موسمي</t>
  </si>
  <si>
    <t xml:space="preserve">مؤشرات نموذج التنبؤ</t>
  </si>
  <si>
    <t xml:space="preserve">الخطأ المعياري للتقدير (STEYX)</t>
  </si>
  <si>
    <t xml:space="preserve">ميل الاتجاه الشهري (ريال/شهر)</t>
  </si>
  <si>
    <t xml:space="preserve">R² للاتجاه الخطي</t>
  </si>
  <si>
    <t xml:space="preserve">إجمالي التنبؤ الموسمي للأشهر الثلاثة القادمة</t>
  </si>
  <si>
    <t xml:space="preserve">إجمالي التنبؤ الخطي للأشهر الثلاثة القادمة</t>
  </si>
  <si>
    <t xml:space="preserve">تحليل السيناريوهات والحساسية (What-If)</t>
  </si>
  <si>
    <t xml:space="preserve">غيّر الخلايا الصفراء لترى أثر السعر والحجم والتكلفة على صافي الربح</t>
  </si>
  <si>
    <t xml:space="preserve">أولاً: مدخلات السيناريوهات</t>
  </si>
  <si>
    <t xml:space="preserve">العامل</t>
  </si>
  <si>
    <t xml:space="preserve">أساسي</t>
  </si>
  <si>
    <t xml:space="preserve">متفائل</t>
  </si>
  <si>
    <t xml:space="preserve">متشائم</t>
  </si>
  <si>
    <t xml:space="preserve">مخصص</t>
  </si>
  <si>
    <t xml:space="preserve">تغيّر سعر البيع</t>
  </si>
  <si>
    <t xml:space="preserve">تغيّر حجم المبيعات</t>
  </si>
  <si>
    <t xml:space="preserve">تغيّر تكلفة الوحدة</t>
  </si>
  <si>
    <t xml:space="preserve">تغيّر المصروفات التشغيلية</t>
  </si>
  <si>
    <t xml:space="preserve">الإيراد الأساسي (ريال)</t>
  </si>
  <si>
    <t xml:space="preserve">تكلفة المبيعات الأساسية (ريال)</t>
  </si>
  <si>
    <t xml:space="preserve">المصروفات التشغيلية الأساسية (ريال)</t>
  </si>
  <si>
    <t xml:space="preserve">ثانياً: نتائج السيناريوهات</t>
  </si>
  <si>
    <t xml:space="preserve">البند</t>
  </si>
  <si>
    <t xml:space="preserve">تكلفة المبيعات</t>
  </si>
  <si>
    <t xml:space="preserve">مجمل الربح</t>
  </si>
  <si>
    <t xml:space="preserve">هامش مجمل الربح</t>
  </si>
  <si>
    <t xml:space="preserve">المصروفات التشغيلية</t>
  </si>
  <si>
    <t xml:space="preserve">صافي الربح</t>
  </si>
  <si>
    <t xml:space="preserve">هامش صافي الربح</t>
  </si>
  <si>
    <t xml:space="preserve">التغيّر في صافي الربح عن الأساسي</t>
  </si>
  <si>
    <t xml:space="preserve">نسبة التغيّر</t>
  </si>
  <si>
    <t xml:space="preserve">ثالثاً: جدول حساسية صافي الربح (السعر ↓ × الحجم →)</t>
  </si>
  <si>
    <t xml:space="preserve">السعر ↓ / الحجم →</t>
  </si>
  <si>
    <t xml:space="preserve">رابعاً: أثر السيناريو المختار على الفئات</t>
  </si>
  <si>
    <t xml:space="preserve">السيناريو المختار</t>
  </si>
  <si>
    <t xml:space="preserve">← رقم السيناريو</t>
  </si>
  <si>
    <t xml:space="preserve">الإيراد الحالي</t>
  </si>
  <si>
    <t xml:space="preserve">الإيراد المتوقع</t>
  </si>
  <si>
    <t xml:space="preserve">مجمل الربح الحالي</t>
  </si>
  <si>
    <t xml:space="preserve">مجمل الربح المتوقع</t>
  </si>
  <si>
    <t xml:space="preserve">التغيّر</t>
  </si>
  <si>
    <t xml:space="preserve">جودة البيانات ومطابقة الإجماليات</t>
  </si>
  <si>
    <t xml:space="preserve">فحوصات آلية على سلامة البيانات + تسوية الإجماليات بين كل أوراق التحليل</t>
  </si>
  <si>
    <t xml:space="preserve">درجة الجودة الإجمالية</t>
  </si>
  <si>
    <t xml:space="preserve">أولاً: فحوصات السلامة</t>
  </si>
  <si>
    <t xml:space="preserve">الفحص</t>
  </si>
  <si>
    <t xml:space="preserve">الحد المسموح</t>
  </si>
  <si>
    <t xml:space="preserve">الوصف</t>
  </si>
  <si>
    <t xml:space="preserve">إجمالي السجلات</t>
  </si>
  <si>
    <t xml:space="preserve">معلومة</t>
  </si>
  <si>
    <t xml:space="preserve">عدد أسطر المبيعات في جدول البيانات</t>
  </si>
  <si>
    <t xml:space="preserve">أرقام طلبات مكررة</t>
  </si>
  <si>
    <t xml:space="preserve">كل رقم طلب يجب أن يظهر مرة واحدة</t>
  </si>
  <si>
    <t xml:space="preserve">تواريخ فارغة</t>
  </si>
  <si>
    <t xml:space="preserve">لا يجوز وجود طلب بلا تاريخ</t>
  </si>
  <si>
    <t xml:space="preserve">عملاء فارغون</t>
  </si>
  <si>
    <t xml:space="preserve">كل طلب مرتبط بعميل</t>
  </si>
  <si>
    <t xml:space="preserve">منتجات فارغة</t>
  </si>
  <si>
    <t xml:space="preserve">كل طلب مرتبط بمنتج</t>
  </si>
  <si>
    <t xml:space="preserve">عملاء غير موجودين في ملف العملاء</t>
  </si>
  <si>
    <t xml:space="preserve">سلامة المفتاح الأجنبي</t>
  </si>
  <si>
    <t xml:space="preserve">منتجات غير موجودة في ملف المنتجات</t>
  </si>
  <si>
    <t xml:space="preserve">كميات غير صالحة (≤ 0)</t>
  </si>
  <si>
    <t xml:space="preserve">الكمية عدد صحيح موجب</t>
  </si>
  <si>
    <t xml:space="preserve">خصومات خارج النطاق (&lt;0 أو &gt;50%)</t>
  </si>
  <si>
    <t xml:space="preserve">الخصم بين 0% و50%</t>
  </si>
  <si>
    <t xml:space="preserve">تواريخ خارج فترة التحليل</t>
  </si>
  <si>
    <t xml:space="preserve">الفترة 12 شهراً من أول شهر</t>
  </si>
  <si>
    <t xml:space="preserve">طلبات بربح سالب</t>
  </si>
  <si>
    <t xml:space="preserve">بيع بأقل من التكلفة</t>
  </si>
  <si>
    <t xml:space="preserve">قيم شاذة في قيمة الطلب</t>
  </si>
  <si>
    <t xml:space="preserve">مسموح حتى 10% من الطلبات (قاعدة تيوكي؛ توزيع ملتوٍ طبيعي)</t>
  </si>
  <si>
    <t xml:space="preserve">ثانياً: مطابقة إجمالي الإيراد بين الأوراق</t>
  </si>
  <si>
    <t xml:space="preserve">الفرق عن البيانات</t>
  </si>
  <si>
    <t xml:space="preserve">جدول البيانات (المرجع)</t>
  </si>
  <si>
    <t xml:space="preserve">حسب الفئات</t>
  </si>
  <si>
    <t xml:space="preserve">حسب المناطق</t>
  </si>
  <si>
    <t xml:space="preserve">حسب القنوات</t>
  </si>
  <si>
    <t xml:space="preserve">حسب الأشهر</t>
  </si>
  <si>
    <t xml:space="preserve">حسب المنتجات</t>
  </si>
  <si>
    <t xml:space="preserve">حسب العملاء</t>
  </si>
  <si>
    <t xml:space="preserve">حسب الموظفين</t>
  </si>
  <si>
    <t xml:space="preserve">رقم الطلب</t>
  </si>
  <si>
    <t xml:space="preserve">التاريخ</t>
  </si>
  <si>
    <t xml:space="preserve">اسم العميل</t>
  </si>
  <si>
    <t xml:space="preserve">الكمية</t>
  </si>
  <si>
    <t xml:space="preserve">سعر الوحدة</t>
  </si>
  <si>
    <t xml:space="preserve">الخصم</t>
  </si>
  <si>
    <t xml:space="preserve">الإيراد الصافي</t>
  </si>
  <si>
    <t xml:space="preserve">التكلفة</t>
  </si>
  <si>
    <t xml:space="preserve">الفترة (شهر)</t>
  </si>
  <si>
    <t xml:space="preserve">إيراد الطلب المكتمل</t>
  </si>
  <si>
    <t xml:space="preserve">ORD-00001</t>
  </si>
  <si>
    <t xml:space="preserve">مكتمل</t>
  </si>
  <si>
    <t xml:space="preserve">ORD-00002</t>
  </si>
  <si>
    <t xml:space="preserve">ORD-00003</t>
  </si>
  <si>
    <t xml:space="preserve">ORD-00004</t>
  </si>
  <si>
    <t xml:space="preserve">ORD-00005</t>
  </si>
  <si>
    <t xml:space="preserve">ORD-00006</t>
  </si>
  <si>
    <t xml:space="preserve">مرتجع</t>
  </si>
  <si>
    <t xml:space="preserve">ORD-00007</t>
  </si>
  <si>
    <t xml:space="preserve">ORD-00008</t>
  </si>
  <si>
    <t xml:space="preserve">ORD-00009</t>
  </si>
  <si>
    <t xml:space="preserve">ORD-00010</t>
  </si>
  <si>
    <t xml:space="preserve">ORD-00011</t>
  </si>
  <si>
    <t xml:space="preserve">ORD-00012</t>
  </si>
  <si>
    <t xml:space="preserve">ORD-00013</t>
  </si>
  <si>
    <t xml:space="preserve">ORD-00014</t>
  </si>
  <si>
    <t xml:space="preserve">ORD-00015</t>
  </si>
  <si>
    <t xml:space="preserve">ORD-00016</t>
  </si>
  <si>
    <t xml:space="preserve">ORD-00017</t>
  </si>
  <si>
    <t xml:space="preserve">ORD-00018</t>
  </si>
  <si>
    <t xml:space="preserve">ORD-00019</t>
  </si>
  <si>
    <t xml:space="preserve">ORD-00020</t>
  </si>
  <si>
    <t xml:space="preserve">ORD-00021</t>
  </si>
  <si>
    <t xml:space="preserve">ORD-00022</t>
  </si>
  <si>
    <t xml:space="preserve">ORD-00023</t>
  </si>
  <si>
    <t xml:space="preserve">ORD-00024</t>
  </si>
  <si>
    <t xml:space="preserve">ORD-00025</t>
  </si>
  <si>
    <t xml:space="preserve">ORD-00026</t>
  </si>
  <si>
    <t xml:space="preserve">ORD-00027</t>
  </si>
  <si>
    <t xml:space="preserve">ORD-00028</t>
  </si>
  <si>
    <t xml:space="preserve">ORD-00029</t>
  </si>
  <si>
    <t xml:space="preserve">ORD-00030</t>
  </si>
  <si>
    <t xml:space="preserve">ORD-00031</t>
  </si>
  <si>
    <t xml:space="preserve">ORD-00032</t>
  </si>
  <si>
    <t xml:space="preserve">ORD-00033</t>
  </si>
  <si>
    <t xml:space="preserve">ORD-00034</t>
  </si>
  <si>
    <t xml:space="preserve">ORD-00035</t>
  </si>
  <si>
    <t xml:space="preserve">ORD-00036</t>
  </si>
  <si>
    <t xml:space="preserve">ORD-00037</t>
  </si>
  <si>
    <t xml:space="preserve">ORD-00038</t>
  </si>
  <si>
    <t xml:space="preserve">ORD-00039</t>
  </si>
  <si>
    <t xml:space="preserve">ORD-00040</t>
  </si>
  <si>
    <t xml:space="preserve">ORD-00041</t>
  </si>
  <si>
    <t xml:space="preserve">ORD-00042</t>
  </si>
  <si>
    <t xml:space="preserve">ORD-00043</t>
  </si>
  <si>
    <t xml:space="preserve">ORD-00044</t>
  </si>
  <si>
    <t xml:space="preserve">ORD-00045</t>
  </si>
  <si>
    <t xml:space="preserve">ORD-00046</t>
  </si>
  <si>
    <t xml:space="preserve">ORD-00047</t>
  </si>
  <si>
    <t xml:space="preserve">ORD-00048</t>
  </si>
  <si>
    <t xml:space="preserve">ORD-00049</t>
  </si>
  <si>
    <t xml:space="preserve">ORD-00050</t>
  </si>
  <si>
    <t xml:space="preserve">ORD-00051</t>
  </si>
  <si>
    <t xml:space="preserve">ORD-00052</t>
  </si>
  <si>
    <t xml:space="preserve">ORD-00053</t>
  </si>
  <si>
    <t xml:space="preserve">ORD-00054</t>
  </si>
  <si>
    <t xml:space="preserve">ORD-00055</t>
  </si>
  <si>
    <t xml:space="preserve">ORD-00056</t>
  </si>
  <si>
    <t xml:space="preserve">ORD-00057</t>
  </si>
  <si>
    <t xml:space="preserve">ORD-00058</t>
  </si>
  <si>
    <t xml:space="preserve">ORD-00059</t>
  </si>
  <si>
    <t xml:space="preserve">ORD-00060</t>
  </si>
  <si>
    <t xml:space="preserve">ORD-00061</t>
  </si>
  <si>
    <t xml:space="preserve">ORD-00062</t>
  </si>
  <si>
    <t xml:space="preserve">ORD-00063</t>
  </si>
  <si>
    <t xml:space="preserve">ORD-00064</t>
  </si>
  <si>
    <t xml:space="preserve">ORD-00065</t>
  </si>
  <si>
    <t xml:space="preserve">ORD-00066</t>
  </si>
  <si>
    <t xml:space="preserve">ORD-00067</t>
  </si>
  <si>
    <t xml:space="preserve">ORD-00068</t>
  </si>
  <si>
    <t xml:space="preserve">ORD-00069</t>
  </si>
  <si>
    <t xml:space="preserve">ORD-00070</t>
  </si>
  <si>
    <t xml:space="preserve">ORD-00071</t>
  </si>
  <si>
    <t xml:space="preserve">ORD-00072</t>
  </si>
  <si>
    <t xml:space="preserve">ORD-00073</t>
  </si>
  <si>
    <t xml:space="preserve">ORD-00074</t>
  </si>
  <si>
    <t xml:space="preserve">ORD-00075</t>
  </si>
  <si>
    <t xml:space="preserve">ORD-00076</t>
  </si>
  <si>
    <t xml:space="preserve">ORD-00077</t>
  </si>
  <si>
    <t xml:space="preserve">ORD-00078</t>
  </si>
  <si>
    <t xml:space="preserve">ORD-00079</t>
  </si>
  <si>
    <t xml:space="preserve">ORD-00080</t>
  </si>
  <si>
    <t xml:space="preserve">ORD-00081</t>
  </si>
  <si>
    <t xml:space="preserve">ORD-00082</t>
  </si>
  <si>
    <t xml:space="preserve">ORD-00083</t>
  </si>
  <si>
    <t xml:space="preserve">ORD-00084</t>
  </si>
  <si>
    <t xml:space="preserve">ORD-00085</t>
  </si>
  <si>
    <t xml:space="preserve">ORD-00086</t>
  </si>
  <si>
    <t xml:space="preserve">ORD-00087</t>
  </si>
  <si>
    <t xml:space="preserve">ORD-00088</t>
  </si>
  <si>
    <t xml:space="preserve">ORD-00089</t>
  </si>
  <si>
    <t xml:space="preserve">ORD-00090</t>
  </si>
  <si>
    <t xml:space="preserve">ORD-00091</t>
  </si>
  <si>
    <t xml:space="preserve">ORD-00092</t>
  </si>
  <si>
    <t xml:space="preserve">ORD-00093</t>
  </si>
  <si>
    <t xml:space="preserve">ORD-00094</t>
  </si>
  <si>
    <t xml:space="preserve">ORD-00095</t>
  </si>
  <si>
    <t xml:space="preserve">ORD-00096</t>
  </si>
  <si>
    <t xml:space="preserve">ORD-00097</t>
  </si>
  <si>
    <t xml:space="preserve">ORD-00098</t>
  </si>
  <si>
    <t xml:space="preserve">ORD-00099</t>
  </si>
  <si>
    <t xml:space="preserve">ORD-00100</t>
  </si>
  <si>
    <t xml:space="preserve">ORD-00101</t>
  </si>
  <si>
    <t xml:space="preserve">ORD-00102</t>
  </si>
  <si>
    <t xml:space="preserve">ORD-00103</t>
  </si>
  <si>
    <t xml:space="preserve">ORD-00104</t>
  </si>
  <si>
    <t xml:space="preserve">ORD-00105</t>
  </si>
  <si>
    <t xml:space="preserve">ORD-00106</t>
  </si>
  <si>
    <t xml:space="preserve">ORD-00107</t>
  </si>
  <si>
    <t xml:space="preserve">ORD-00108</t>
  </si>
  <si>
    <t xml:space="preserve">ORD-00109</t>
  </si>
  <si>
    <t xml:space="preserve">ORD-00110</t>
  </si>
  <si>
    <t xml:space="preserve">ORD-00111</t>
  </si>
  <si>
    <t xml:space="preserve">ORD-00112</t>
  </si>
  <si>
    <t xml:space="preserve">ORD-00113</t>
  </si>
  <si>
    <t xml:space="preserve">ORD-00114</t>
  </si>
  <si>
    <t xml:space="preserve">ORD-00115</t>
  </si>
  <si>
    <t xml:space="preserve">ORD-00116</t>
  </si>
  <si>
    <t xml:space="preserve">ORD-00117</t>
  </si>
  <si>
    <t xml:space="preserve">ORD-00118</t>
  </si>
  <si>
    <t xml:space="preserve">ORD-00119</t>
  </si>
  <si>
    <t xml:space="preserve">ORD-00120</t>
  </si>
  <si>
    <t xml:space="preserve">ORD-00121</t>
  </si>
  <si>
    <t xml:space="preserve">ORD-00122</t>
  </si>
  <si>
    <t xml:space="preserve">ORD-00123</t>
  </si>
  <si>
    <t xml:space="preserve">ORD-00124</t>
  </si>
  <si>
    <t xml:space="preserve">ORD-00125</t>
  </si>
  <si>
    <t xml:space="preserve">ORD-00126</t>
  </si>
  <si>
    <t xml:space="preserve">ORD-00127</t>
  </si>
  <si>
    <t xml:space="preserve">ORD-00128</t>
  </si>
  <si>
    <t xml:space="preserve">ORD-00129</t>
  </si>
  <si>
    <t xml:space="preserve">ORD-00130</t>
  </si>
  <si>
    <t xml:space="preserve">ORD-00131</t>
  </si>
  <si>
    <t xml:space="preserve">ORD-00132</t>
  </si>
  <si>
    <t xml:space="preserve">ORD-00133</t>
  </si>
  <si>
    <t xml:space="preserve">ORD-00134</t>
  </si>
  <si>
    <t xml:space="preserve">ORD-00135</t>
  </si>
  <si>
    <t xml:space="preserve">ORD-00136</t>
  </si>
  <si>
    <t xml:space="preserve">ORD-00137</t>
  </si>
  <si>
    <t xml:space="preserve">ORD-00138</t>
  </si>
  <si>
    <t xml:space="preserve">ORD-00139</t>
  </si>
  <si>
    <t xml:space="preserve">ORD-00140</t>
  </si>
  <si>
    <t xml:space="preserve">ORD-00141</t>
  </si>
  <si>
    <t xml:space="preserve">ORD-00142</t>
  </si>
  <si>
    <t xml:space="preserve">ORD-00143</t>
  </si>
  <si>
    <t xml:space="preserve">ORD-00144</t>
  </si>
  <si>
    <t xml:space="preserve">ORD-00145</t>
  </si>
  <si>
    <t xml:space="preserve">ORD-00146</t>
  </si>
  <si>
    <t xml:space="preserve">ORD-00147</t>
  </si>
  <si>
    <t xml:space="preserve">ORD-00148</t>
  </si>
  <si>
    <t xml:space="preserve">ORD-00149</t>
  </si>
  <si>
    <t xml:space="preserve">ORD-00150</t>
  </si>
  <si>
    <t xml:space="preserve">ORD-00151</t>
  </si>
  <si>
    <t xml:space="preserve">ORD-00152</t>
  </si>
  <si>
    <t xml:space="preserve">ORD-00153</t>
  </si>
  <si>
    <t xml:space="preserve">ORD-00154</t>
  </si>
  <si>
    <t xml:space="preserve">ORD-00155</t>
  </si>
  <si>
    <t xml:space="preserve">ORD-00156</t>
  </si>
  <si>
    <t xml:space="preserve">ORD-00157</t>
  </si>
  <si>
    <t xml:space="preserve">ORD-00158</t>
  </si>
  <si>
    <t xml:space="preserve">ORD-00159</t>
  </si>
  <si>
    <t xml:space="preserve">ORD-00160</t>
  </si>
  <si>
    <t xml:space="preserve">ORD-00161</t>
  </si>
  <si>
    <t xml:space="preserve">ORD-00162</t>
  </si>
  <si>
    <t xml:space="preserve">ORD-00163</t>
  </si>
  <si>
    <t xml:space="preserve">ORD-00164</t>
  </si>
  <si>
    <t xml:space="preserve">ORD-00165</t>
  </si>
  <si>
    <t xml:space="preserve">ORD-00166</t>
  </si>
  <si>
    <t xml:space="preserve">ORD-00167</t>
  </si>
  <si>
    <t xml:space="preserve">ORD-00168</t>
  </si>
  <si>
    <t xml:space="preserve">ORD-00169</t>
  </si>
  <si>
    <t xml:space="preserve">ORD-00170</t>
  </si>
  <si>
    <t xml:space="preserve">ORD-00171</t>
  </si>
  <si>
    <t xml:space="preserve">ORD-00172</t>
  </si>
  <si>
    <t xml:space="preserve">ORD-00173</t>
  </si>
  <si>
    <t xml:space="preserve">ORD-00174</t>
  </si>
  <si>
    <t xml:space="preserve">ORD-00175</t>
  </si>
  <si>
    <t xml:space="preserve">ORD-00176</t>
  </si>
  <si>
    <t xml:space="preserve">ORD-00177</t>
  </si>
  <si>
    <t xml:space="preserve">ORD-00178</t>
  </si>
  <si>
    <t xml:space="preserve">ORD-00179</t>
  </si>
  <si>
    <t xml:space="preserve">ORD-00180</t>
  </si>
  <si>
    <t xml:space="preserve">ORD-00181</t>
  </si>
  <si>
    <t xml:space="preserve">ORD-00182</t>
  </si>
  <si>
    <t xml:space="preserve">ORD-00183</t>
  </si>
  <si>
    <t xml:space="preserve">ORD-00184</t>
  </si>
  <si>
    <t xml:space="preserve">ORD-00185</t>
  </si>
  <si>
    <t xml:space="preserve">ORD-00186</t>
  </si>
  <si>
    <t xml:space="preserve">ORD-00187</t>
  </si>
  <si>
    <t xml:space="preserve">ORD-00188</t>
  </si>
  <si>
    <t xml:space="preserve">ORD-00189</t>
  </si>
  <si>
    <t xml:space="preserve">ORD-00190</t>
  </si>
  <si>
    <t xml:space="preserve">ORD-00191</t>
  </si>
  <si>
    <t xml:space="preserve">ORD-00192</t>
  </si>
  <si>
    <t xml:space="preserve">ORD-00193</t>
  </si>
  <si>
    <t xml:space="preserve">ORD-00194</t>
  </si>
  <si>
    <t xml:space="preserve">ORD-00195</t>
  </si>
  <si>
    <t xml:space="preserve">ORD-00196</t>
  </si>
  <si>
    <t xml:space="preserve">ORD-00197</t>
  </si>
  <si>
    <t xml:space="preserve">ORD-00198</t>
  </si>
  <si>
    <t xml:space="preserve">ORD-00199</t>
  </si>
  <si>
    <t xml:space="preserve">ORD-00200</t>
  </si>
  <si>
    <t xml:space="preserve">ORD-00201</t>
  </si>
  <si>
    <t xml:space="preserve">ORD-00202</t>
  </si>
  <si>
    <t xml:space="preserve">ORD-00203</t>
  </si>
  <si>
    <t xml:space="preserve">ORD-00204</t>
  </si>
  <si>
    <t xml:space="preserve">ORD-00205</t>
  </si>
  <si>
    <t xml:space="preserve">ORD-00206</t>
  </si>
  <si>
    <t xml:space="preserve">ORD-00207</t>
  </si>
  <si>
    <t xml:space="preserve">ORD-00208</t>
  </si>
  <si>
    <t xml:space="preserve">ORD-00209</t>
  </si>
  <si>
    <t xml:space="preserve">ORD-00210</t>
  </si>
  <si>
    <t xml:space="preserve">ORD-00211</t>
  </si>
  <si>
    <t xml:space="preserve">ORD-00212</t>
  </si>
  <si>
    <t xml:space="preserve">ORD-00213</t>
  </si>
  <si>
    <t xml:space="preserve">ORD-00214</t>
  </si>
  <si>
    <t xml:space="preserve">ORD-00215</t>
  </si>
  <si>
    <t xml:space="preserve">ORD-00216</t>
  </si>
  <si>
    <t xml:space="preserve">ORD-00217</t>
  </si>
  <si>
    <t xml:space="preserve">ORD-00218</t>
  </si>
  <si>
    <t xml:space="preserve">ORD-00219</t>
  </si>
  <si>
    <t xml:space="preserve">ORD-00220</t>
  </si>
  <si>
    <t xml:space="preserve">ORD-00221</t>
  </si>
  <si>
    <t xml:space="preserve">ORD-00222</t>
  </si>
  <si>
    <t xml:space="preserve">ORD-00223</t>
  </si>
  <si>
    <t xml:space="preserve">ORD-00224</t>
  </si>
  <si>
    <t xml:space="preserve">ORD-00225</t>
  </si>
  <si>
    <t xml:space="preserve">ORD-00226</t>
  </si>
  <si>
    <t xml:space="preserve">ORD-00227</t>
  </si>
  <si>
    <t xml:space="preserve">ORD-00228</t>
  </si>
  <si>
    <t xml:space="preserve">ORD-00229</t>
  </si>
  <si>
    <t xml:space="preserve">ORD-00230</t>
  </si>
  <si>
    <t xml:space="preserve">ORD-00231</t>
  </si>
  <si>
    <t xml:space="preserve">ORD-00232</t>
  </si>
  <si>
    <t xml:space="preserve">ORD-00233</t>
  </si>
  <si>
    <t xml:space="preserve">ORD-00234</t>
  </si>
  <si>
    <t xml:space="preserve">ORD-00235</t>
  </si>
  <si>
    <t xml:space="preserve">ORD-00236</t>
  </si>
  <si>
    <t xml:space="preserve">ORD-00237</t>
  </si>
  <si>
    <t xml:space="preserve">ORD-00238</t>
  </si>
  <si>
    <t xml:space="preserve">ORD-00239</t>
  </si>
  <si>
    <t xml:space="preserve">ORD-00240</t>
  </si>
  <si>
    <t xml:space="preserve">ORD-00241</t>
  </si>
  <si>
    <t xml:space="preserve">ORD-00242</t>
  </si>
  <si>
    <t xml:space="preserve">ORD-00243</t>
  </si>
  <si>
    <t xml:space="preserve">ORD-00244</t>
  </si>
  <si>
    <t xml:space="preserve">ORD-00245</t>
  </si>
  <si>
    <t xml:space="preserve">ORD-00246</t>
  </si>
  <si>
    <t xml:space="preserve">ORD-00247</t>
  </si>
  <si>
    <t xml:space="preserve">ORD-00248</t>
  </si>
  <si>
    <t xml:space="preserve">ORD-00249</t>
  </si>
  <si>
    <t xml:space="preserve">ORD-00250</t>
  </si>
  <si>
    <t xml:space="preserve">ORD-00251</t>
  </si>
  <si>
    <t xml:space="preserve">ORD-00252</t>
  </si>
  <si>
    <t xml:space="preserve">ORD-00253</t>
  </si>
  <si>
    <t xml:space="preserve">ORD-00254</t>
  </si>
  <si>
    <t xml:space="preserve">ORD-00255</t>
  </si>
  <si>
    <t xml:space="preserve">ORD-00256</t>
  </si>
  <si>
    <t xml:space="preserve">ORD-00257</t>
  </si>
  <si>
    <t xml:space="preserve">ORD-00258</t>
  </si>
  <si>
    <t xml:space="preserve">ORD-00259</t>
  </si>
  <si>
    <t xml:space="preserve">ORD-00260</t>
  </si>
  <si>
    <t xml:space="preserve">ORD-00261</t>
  </si>
  <si>
    <t xml:space="preserve">ORD-00262</t>
  </si>
  <si>
    <t xml:space="preserve">ORD-00263</t>
  </si>
  <si>
    <t xml:space="preserve">ORD-00264</t>
  </si>
  <si>
    <t xml:space="preserve">ORD-00265</t>
  </si>
  <si>
    <t xml:space="preserve">ORD-00266</t>
  </si>
  <si>
    <t xml:space="preserve">ORD-00267</t>
  </si>
  <si>
    <t xml:space="preserve">ORD-00268</t>
  </si>
  <si>
    <t xml:space="preserve">ORD-00269</t>
  </si>
  <si>
    <t xml:space="preserve">ORD-00270</t>
  </si>
  <si>
    <t xml:space="preserve">ORD-00271</t>
  </si>
  <si>
    <t xml:space="preserve">ORD-00272</t>
  </si>
  <si>
    <t xml:space="preserve">ORD-00273</t>
  </si>
  <si>
    <t xml:space="preserve">ORD-00274</t>
  </si>
  <si>
    <t xml:space="preserve">ORD-00275</t>
  </si>
  <si>
    <t xml:space="preserve">ORD-00276</t>
  </si>
  <si>
    <t xml:space="preserve">ORD-00277</t>
  </si>
  <si>
    <t xml:space="preserve">ORD-00278</t>
  </si>
  <si>
    <t xml:space="preserve">ORD-00279</t>
  </si>
  <si>
    <t xml:space="preserve">ORD-00280</t>
  </si>
  <si>
    <t xml:space="preserve">ORD-00281</t>
  </si>
  <si>
    <t xml:space="preserve">ORD-00282</t>
  </si>
  <si>
    <t xml:space="preserve">ORD-00283</t>
  </si>
  <si>
    <t xml:space="preserve">ORD-00284</t>
  </si>
  <si>
    <t xml:space="preserve">ORD-00285</t>
  </si>
  <si>
    <t xml:space="preserve">ORD-00286</t>
  </si>
  <si>
    <t xml:space="preserve">ORD-00287</t>
  </si>
  <si>
    <t xml:space="preserve">ORD-00288</t>
  </si>
  <si>
    <t xml:space="preserve">ORD-00289</t>
  </si>
  <si>
    <t xml:space="preserve">ORD-00290</t>
  </si>
  <si>
    <t xml:space="preserve">ORD-00291</t>
  </si>
  <si>
    <t xml:space="preserve">ORD-00292</t>
  </si>
  <si>
    <t xml:space="preserve">ORD-00293</t>
  </si>
  <si>
    <t xml:space="preserve">ORD-00294</t>
  </si>
  <si>
    <t xml:space="preserve">ORD-00295</t>
  </si>
  <si>
    <t xml:space="preserve">ORD-00296</t>
  </si>
  <si>
    <t xml:space="preserve">ORD-00297</t>
  </si>
  <si>
    <t xml:space="preserve">ORD-00298</t>
  </si>
  <si>
    <t xml:space="preserve">ORD-00299</t>
  </si>
  <si>
    <t xml:space="preserve">ORD-00300</t>
  </si>
  <si>
    <t xml:space="preserve">ORD-00301</t>
  </si>
  <si>
    <t xml:space="preserve">ORD-00302</t>
  </si>
  <si>
    <t xml:space="preserve">ORD-00303</t>
  </si>
  <si>
    <t xml:space="preserve">ORD-00304</t>
  </si>
  <si>
    <t xml:space="preserve">ORD-00305</t>
  </si>
  <si>
    <t xml:space="preserve">ORD-00306</t>
  </si>
  <si>
    <t xml:space="preserve">ORD-00307</t>
  </si>
  <si>
    <t xml:space="preserve">ORD-00308</t>
  </si>
  <si>
    <t xml:space="preserve">ORD-00309</t>
  </si>
  <si>
    <t xml:space="preserve">ORD-00310</t>
  </si>
  <si>
    <t xml:space="preserve">ORD-00311</t>
  </si>
  <si>
    <t xml:space="preserve">ORD-00312</t>
  </si>
  <si>
    <t xml:space="preserve">ORD-00313</t>
  </si>
  <si>
    <t xml:space="preserve">ORD-00314</t>
  </si>
  <si>
    <t xml:space="preserve">ORD-00315</t>
  </si>
  <si>
    <t xml:space="preserve">ORD-00316</t>
  </si>
  <si>
    <t xml:space="preserve">ORD-00317</t>
  </si>
  <si>
    <t xml:space="preserve">ORD-00318</t>
  </si>
  <si>
    <t xml:space="preserve">ORD-00319</t>
  </si>
  <si>
    <t xml:space="preserve">ORD-00320</t>
  </si>
  <si>
    <t xml:space="preserve">ORD-00321</t>
  </si>
  <si>
    <t xml:space="preserve">ORD-00322</t>
  </si>
  <si>
    <t xml:space="preserve">ORD-00323</t>
  </si>
  <si>
    <t xml:space="preserve">ORD-00324</t>
  </si>
  <si>
    <t xml:space="preserve">ORD-00325</t>
  </si>
  <si>
    <t xml:space="preserve">ORD-00326</t>
  </si>
  <si>
    <t xml:space="preserve">ORD-00327</t>
  </si>
  <si>
    <t xml:space="preserve">ORD-00328</t>
  </si>
  <si>
    <t xml:space="preserve">ORD-00329</t>
  </si>
  <si>
    <t xml:space="preserve">ORD-00330</t>
  </si>
  <si>
    <t xml:space="preserve">ORD-00331</t>
  </si>
  <si>
    <t xml:space="preserve">ORD-00332</t>
  </si>
  <si>
    <t xml:space="preserve">ORD-00333</t>
  </si>
  <si>
    <t xml:space="preserve">ORD-00334</t>
  </si>
  <si>
    <t xml:space="preserve">ORD-00335</t>
  </si>
  <si>
    <t xml:space="preserve">ORD-00336</t>
  </si>
  <si>
    <t xml:space="preserve">ORD-00337</t>
  </si>
  <si>
    <t xml:space="preserve">ORD-00338</t>
  </si>
  <si>
    <t xml:space="preserve">ORD-00339</t>
  </si>
  <si>
    <t xml:space="preserve">ORD-00340</t>
  </si>
  <si>
    <t xml:space="preserve">ORD-00341</t>
  </si>
  <si>
    <t xml:space="preserve">ORD-00342</t>
  </si>
  <si>
    <t xml:space="preserve">ORD-00343</t>
  </si>
  <si>
    <t xml:space="preserve">ORD-00344</t>
  </si>
  <si>
    <t xml:space="preserve">ORD-00345</t>
  </si>
  <si>
    <t xml:space="preserve">ORD-00346</t>
  </si>
  <si>
    <t xml:space="preserve">ORD-00347</t>
  </si>
  <si>
    <t xml:space="preserve">ORD-00348</t>
  </si>
  <si>
    <t xml:space="preserve">ORD-00349</t>
  </si>
  <si>
    <t xml:space="preserve">ORD-00350</t>
  </si>
  <si>
    <t xml:space="preserve">ORD-00351</t>
  </si>
  <si>
    <t xml:space="preserve">ORD-00352</t>
  </si>
  <si>
    <t xml:space="preserve">ORD-00353</t>
  </si>
  <si>
    <t xml:space="preserve">ORD-00354</t>
  </si>
  <si>
    <t xml:space="preserve">ORD-00355</t>
  </si>
  <si>
    <t xml:space="preserve">ORD-00356</t>
  </si>
  <si>
    <t xml:space="preserve">ORD-00357</t>
  </si>
  <si>
    <t xml:space="preserve">ORD-00358</t>
  </si>
  <si>
    <t xml:space="preserve">ORD-00359</t>
  </si>
  <si>
    <t xml:space="preserve">ORD-00360</t>
  </si>
  <si>
    <t xml:space="preserve">ORD-00361</t>
  </si>
  <si>
    <t xml:space="preserve">ORD-00362</t>
  </si>
  <si>
    <t xml:space="preserve">ORD-00363</t>
  </si>
  <si>
    <t xml:space="preserve">ORD-00364</t>
  </si>
  <si>
    <t xml:space="preserve">ORD-00365</t>
  </si>
  <si>
    <t xml:space="preserve">ORD-00366</t>
  </si>
  <si>
    <t xml:space="preserve">ORD-00367</t>
  </si>
  <si>
    <t xml:space="preserve">ORD-00368</t>
  </si>
  <si>
    <t xml:space="preserve">ORD-00369</t>
  </si>
  <si>
    <t xml:space="preserve">ORD-00370</t>
  </si>
  <si>
    <t xml:space="preserve">ORD-00371</t>
  </si>
  <si>
    <t xml:space="preserve">ORD-00372</t>
  </si>
  <si>
    <t xml:space="preserve">ORD-00373</t>
  </si>
  <si>
    <t xml:space="preserve">ORD-00374</t>
  </si>
  <si>
    <t xml:space="preserve">ORD-00375</t>
  </si>
  <si>
    <t xml:space="preserve">ORD-00376</t>
  </si>
  <si>
    <t xml:space="preserve">ORD-00377</t>
  </si>
  <si>
    <t xml:space="preserve">ORD-00378</t>
  </si>
  <si>
    <t xml:space="preserve">ORD-00379</t>
  </si>
  <si>
    <t xml:space="preserve">ORD-00380</t>
  </si>
  <si>
    <t xml:space="preserve">ORD-00381</t>
  </si>
  <si>
    <t xml:space="preserve">ORD-00382</t>
  </si>
  <si>
    <t xml:space="preserve">ORD-00383</t>
  </si>
  <si>
    <t xml:space="preserve">ORD-00384</t>
  </si>
  <si>
    <t xml:space="preserve">ORD-00385</t>
  </si>
  <si>
    <t xml:space="preserve">ORD-00386</t>
  </si>
  <si>
    <t xml:space="preserve">ORD-00387</t>
  </si>
  <si>
    <t xml:space="preserve">ORD-00388</t>
  </si>
  <si>
    <t xml:space="preserve">ORD-00389</t>
  </si>
  <si>
    <t xml:space="preserve">ORD-00390</t>
  </si>
  <si>
    <t xml:space="preserve">ORD-00391</t>
  </si>
  <si>
    <t xml:space="preserve">ORD-00392</t>
  </si>
  <si>
    <t xml:space="preserve">ORD-00393</t>
  </si>
  <si>
    <t xml:space="preserve">ORD-00394</t>
  </si>
  <si>
    <t xml:space="preserve">ORD-00395</t>
  </si>
  <si>
    <t xml:space="preserve">ORD-00396</t>
  </si>
  <si>
    <t xml:space="preserve">ORD-00397</t>
  </si>
  <si>
    <t xml:space="preserve">ORD-00398</t>
  </si>
  <si>
    <t xml:space="preserve">ORD-00399</t>
  </si>
  <si>
    <t xml:space="preserve">ORD-00400</t>
  </si>
  <si>
    <t xml:space="preserve">ORD-00401</t>
  </si>
  <si>
    <t xml:space="preserve">ORD-00402</t>
  </si>
  <si>
    <t xml:space="preserve">ORD-00403</t>
  </si>
  <si>
    <t xml:space="preserve">ORD-00404</t>
  </si>
  <si>
    <t xml:space="preserve">ORD-00405</t>
  </si>
  <si>
    <t xml:space="preserve">ORD-00406</t>
  </si>
  <si>
    <t xml:space="preserve">ORD-00407</t>
  </si>
  <si>
    <t xml:space="preserve">ORD-00408</t>
  </si>
  <si>
    <t xml:space="preserve">ORD-00409</t>
  </si>
  <si>
    <t xml:space="preserve">ORD-00410</t>
  </si>
  <si>
    <t xml:space="preserve">ORD-00411</t>
  </si>
  <si>
    <t xml:space="preserve">ORD-00412</t>
  </si>
  <si>
    <t xml:space="preserve">ORD-00413</t>
  </si>
  <si>
    <t xml:space="preserve">ORD-00414</t>
  </si>
  <si>
    <t xml:space="preserve">ORD-00415</t>
  </si>
  <si>
    <t xml:space="preserve">ORD-00416</t>
  </si>
  <si>
    <t xml:space="preserve">ORD-00417</t>
  </si>
  <si>
    <t xml:space="preserve">ORD-00418</t>
  </si>
  <si>
    <t xml:space="preserve">ORD-00419</t>
  </si>
  <si>
    <t xml:space="preserve">ORD-00420</t>
  </si>
  <si>
    <t xml:space="preserve">ORD-00421</t>
  </si>
  <si>
    <t xml:space="preserve">ORD-00422</t>
  </si>
  <si>
    <t xml:space="preserve">ORD-00423</t>
  </si>
  <si>
    <t xml:space="preserve">ORD-00424</t>
  </si>
  <si>
    <t xml:space="preserve">ORD-00425</t>
  </si>
  <si>
    <t xml:space="preserve">ORD-00426</t>
  </si>
  <si>
    <t xml:space="preserve">ORD-00427</t>
  </si>
  <si>
    <t xml:space="preserve">ORD-00428</t>
  </si>
  <si>
    <t xml:space="preserve">ORD-00429</t>
  </si>
  <si>
    <t xml:space="preserve">ORD-00430</t>
  </si>
  <si>
    <t xml:space="preserve">ORD-00431</t>
  </si>
  <si>
    <t xml:space="preserve">ORD-00432</t>
  </si>
  <si>
    <t xml:space="preserve">ORD-00433</t>
  </si>
  <si>
    <t xml:space="preserve">ORD-00434</t>
  </si>
  <si>
    <t xml:space="preserve">ORD-00435</t>
  </si>
  <si>
    <t xml:space="preserve">ORD-00436</t>
  </si>
  <si>
    <t xml:space="preserve">ORD-00437</t>
  </si>
  <si>
    <t xml:space="preserve">ORD-00438</t>
  </si>
  <si>
    <t xml:space="preserve">ORD-00439</t>
  </si>
  <si>
    <t xml:space="preserve">ORD-00440</t>
  </si>
  <si>
    <t xml:space="preserve">ORD-00441</t>
  </si>
  <si>
    <t xml:space="preserve">ORD-00442</t>
  </si>
  <si>
    <t xml:space="preserve">ORD-00443</t>
  </si>
  <si>
    <t xml:space="preserve">ORD-00444</t>
  </si>
  <si>
    <t xml:space="preserve">ORD-00445</t>
  </si>
  <si>
    <t xml:space="preserve">ORD-00446</t>
  </si>
  <si>
    <t xml:space="preserve">ORD-00447</t>
  </si>
  <si>
    <t xml:space="preserve">ORD-00448</t>
  </si>
  <si>
    <t xml:space="preserve">ORD-00449</t>
  </si>
  <si>
    <t xml:space="preserve">ORD-00450</t>
  </si>
  <si>
    <t xml:space="preserve">ORD-00451</t>
  </si>
  <si>
    <t xml:space="preserve">ORD-00452</t>
  </si>
  <si>
    <t xml:space="preserve">ORD-00453</t>
  </si>
  <si>
    <t xml:space="preserve">ORD-00454</t>
  </si>
  <si>
    <t xml:space="preserve">ORD-00455</t>
  </si>
  <si>
    <t xml:space="preserve">ORD-00456</t>
  </si>
  <si>
    <t xml:space="preserve">ORD-00457</t>
  </si>
  <si>
    <t xml:space="preserve">ORD-00458</t>
  </si>
  <si>
    <t xml:space="preserve">ORD-00459</t>
  </si>
  <si>
    <t xml:space="preserve">ORD-00460</t>
  </si>
  <si>
    <t xml:space="preserve">ORD-00461</t>
  </si>
  <si>
    <t xml:space="preserve">ORD-00462</t>
  </si>
  <si>
    <t xml:space="preserve">ORD-00463</t>
  </si>
  <si>
    <t xml:space="preserve">ORD-00464</t>
  </si>
  <si>
    <t xml:space="preserve">ORD-00465</t>
  </si>
  <si>
    <t xml:space="preserve">ORD-00466</t>
  </si>
  <si>
    <t xml:space="preserve">ORD-00467</t>
  </si>
  <si>
    <t xml:space="preserve">ORD-00468</t>
  </si>
  <si>
    <t xml:space="preserve">ORD-00469</t>
  </si>
  <si>
    <t xml:space="preserve">ORD-00470</t>
  </si>
  <si>
    <t xml:space="preserve">ORD-00471</t>
  </si>
  <si>
    <t xml:space="preserve">ORD-00472</t>
  </si>
  <si>
    <t xml:space="preserve">ORD-00473</t>
  </si>
  <si>
    <t xml:space="preserve">ORD-00474</t>
  </si>
  <si>
    <t xml:space="preserve">ORD-00475</t>
  </si>
  <si>
    <t xml:space="preserve">ORD-00476</t>
  </si>
  <si>
    <t xml:space="preserve">ORD-00477</t>
  </si>
  <si>
    <t xml:space="preserve">ORD-00478</t>
  </si>
  <si>
    <t xml:space="preserve">ORD-00479</t>
  </si>
  <si>
    <t xml:space="preserve">ORD-00480</t>
  </si>
  <si>
    <t xml:space="preserve">ORD-00481</t>
  </si>
  <si>
    <t xml:space="preserve">ORD-00482</t>
  </si>
  <si>
    <t xml:space="preserve">ORD-00483</t>
  </si>
  <si>
    <t xml:space="preserve">ORD-00484</t>
  </si>
  <si>
    <t xml:space="preserve">ORD-00485</t>
  </si>
  <si>
    <t xml:space="preserve">ORD-00486</t>
  </si>
  <si>
    <t xml:space="preserve">ORD-00487</t>
  </si>
  <si>
    <t xml:space="preserve">ORD-00488</t>
  </si>
  <si>
    <t xml:space="preserve">ORD-00489</t>
  </si>
  <si>
    <t xml:space="preserve">ORD-00490</t>
  </si>
  <si>
    <t xml:space="preserve">ORD-00491</t>
  </si>
  <si>
    <t xml:space="preserve">ORD-00492</t>
  </si>
  <si>
    <t xml:space="preserve">ORD-00493</t>
  </si>
  <si>
    <t xml:space="preserve">ORD-00494</t>
  </si>
  <si>
    <t xml:space="preserve">ORD-00495</t>
  </si>
  <si>
    <t xml:space="preserve">ORD-00496</t>
  </si>
  <si>
    <t xml:space="preserve">ORD-00497</t>
  </si>
  <si>
    <t xml:space="preserve">ORD-00498</t>
  </si>
  <si>
    <t xml:space="preserve">ORD-00499</t>
  </si>
  <si>
    <t xml:space="preserve">ORD-00500</t>
  </si>
  <si>
    <t xml:space="preserve">ORD-00501</t>
  </si>
  <si>
    <t xml:space="preserve">ORD-00502</t>
  </si>
  <si>
    <t xml:space="preserve">ORD-00503</t>
  </si>
  <si>
    <t xml:space="preserve">ORD-00504</t>
  </si>
  <si>
    <t xml:space="preserve">ORD-00505</t>
  </si>
  <si>
    <t xml:space="preserve">ORD-00506</t>
  </si>
  <si>
    <t xml:space="preserve">ORD-00507</t>
  </si>
  <si>
    <t xml:space="preserve">ORD-00508</t>
  </si>
  <si>
    <t xml:space="preserve">ORD-00509</t>
  </si>
  <si>
    <t xml:space="preserve">ORD-00510</t>
  </si>
  <si>
    <t xml:space="preserve">ORD-00511</t>
  </si>
  <si>
    <t xml:space="preserve">ORD-00512</t>
  </si>
  <si>
    <t xml:space="preserve">ORD-00513</t>
  </si>
  <si>
    <t xml:space="preserve">ORD-00514</t>
  </si>
  <si>
    <t xml:space="preserve">ORD-00515</t>
  </si>
  <si>
    <t xml:space="preserve">ORD-00516</t>
  </si>
  <si>
    <t xml:space="preserve">ORD-00517</t>
  </si>
  <si>
    <t xml:space="preserve">ORD-00518</t>
  </si>
  <si>
    <t xml:space="preserve">ORD-00519</t>
  </si>
  <si>
    <t xml:space="preserve">ORD-00520</t>
  </si>
  <si>
    <t xml:space="preserve">ORD-00521</t>
  </si>
  <si>
    <t xml:space="preserve">ORD-00522</t>
  </si>
  <si>
    <t xml:space="preserve">ORD-00523</t>
  </si>
  <si>
    <t xml:space="preserve">ORD-00524</t>
  </si>
  <si>
    <t xml:space="preserve">ORD-00525</t>
  </si>
  <si>
    <t xml:space="preserve">ORD-00526</t>
  </si>
  <si>
    <t xml:space="preserve">ORD-00527</t>
  </si>
  <si>
    <t xml:space="preserve">ORD-00528</t>
  </si>
  <si>
    <t xml:space="preserve">ORD-00529</t>
  </si>
  <si>
    <t xml:space="preserve">ORD-00530</t>
  </si>
  <si>
    <t xml:space="preserve">ORD-00531</t>
  </si>
  <si>
    <t xml:space="preserve">ORD-00532</t>
  </si>
  <si>
    <t xml:space="preserve">ORD-00533</t>
  </si>
  <si>
    <t xml:space="preserve">ORD-00534</t>
  </si>
  <si>
    <t xml:space="preserve">ORD-00535</t>
  </si>
  <si>
    <t xml:space="preserve">ORD-00536</t>
  </si>
  <si>
    <t xml:space="preserve">ORD-00537</t>
  </si>
  <si>
    <t xml:space="preserve">ORD-00538</t>
  </si>
  <si>
    <t xml:space="preserve">ORD-00539</t>
  </si>
  <si>
    <t xml:space="preserve">ORD-00540</t>
  </si>
  <si>
    <t xml:space="preserve">ORD-00541</t>
  </si>
  <si>
    <t xml:space="preserve">ORD-00542</t>
  </si>
  <si>
    <t xml:space="preserve">ORD-00543</t>
  </si>
  <si>
    <t xml:space="preserve">ORD-00544</t>
  </si>
  <si>
    <t xml:space="preserve">ORD-00545</t>
  </si>
  <si>
    <t xml:space="preserve">ORD-00546</t>
  </si>
  <si>
    <t xml:space="preserve">ORD-00547</t>
  </si>
  <si>
    <t xml:space="preserve">ORD-00548</t>
  </si>
  <si>
    <t xml:space="preserve">ORD-00549</t>
  </si>
  <si>
    <t xml:space="preserve">ORD-00550</t>
  </si>
  <si>
    <t xml:space="preserve">ORD-00551</t>
  </si>
  <si>
    <t xml:space="preserve">ORD-00552</t>
  </si>
  <si>
    <t xml:space="preserve">ORD-00553</t>
  </si>
  <si>
    <t xml:space="preserve">ORD-00554</t>
  </si>
  <si>
    <t xml:space="preserve">ORD-00555</t>
  </si>
  <si>
    <t xml:space="preserve">ORD-00556</t>
  </si>
  <si>
    <t xml:space="preserve">ORD-00557</t>
  </si>
  <si>
    <t xml:space="preserve">ORD-00558</t>
  </si>
  <si>
    <t xml:space="preserve">ORD-00559</t>
  </si>
  <si>
    <t xml:space="preserve">ORD-00560</t>
  </si>
  <si>
    <t xml:space="preserve">ORD-00561</t>
  </si>
  <si>
    <t xml:space="preserve">ORD-00562</t>
  </si>
  <si>
    <t xml:space="preserve">ORD-00563</t>
  </si>
  <si>
    <t xml:space="preserve">ORD-00564</t>
  </si>
  <si>
    <t xml:space="preserve">ORD-00565</t>
  </si>
  <si>
    <t xml:space="preserve">ORD-00566</t>
  </si>
  <si>
    <t xml:space="preserve">ORD-00567</t>
  </si>
  <si>
    <t xml:space="preserve">ORD-00568</t>
  </si>
  <si>
    <t xml:space="preserve">ORD-00569</t>
  </si>
  <si>
    <t xml:space="preserve">ORD-00570</t>
  </si>
  <si>
    <t xml:space="preserve">ORD-00571</t>
  </si>
  <si>
    <t xml:space="preserve">ORD-00572</t>
  </si>
  <si>
    <t xml:space="preserve">ORD-00573</t>
  </si>
  <si>
    <t xml:space="preserve">ORD-00574</t>
  </si>
  <si>
    <t xml:space="preserve">ORD-00575</t>
  </si>
  <si>
    <t xml:space="preserve">ORD-00576</t>
  </si>
  <si>
    <t xml:space="preserve">ORD-00577</t>
  </si>
  <si>
    <t xml:space="preserve">ORD-00578</t>
  </si>
  <si>
    <t xml:space="preserve">ORD-00579</t>
  </si>
  <si>
    <t xml:space="preserve">ORD-00580</t>
  </si>
  <si>
    <t xml:space="preserve">ORD-00581</t>
  </si>
  <si>
    <t xml:space="preserve">ORD-00582</t>
  </si>
  <si>
    <t xml:space="preserve">ORD-00583</t>
  </si>
  <si>
    <t xml:space="preserve">ORD-00584</t>
  </si>
  <si>
    <t xml:space="preserve">ORD-00585</t>
  </si>
  <si>
    <t xml:space="preserve">ORD-00586</t>
  </si>
  <si>
    <t xml:space="preserve">ORD-00587</t>
  </si>
  <si>
    <t xml:space="preserve">ORD-00588</t>
  </si>
  <si>
    <t xml:space="preserve">ORD-00589</t>
  </si>
  <si>
    <t xml:space="preserve">ORD-00590</t>
  </si>
  <si>
    <t xml:space="preserve">ORD-00591</t>
  </si>
  <si>
    <t xml:space="preserve">ORD-00592</t>
  </si>
  <si>
    <t xml:space="preserve">ORD-00593</t>
  </si>
  <si>
    <t xml:space="preserve">ORD-00594</t>
  </si>
  <si>
    <t xml:space="preserve">ORD-00595</t>
  </si>
  <si>
    <t xml:space="preserve">ORD-00596</t>
  </si>
  <si>
    <t xml:space="preserve">ORD-00597</t>
  </si>
  <si>
    <t xml:space="preserve">ORD-00598</t>
  </si>
  <si>
    <t xml:space="preserve">ORD-00599</t>
  </si>
  <si>
    <t xml:space="preserve">ORD-00600</t>
  </si>
  <si>
    <t xml:space="preserve">ORD-00601</t>
  </si>
  <si>
    <t xml:space="preserve">ORD-00602</t>
  </si>
  <si>
    <t xml:space="preserve">ORD-00603</t>
  </si>
  <si>
    <t xml:space="preserve">ORD-00604</t>
  </si>
  <si>
    <t xml:space="preserve">ORD-00605</t>
  </si>
  <si>
    <t xml:space="preserve">ORD-00606</t>
  </si>
  <si>
    <t xml:space="preserve">ORD-00607</t>
  </si>
  <si>
    <t xml:space="preserve">ORD-00608</t>
  </si>
  <si>
    <t xml:space="preserve">ORD-00609</t>
  </si>
  <si>
    <t xml:space="preserve">ORD-00610</t>
  </si>
  <si>
    <t xml:space="preserve">ORD-00611</t>
  </si>
  <si>
    <t xml:space="preserve">ORD-00612</t>
  </si>
  <si>
    <t xml:space="preserve">ORD-00613</t>
  </si>
  <si>
    <t xml:space="preserve">ORD-00614</t>
  </si>
  <si>
    <t xml:space="preserve">ORD-00615</t>
  </si>
  <si>
    <t xml:space="preserve">ORD-00616</t>
  </si>
  <si>
    <t xml:space="preserve">ORD-00617</t>
  </si>
  <si>
    <t xml:space="preserve">ORD-00618</t>
  </si>
  <si>
    <t xml:space="preserve">ORD-00619</t>
  </si>
  <si>
    <t xml:space="preserve">ORD-00620</t>
  </si>
  <si>
    <t xml:space="preserve">ORD-00621</t>
  </si>
  <si>
    <t xml:space="preserve">ORD-00622</t>
  </si>
  <si>
    <t xml:space="preserve">ORD-00623</t>
  </si>
  <si>
    <t xml:space="preserve">ORD-00624</t>
  </si>
  <si>
    <t xml:space="preserve">ORD-00625</t>
  </si>
  <si>
    <t xml:space="preserve">ORD-00626</t>
  </si>
  <si>
    <t xml:space="preserve">ORD-00627</t>
  </si>
  <si>
    <t xml:space="preserve">ORD-00628</t>
  </si>
  <si>
    <t xml:space="preserve">ORD-00629</t>
  </si>
  <si>
    <t xml:space="preserve">ORD-00630</t>
  </si>
  <si>
    <t xml:space="preserve">ORD-00631</t>
  </si>
  <si>
    <t xml:space="preserve">ORD-00632</t>
  </si>
  <si>
    <t xml:space="preserve">ORD-00633</t>
  </si>
  <si>
    <t xml:space="preserve">ORD-00634</t>
  </si>
  <si>
    <t xml:space="preserve">ORD-00635</t>
  </si>
  <si>
    <t xml:space="preserve">ORD-00636</t>
  </si>
  <si>
    <t xml:space="preserve">ORD-00637</t>
  </si>
  <si>
    <t xml:space="preserve">ORD-00638</t>
  </si>
  <si>
    <t xml:space="preserve">ORD-00639</t>
  </si>
  <si>
    <t xml:space="preserve">ORD-00640</t>
  </si>
  <si>
    <t xml:space="preserve">ORD-00641</t>
  </si>
  <si>
    <t xml:space="preserve">ORD-00642</t>
  </si>
  <si>
    <t xml:space="preserve">ORD-00643</t>
  </si>
  <si>
    <t xml:space="preserve">ORD-00644</t>
  </si>
  <si>
    <t xml:space="preserve">ORD-00645</t>
  </si>
  <si>
    <t xml:space="preserve">ORD-00646</t>
  </si>
  <si>
    <t xml:space="preserve">ORD-00647</t>
  </si>
  <si>
    <t xml:space="preserve">ORD-00648</t>
  </si>
  <si>
    <t xml:space="preserve">ORD-00649</t>
  </si>
  <si>
    <t xml:space="preserve">ORD-00650</t>
  </si>
  <si>
    <t xml:space="preserve">ORD-00651</t>
  </si>
  <si>
    <t xml:space="preserve">ORD-00652</t>
  </si>
  <si>
    <t xml:space="preserve">ORD-00653</t>
  </si>
  <si>
    <t xml:space="preserve">ORD-00654</t>
  </si>
  <si>
    <t xml:space="preserve">ORD-00655</t>
  </si>
  <si>
    <t xml:space="preserve">ORD-00656</t>
  </si>
  <si>
    <t xml:space="preserve">ORD-00657</t>
  </si>
  <si>
    <t xml:space="preserve">ORD-00658</t>
  </si>
  <si>
    <t xml:space="preserve">ORD-00659</t>
  </si>
  <si>
    <t xml:space="preserve">ORD-00660</t>
  </si>
  <si>
    <t xml:space="preserve">ORD-00661</t>
  </si>
  <si>
    <t xml:space="preserve">ORD-00662</t>
  </si>
  <si>
    <t xml:space="preserve">ORD-00663</t>
  </si>
  <si>
    <t xml:space="preserve">ORD-00664</t>
  </si>
  <si>
    <t xml:space="preserve">ORD-00665</t>
  </si>
  <si>
    <t xml:space="preserve">ORD-00666</t>
  </si>
  <si>
    <t xml:space="preserve">ORD-00667</t>
  </si>
  <si>
    <t xml:space="preserve">ORD-00668</t>
  </si>
  <si>
    <t xml:space="preserve">ORD-00669</t>
  </si>
  <si>
    <t xml:space="preserve">ORD-00670</t>
  </si>
  <si>
    <t xml:space="preserve">ORD-00671</t>
  </si>
  <si>
    <t xml:space="preserve">ORD-00672</t>
  </si>
  <si>
    <t xml:space="preserve">ORD-00673</t>
  </si>
  <si>
    <t xml:space="preserve">ORD-00674</t>
  </si>
  <si>
    <t xml:space="preserve">ORD-00675</t>
  </si>
  <si>
    <t xml:space="preserve">ORD-00676</t>
  </si>
  <si>
    <t xml:space="preserve">ORD-00677</t>
  </si>
  <si>
    <t xml:space="preserve">ORD-00678</t>
  </si>
  <si>
    <t xml:space="preserve">ORD-00679</t>
  </si>
  <si>
    <t xml:space="preserve">ORD-00680</t>
  </si>
  <si>
    <t xml:space="preserve">ORD-00681</t>
  </si>
  <si>
    <t xml:space="preserve">ORD-00682</t>
  </si>
  <si>
    <t xml:space="preserve">ORD-00683</t>
  </si>
  <si>
    <t xml:space="preserve">ORD-00684</t>
  </si>
  <si>
    <t xml:space="preserve">ORD-00685</t>
  </si>
  <si>
    <t xml:space="preserve">ORD-00686</t>
  </si>
  <si>
    <t xml:space="preserve">ORD-00687</t>
  </si>
  <si>
    <t xml:space="preserve">ORD-00688</t>
  </si>
  <si>
    <t xml:space="preserve">ORD-00689</t>
  </si>
  <si>
    <t xml:space="preserve">ORD-00690</t>
  </si>
  <si>
    <t xml:space="preserve">ORD-00691</t>
  </si>
  <si>
    <t xml:space="preserve">ORD-00692</t>
  </si>
  <si>
    <t xml:space="preserve">ORD-00693</t>
  </si>
  <si>
    <t xml:space="preserve">ORD-00694</t>
  </si>
  <si>
    <t xml:space="preserve">ORD-00695</t>
  </si>
  <si>
    <t xml:space="preserve">ORD-00696</t>
  </si>
  <si>
    <t xml:space="preserve">ORD-00697</t>
  </si>
  <si>
    <t xml:space="preserve">ORD-00698</t>
  </si>
  <si>
    <t xml:space="preserve">ORD-00699</t>
  </si>
  <si>
    <t xml:space="preserve">ORD-00700</t>
  </si>
  <si>
    <t xml:space="preserve">ORD-00701</t>
  </si>
  <si>
    <t xml:space="preserve">ORD-00702</t>
  </si>
  <si>
    <t xml:space="preserve">ORD-00703</t>
  </si>
  <si>
    <t xml:space="preserve">ORD-00704</t>
  </si>
  <si>
    <t xml:space="preserve">ORD-00705</t>
  </si>
  <si>
    <t xml:space="preserve">ORD-00706</t>
  </si>
  <si>
    <t xml:space="preserve">ORD-00707</t>
  </si>
  <si>
    <t xml:space="preserve">ORD-00708</t>
  </si>
  <si>
    <t xml:space="preserve">ORD-00709</t>
  </si>
  <si>
    <t xml:space="preserve">ORD-00710</t>
  </si>
  <si>
    <t xml:space="preserve">ORD-00711</t>
  </si>
  <si>
    <t xml:space="preserve">ORD-00712</t>
  </si>
  <si>
    <t xml:space="preserve">ORD-00713</t>
  </si>
  <si>
    <t xml:space="preserve">ORD-00714</t>
  </si>
  <si>
    <t xml:space="preserve">ORD-00715</t>
  </si>
  <si>
    <t xml:space="preserve">ORD-00716</t>
  </si>
  <si>
    <t xml:space="preserve">ORD-00717</t>
  </si>
  <si>
    <t xml:space="preserve">ORD-00718</t>
  </si>
  <si>
    <t xml:space="preserve">ORD-00719</t>
  </si>
  <si>
    <t xml:space="preserve">ORD-00720</t>
  </si>
  <si>
    <t xml:space="preserve">ORD-00721</t>
  </si>
  <si>
    <t xml:space="preserve">ORD-00722</t>
  </si>
  <si>
    <t xml:space="preserve">ORD-00723</t>
  </si>
  <si>
    <t xml:space="preserve">ORD-00724</t>
  </si>
  <si>
    <t xml:space="preserve">ORD-00725</t>
  </si>
  <si>
    <t xml:space="preserve">ORD-00726</t>
  </si>
  <si>
    <t xml:space="preserve">ORD-00727</t>
  </si>
  <si>
    <t xml:space="preserve">ORD-00728</t>
  </si>
  <si>
    <t xml:space="preserve">ORD-00729</t>
  </si>
  <si>
    <t xml:space="preserve">ORD-00730</t>
  </si>
  <si>
    <t xml:space="preserve">ORD-00731</t>
  </si>
  <si>
    <t xml:space="preserve">ORD-00732</t>
  </si>
  <si>
    <t xml:space="preserve">ORD-00733</t>
  </si>
  <si>
    <t xml:space="preserve">ORD-00734</t>
  </si>
  <si>
    <t xml:space="preserve">ORD-00735</t>
  </si>
  <si>
    <t xml:space="preserve">ORD-00736</t>
  </si>
  <si>
    <t xml:space="preserve">ORD-00737</t>
  </si>
  <si>
    <t xml:space="preserve">ORD-00738</t>
  </si>
  <si>
    <t xml:space="preserve">ORD-00739</t>
  </si>
  <si>
    <t xml:space="preserve">ORD-00740</t>
  </si>
  <si>
    <t xml:space="preserve">ORD-00741</t>
  </si>
  <si>
    <t xml:space="preserve">ORD-00742</t>
  </si>
  <si>
    <t xml:space="preserve">ORD-00743</t>
  </si>
  <si>
    <t xml:space="preserve">ORD-00744</t>
  </si>
  <si>
    <t xml:space="preserve">ORD-00745</t>
  </si>
  <si>
    <t xml:space="preserve">ORD-00746</t>
  </si>
  <si>
    <t xml:space="preserve">ORD-00747</t>
  </si>
  <si>
    <t xml:space="preserve">ORD-00748</t>
  </si>
  <si>
    <t xml:space="preserve">ORD-00749</t>
  </si>
  <si>
    <t xml:space="preserve">ORD-00750</t>
  </si>
  <si>
    <t xml:space="preserve">ORD-00751</t>
  </si>
  <si>
    <t xml:space="preserve">ORD-00752</t>
  </si>
  <si>
    <t xml:space="preserve">ORD-00753</t>
  </si>
  <si>
    <t xml:space="preserve">ORD-00754</t>
  </si>
  <si>
    <t xml:space="preserve">ORD-00755</t>
  </si>
  <si>
    <t xml:space="preserve">ORD-00756</t>
  </si>
  <si>
    <t xml:space="preserve">ORD-00757</t>
  </si>
  <si>
    <t xml:space="preserve">ORD-00758</t>
  </si>
  <si>
    <t xml:space="preserve">ORD-00759</t>
  </si>
  <si>
    <t xml:space="preserve">ORD-00760</t>
  </si>
  <si>
    <t xml:space="preserve">ORD-00761</t>
  </si>
  <si>
    <t xml:space="preserve">ORD-00762</t>
  </si>
  <si>
    <t xml:space="preserve">ORD-00763</t>
  </si>
  <si>
    <t xml:space="preserve">ORD-00764</t>
  </si>
  <si>
    <t xml:space="preserve">ORD-00765</t>
  </si>
  <si>
    <t xml:space="preserve">ORD-00766</t>
  </si>
  <si>
    <t xml:space="preserve">ORD-00767</t>
  </si>
  <si>
    <t xml:space="preserve">ORD-00768</t>
  </si>
  <si>
    <t xml:space="preserve">ORD-00769</t>
  </si>
  <si>
    <t xml:space="preserve">ORD-00770</t>
  </si>
  <si>
    <t xml:space="preserve">ORD-00771</t>
  </si>
  <si>
    <t xml:space="preserve">ORD-00772</t>
  </si>
  <si>
    <t xml:space="preserve">ORD-00773</t>
  </si>
  <si>
    <t xml:space="preserve">ORD-00774</t>
  </si>
  <si>
    <t xml:space="preserve">ORD-00775</t>
  </si>
  <si>
    <t xml:space="preserve">ORD-00776</t>
  </si>
  <si>
    <t xml:space="preserve">ORD-00777</t>
  </si>
  <si>
    <t xml:space="preserve">ORD-00778</t>
  </si>
  <si>
    <t xml:space="preserve">ORD-00779</t>
  </si>
  <si>
    <t xml:space="preserve">ORD-00780</t>
  </si>
  <si>
    <t xml:space="preserve">ORD-00781</t>
  </si>
  <si>
    <t xml:space="preserve">ORD-00782</t>
  </si>
  <si>
    <t xml:space="preserve">ORD-00783</t>
  </si>
  <si>
    <t xml:space="preserve">ORD-00784</t>
  </si>
  <si>
    <t xml:space="preserve">ORD-00785</t>
  </si>
  <si>
    <t xml:space="preserve">ORD-00786</t>
  </si>
  <si>
    <t xml:space="preserve">ORD-00787</t>
  </si>
  <si>
    <t xml:space="preserve">ORD-00788</t>
  </si>
  <si>
    <t xml:space="preserve">ORD-00789</t>
  </si>
  <si>
    <t xml:space="preserve">ORD-00790</t>
  </si>
  <si>
    <t xml:space="preserve">ORD-00791</t>
  </si>
  <si>
    <t xml:space="preserve">ORD-00792</t>
  </si>
  <si>
    <t xml:space="preserve">ORD-00793</t>
  </si>
  <si>
    <t xml:space="preserve">ORD-00794</t>
  </si>
  <si>
    <t xml:space="preserve">ORD-00795</t>
  </si>
  <si>
    <t xml:space="preserve">ORD-00796</t>
  </si>
  <si>
    <t xml:space="preserve">ORD-00797</t>
  </si>
  <si>
    <t xml:space="preserve">ORD-00798</t>
  </si>
  <si>
    <t xml:space="preserve">ORD-00799</t>
  </si>
  <si>
    <t xml:space="preserve">ORD-00800</t>
  </si>
  <si>
    <t xml:space="preserve">ORD-00801</t>
  </si>
  <si>
    <t xml:space="preserve">ORD-00802</t>
  </si>
  <si>
    <t xml:space="preserve">ORD-00803</t>
  </si>
  <si>
    <t xml:space="preserve">ORD-00804</t>
  </si>
  <si>
    <t xml:space="preserve">ORD-00805</t>
  </si>
  <si>
    <t xml:space="preserve">ORD-00806</t>
  </si>
  <si>
    <t xml:space="preserve">ORD-00807</t>
  </si>
  <si>
    <t xml:space="preserve">ORD-00808</t>
  </si>
  <si>
    <t xml:space="preserve">ORD-00809</t>
  </si>
  <si>
    <t xml:space="preserve">ORD-00810</t>
  </si>
  <si>
    <t xml:space="preserve">ORD-00811</t>
  </si>
  <si>
    <t xml:space="preserve">ORD-00812</t>
  </si>
  <si>
    <t xml:space="preserve">ORD-00813</t>
  </si>
  <si>
    <t xml:space="preserve">ORD-00814</t>
  </si>
  <si>
    <t xml:space="preserve">ORD-00815</t>
  </si>
  <si>
    <t xml:space="preserve">ORD-00816</t>
  </si>
  <si>
    <t xml:space="preserve">ORD-00817</t>
  </si>
  <si>
    <t xml:space="preserve">ORD-00818</t>
  </si>
  <si>
    <t xml:space="preserve">ORD-00819</t>
  </si>
  <si>
    <t xml:space="preserve">ORD-00820</t>
  </si>
  <si>
    <t xml:space="preserve">ORD-00821</t>
  </si>
  <si>
    <t xml:space="preserve">ORD-00822</t>
  </si>
  <si>
    <t xml:space="preserve">ORD-00823</t>
  </si>
  <si>
    <t xml:space="preserve">ORD-00824</t>
  </si>
  <si>
    <t xml:space="preserve">ORD-00825</t>
  </si>
  <si>
    <t xml:space="preserve">ORD-00826</t>
  </si>
  <si>
    <t xml:space="preserve">ORD-00827</t>
  </si>
  <si>
    <t xml:space="preserve">ORD-00828</t>
  </si>
  <si>
    <t xml:space="preserve">ORD-00829</t>
  </si>
  <si>
    <t xml:space="preserve">ORD-00830</t>
  </si>
  <si>
    <t xml:space="preserve">ORD-00831</t>
  </si>
  <si>
    <t xml:space="preserve">ORD-00832</t>
  </si>
  <si>
    <t xml:space="preserve">ORD-00833</t>
  </si>
  <si>
    <t xml:space="preserve">ORD-00834</t>
  </si>
  <si>
    <t xml:space="preserve">ORD-00835</t>
  </si>
  <si>
    <t xml:space="preserve">ORD-00836</t>
  </si>
  <si>
    <t xml:space="preserve">ORD-00837</t>
  </si>
  <si>
    <t xml:space="preserve">ORD-00838</t>
  </si>
  <si>
    <t xml:space="preserve">ORD-00839</t>
  </si>
  <si>
    <t xml:space="preserve">ORD-00840</t>
  </si>
  <si>
    <t xml:space="preserve">ORD-00841</t>
  </si>
  <si>
    <t xml:space="preserve">ORD-00842</t>
  </si>
  <si>
    <t xml:space="preserve">ORD-00843</t>
  </si>
  <si>
    <t xml:space="preserve">ORD-00844</t>
  </si>
  <si>
    <t xml:space="preserve">ORD-00845</t>
  </si>
  <si>
    <t xml:space="preserve">ORD-00846</t>
  </si>
  <si>
    <t xml:space="preserve">ORD-00847</t>
  </si>
  <si>
    <t xml:space="preserve">ORD-00848</t>
  </si>
  <si>
    <t xml:space="preserve">ORD-00849</t>
  </si>
  <si>
    <t xml:space="preserve">ORD-00850</t>
  </si>
  <si>
    <t xml:space="preserve">ORD-00851</t>
  </si>
  <si>
    <t xml:space="preserve">ORD-00852</t>
  </si>
  <si>
    <t xml:space="preserve">ORD-00853</t>
  </si>
  <si>
    <t xml:space="preserve">ORD-00854</t>
  </si>
  <si>
    <t xml:space="preserve">ORD-00855</t>
  </si>
  <si>
    <t xml:space="preserve">ORD-00856</t>
  </si>
  <si>
    <t xml:space="preserve">ORD-00857</t>
  </si>
  <si>
    <t xml:space="preserve">ORD-00858</t>
  </si>
  <si>
    <t xml:space="preserve">ORD-00859</t>
  </si>
  <si>
    <t xml:space="preserve">ORD-00860</t>
  </si>
  <si>
    <t xml:space="preserve">ORD-00861</t>
  </si>
  <si>
    <t xml:space="preserve">ORD-00862</t>
  </si>
  <si>
    <t xml:space="preserve">ORD-00863</t>
  </si>
  <si>
    <t xml:space="preserve">ORD-00864</t>
  </si>
  <si>
    <t xml:space="preserve">ORD-00865</t>
  </si>
  <si>
    <t xml:space="preserve">ORD-00866</t>
  </si>
  <si>
    <t xml:space="preserve">ORD-00867</t>
  </si>
  <si>
    <t xml:space="preserve">ORD-00868</t>
  </si>
  <si>
    <t xml:space="preserve">ORD-00869</t>
  </si>
  <si>
    <t xml:space="preserve">ORD-00870</t>
  </si>
  <si>
    <t xml:space="preserve">ORD-00871</t>
  </si>
  <si>
    <t xml:space="preserve">ORD-00872</t>
  </si>
  <si>
    <t xml:space="preserve">ORD-00873</t>
  </si>
  <si>
    <t xml:space="preserve">ORD-00874</t>
  </si>
  <si>
    <t xml:space="preserve">ORD-00875</t>
  </si>
  <si>
    <t xml:space="preserve">ORD-00876</t>
  </si>
  <si>
    <t xml:space="preserve">ORD-00877</t>
  </si>
  <si>
    <t xml:space="preserve">ORD-00878</t>
  </si>
  <si>
    <t xml:space="preserve">ORD-00879</t>
  </si>
  <si>
    <t xml:space="preserve">ORD-00880</t>
  </si>
  <si>
    <t xml:space="preserve">ORD-00881</t>
  </si>
  <si>
    <t xml:space="preserve">ORD-00882</t>
  </si>
  <si>
    <t xml:space="preserve">ORD-00883</t>
  </si>
  <si>
    <t xml:space="preserve">ORD-00884</t>
  </si>
  <si>
    <t xml:space="preserve">ORD-00885</t>
  </si>
  <si>
    <t xml:space="preserve">ORD-00886</t>
  </si>
  <si>
    <t xml:space="preserve">ORD-00887</t>
  </si>
  <si>
    <t xml:space="preserve">ORD-00888</t>
  </si>
  <si>
    <t xml:space="preserve">ORD-00889</t>
  </si>
  <si>
    <t xml:space="preserve">ORD-00890</t>
  </si>
  <si>
    <t xml:space="preserve">ORD-00891</t>
  </si>
  <si>
    <t xml:space="preserve">ORD-00892</t>
  </si>
  <si>
    <t xml:space="preserve">ORD-00893</t>
  </si>
  <si>
    <t xml:space="preserve">ORD-00894</t>
  </si>
  <si>
    <t xml:space="preserve">ORD-00895</t>
  </si>
  <si>
    <t xml:space="preserve">ORD-00896</t>
  </si>
  <si>
    <t xml:space="preserve">ORD-00897</t>
  </si>
  <si>
    <t xml:space="preserve">ORD-00898</t>
  </si>
  <si>
    <t xml:space="preserve">ORD-00899</t>
  </si>
  <si>
    <t xml:space="preserve">ORD-00900</t>
  </si>
  <si>
    <t xml:space="preserve">ORD-00901</t>
  </si>
  <si>
    <t xml:space="preserve">ORD-00902</t>
  </si>
  <si>
    <t xml:space="preserve">ORD-00903</t>
  </si>
  <si>
    <t xml:space="preserve">ORD-00904</t>
  </si>
  <si>
    <t xml:space="preserve">ORD-00905</t>
  </si>
  <si>
    <t xml:space="preserve">ORD-00906</t>
  </si>
  <si>
    <t xml:space="preserve">ORD-00907</t>
  </si>
  <si>
    <t xml:space="preserve">ORD-00908</t>
  </si>
  <si>
    <t xml:space="preserve">ORD-00909</t>
  </si>
  <si>
    <t xml:space="preserve">ORD-00910</t>
  </si>
  <si>
    <t xml:space="preserve">ORD-00911</t>
  </si>
  <si>
    <t xml:space="preserve">ORD-00912</t>
  </si>
  <si>
    <t xml:space="preserve">ORD-00913</t>
  </si>
  <si>
    <t xml:space="preserve">ORD-00914</t>
  </si>
  <si>
    <t xml:space="preserve">ORD-00915</t>
  </si>
  <si>
    <t xml:space="preserve">ORD-00916</t>
  </si>
  <si>
    <t xml:space="preserve">ORD-00917</t>
  </si>
  <si>
    <t xml:space="preserve">ORD-00918</t>
  </si>
  <si>
    <t xml:space="preserve">ORD-00919</t>
  </si>
  <si>
    <t xml:space="preserve">ORD-00920</t>
  </si>
  <si>
    <t xml:space="preserve">ORD-00921</t>
  </si>
  <si>
    <t xml:space="preserve">ORD-00922</t>
  </si>
  <si>
    <t xml:space="preserve">ORD-00923</t>
  </si>
  <si>
    <t xml:space="preserve">ORD-00924</t>
  </si>
  <si>
    <t xml:space="preserve">ORD-00925</t>
  </si>
  <si>
    <t xml:space="preserve">ORD-00926</t>
  </si>
  <si>
    <t xml:space="preserve">ORD-00927</t>
  </si>
  <si>
    <t xml:space="preserve">ORD-00928</t>
  </si>
  <si>
    <t xml:space="preserve">ORD-00929</t>
  </si>
  <si>
    <t xml:space="preserve">ORD-00930</t>
  </si>
  <si>
    <t xml:space="preserve">ORD-00931</t>
  </si>
  <si>
    <t xml:space="preserve">ORD-00932</t>
  </si>
  <si>
    <t xml:space="preserve">ORD-00933</t>
  </si>
  <si>
    <t xml:space="preserve">ORD-00934</t>
  </si>
  <si>
    <t xml:space="preserve">ORD-00935</t>
  </si>
  <si>
    <t xml:space="preserve">ORD-00936</t>
  </si>
  <si>
    <t xml:space="preserve">ORD-00937</t>
  </si>
  <si>
    <t xml:space="preserve">ORD-00938</t>
  </si>
  <si>
    <t xml:space="preserve">ORD-00939</t>
  </si>
  <si>
    <t xml:space="preserve">ORD-00940</t>
  </si>
  <si>
    <t xml:space="preserve">ORD-00941</t>
  </si>
  <si>
    <t xml:space="preserve">ORD-00942</t>
  </si>
  <si>
    <t xml:space="preserve">ORD-00943</t>
  </si>
  <si>
    <t xml:space="preserve">ORD-00944</t>
  </si>
  <si>
    <t xml:space="preserve">ORD-00945</t>
  </si>
  <si>
    <t xml:space="preserve">ORD-00946</t>
  </si>
  <si>
    <t xml:space="preserve">ORD-00947</t>
  </si>
  <si>
    <t xml:space="preserve">ORD-00948</t>
  </si>
  <si>
    <t xml:space="preserve">ORD-00949</t>
  </si>
  <si>
    <t xml:space="preserve">ORD-00950</t>
  </si>
  <si>
    <t xml:space="preserve">ORD-00951</t>
  </si>
  <si>
    <t xml:space="preserve">ORD-00952</t>
  </si>
  <si>
    <t xml:space="preserve">ORD-00953</t>
  </si>
  <si>
    <t xml:space="preserve">ORD-00954</t>
  </si>
  <si>
    <t xml:space="preserve">ORD-00955</t>
  </si>
  <si>
    <t xml:space="preserve">ORD-00956</t>
  </si>
  <si>
    <t xml:space="preserve">ORD-00957</t>
  </si>
  <si>
    <t xml:space="preserve">ORD-00958</t>
  </si>
  <si>
    <t xml:space="preserve">ORD-00959</t>
  </si>
  <si>
    <t xml:space="preserve">ORD-00960</t>
  </si>
  <si>
    <t xml:space="preserve">ORD-00961</t>
  </si>
  <si>
    <t xml:space="preserve">ORD-00962</t>
  </si>
  <si>
    <t xml:space="preserve">ORD-00963</t>
  </si>
  <si>
    <t xml:space="preserve">ORD-00964</t>
  </si>
  <si>
    <t xml:space="preserve">ORD-00965</t>
  </si>
  <si>
    <t xml:space="preserve">ORD-00966</t>
  </si>
  <si>
    <t xml:space="preserve">ORD-00967</t>
  </si>
  <si>
    <t xml:space="preserve">ORD-00968</t>
  </si>
  <si>
    <t xml:space="preserve">ORD-00969</t>
  </si>
  <si>
    <t xml:space="preserve">ORD-00970</t>
  </si>
  <si>
    <t xml:space="preserve">ORD-00971</t>
  </si>
  <si>
    <t xml:space="preserve">ORD-00972</t>
  </si>
  <si>
    <t xml:space="preserve">ORD-00973</t>
  </si>
  <si>
    <t xml:space="preserve">ORD-00974</t>
  </si>
  <si>
    <t xml:space="preserve">ORD-00975</t>
  </si>
  <si>
    <t xml:space="preserve">ORD-00976</t>
  </si>
  <si>
    <t xml:space="preserve">ORD-00977</t>
  </si>
  <si>
    <t xml:space="preserve">ORD-00978</t>
  </si>
  <si>
    <t xml:space="preserve">ORD-00979</t>
  </si>
  <si>
    <t xml:space="preserve">ORD-00980</t>
  </si>
  <si>
    <t xml:space="preserve">ORD-00981</t>
  </si>
  <si>
    <t xml:space="preserve">ORD-00982</t>
  </si>
  <si>
    <t xml:space="preserve">ORD-00983</t>
  </si>
  <si>
    <t xml:space="preserve">ORD-00984</t>
  </si>
  <si>
    <t xml:space="preserve">ORD-00985</t>
  </si>
  <si>
    <t xml:space="preserve">ORD-00986</t>
  </si>
  <si>
    <t xml:space="preserve">ORD-00987</t>
  </si>
  <si>
    <t xml:space="preserve">ORD-00988</t>
  </si>
  <si>
    <t xml:space="preserve">ORD-00989</t>
  </si>
  <si>
    <t xml:space="preserve">ORD-00990</t>
  </si>
  <si>
    <t xml:space="preserve">ORD-00991</t>
  </si>
  <si>
    <t xml:space="preserve">ORD-00992</t>
  </si>
  <si>
    <t xml:space="preserve">ORD-00993</t>
  </si>
  <si>
    <t xml:space="preserve">ORD-00994</t>
  </si>
  <si>
    <t xml:space="preserve">ORD-00995</t>
  </si>
  <si>
    <t xml:space="preserve">ORD-00996</t>
  </si>
  <si>
    <t xml:space="preserve">ORD-00997</t>
  </si>
  <si>
    <t xml:space="preserve">ORD-00998</t>
  </si>
  <si>
    <t xml:space="preserve">ORD-00999</t>
  </si>
  <si>
    <t xml:space="preserve">ORD-01000</t>
  </si>
  <si>
    <t xml:space="preserve">ORD-01001</t>
  </si>
  <si>
    <t xml:space="preserve">ORD-01002</t>
  </si>
  <si>
    <t xml:space="preserve">ORD-01003</t>
  </si>
  <si>
    <t xml:space="preserve">ORD-01004</t>
  </si>
  <si>
    <t xml:space="preserve">ORD-01005</t>
  </si>
  <si>
    <t xml:space="preserve">ORD-01006</t>
  </si>
  <si>
    <t xml:space="preserve">ORD-01007</t>
  </si>
  <si>
    <t xml:space="preserve">ORD-01008</t>
  </si>
  <si>
    <t xml:space="preserve">ORD-01009</t>
  </si>
  <si>
    <t xml:space="preserve">ORD-01010</t>
  </si>
  <si>
    <t xml:space="preserve">ORD-01011</t>
  </si>
  <si>
    <t xml:space="preserve">ORD-01012</t>
  </si>
  <si>
    <t xml:space="preserve">ORD-01013</t>
  </si>
  <si>
    <t xml:space="preserve">ORD-01014</t>
  </si>
  <si>
    <t xml:space="preserve">ORD-01015</t>
  </si>
  <si>
    <t xml:space="preserve">ORD-01016</t>
  </si>
  <si>
    <t xml:space="preserve">ORD-01017</t>
  </si>
  <si>
    <t xml:space="preserve">ORD-01018</t>
  </si>
  <si>
    <t xml:space="preserve">ORD-01019</t>
  </si>
  <si>
    <t xml:space="preserve">ORD-01020</t>
  </si>
  <si>
    <t xml:space="preserve">ORD-01021</t>
  </si>
  <si>
    <t xml:space="preserve">ORD-01022</t>
  </si>
  <si>
    <t xml:space="preserve">ORD-01023</t>
  </si>
  <si>
    <t xml:space="preserve">ORD-01024</t>
  </si>
  <si>
    <t xml:space="preserve">ORD-01025</t>
  </si>
  <si>
    <t xml:space="preserve">ORD-01026</t>
  </si>
  <si>
    <t xml:space="preserve">ORD-01027</t>
  </si>
  <si>
    <t xml:space="preserve">ORD-01028</t>
  </si>
  <si>
    <t xml:space="preserve">ORD-01029</t>
  </si>
  <si>
    <t xml:space="preserve">ORD-01030</t>
  </si>
  <si>
    <t xml:space="preserve">ORD-01031</t>
  </si>
  <si>
    <t xml:space="preserve">ORD-01032</t>
  </si>
  <si>
    <t xml:space="preserve">ORD-01033</t>
  </si>
  <si>
    <t xml:space="preserve">ORD-01034</t>
  </si>
  <si>
    <t xml:space="preserve">ORD-01035</t>
  </si>
  <si>
    <t xml:space="preserve">ORD-01036</t>
  </si>
  <si>
    <t xml:space="preserve">ORD-01037</t>
  </si>
  <si>
    <t xml:space="preserve">ORD-01038</t>
  </si>
  <si>
    <t xml:space="preserve">ORD-01039</t>
  </si>
  <si>
    <t xml:space="preserve">ORD-01040</t>
  </si>
  <si>
    <t xml:space="preserve">ORD-01041</t>
  </si>
  <si>
    <t xml:space="preserve">ORD-01042</t>
  </si>
  <si>
    <t xml:space="preserve">ORD-01043</t>
  </si>
  <si>
    <t xml:space="preserve">ORD-01044</t>
  </si>
  <si>
    <t xml:space="preserve">ORD-01045</t>
  </si>
  <si>
    <t xml:space="preserve">ORD-01046</t>
  </si>
  <si>
    <t xml:space="preserve">ORD-01047</t>
  </si>
  <si>
    <t xml:space="preserve">ORD-01048</t>
  </si>
  <si>
    <t xml:space="preserve">ORD-01049</t>
  </si>
  <si>
    <t xml:space="preserve">ORD-01050</t>
  </si>
  <si>
    <t xml:space="preserve">ORD-01051</t>
  </si>
  <si>
    <t xml:space="preserve">ORD-01052</t>
  </si>
  <si>
    <t xml:space="preserve">ORD-01053</t>
  </si>
  <si>
    <t xml:space="preserve">ORD-01054</t>
  </si>
  <si>
    <t xml:space="preserve">ORD-01055</t>
  </si>
  <si>
    <t xml:space="preserve">ORD-01056</t>
  </si>
  <si>
    <t xml:space="preserve">ORD-01057</t>
  </si>
  <si>
    <t xml:space="preserve">ORD-01058</t>
  </si>
  <si>
    <t xml:space="preserve">ORD-01059</t>
  </si>
  <si>
    <t xml:space="preserve">ORD-01060</t>
  </si>
  <si>
    <t xml:space="preserve">ORD-01061</t>
  </si>
  <si>
    <t xml:space="preserve">ORD-01062</t>
  </si>
  <si>
    <t xml:space="preserve">ORD-01063</t>
  </si>
  <si>
    <t xml:space="preserve">ORD-01064</t>
  </si>
  <si>
    <t xml:space="preserve">ORD-01065</t>
  </si>
  <si>
    <t xml:space="preserve">ORD-01066</t>
  </si>
  <si>
    <t xml:space="preserve">ORD-01067</t>
  </si>
  <si>
    <t xml:space="preserve">ORD-01068</t>
  </si>
  <si>
    <t xml:space="preserve">ORD-01069</t>
  </si>
  <si>
    <t xml:space="preserve">ORD-01070</t>
  </si>
  <si>
    <t xml:space="preserve">ORD-01071</t>
  </si>
  <si>
    <t xml:space="preserve">ORD-01072</t>
  </si>
  <si>
    <t xml:space="preserve">ORD-01073</t>
  </si>
  <si>
    <t xml:space="preserve">ORD-01074</t>
  </si>
  <si>
    <t xml:space="preserve">ORD-01075</t>
  </si>
  <si>
    <t xml:space="preserve">ORD-01076</t>
  </si>
  <si>
    <t xml:space="preserve">ORD-01077</t>
  </si>
  <si>
    <t xml:space="preserve">ORD-01078</t>
  </si>
  <si>
    <t xml:space="preserve">ORD-01079</t>
  </si>
  <si>
    <t xml:space="preserve">ORD-01080</t>
  </si>
  <si>
    <t xml:space="preserve">ORD-01081</t>
  </si>
  <si>
    <t xml:space="preserve">ORD-01082</t>
  </si>
  <si>
    <t xml:space="preserve">ORD-01083</t>
  </si>
  <si>
    <t xml:space="preserve">ORD-01084</t>
  </si>
  <si>
    <t xml:space="preserve">ORD-01085</t>
  </si>
  <si>
    <t xml:space="preserve">ORD-01086</t>
  </si>
  <si>
    <t xml:space="preserve">ORD-01087</t>
  </si>
  <si>
    <t xml:space="preserve">ORD-01088</t>
  </si>
  <si>
    <t xml:space="preserve">ORD-01089</t>
  </si>
  <si>
    <t xml:space="preserve">ORD-01090</t>
  </si>
  <si>
    <t xml:space="preserve">ORD-01091</t>
  </si>
  <si>
    <t xml:space="preserve">ORD-01092</t>
  </si>
  <si>
    <t xml:space="preserve">ORD-01093</t>
  </si>
  <si>
    <t xml:space="preserve">ORD-01094</t>
  </si>
  <si>
    <t xml:space="preserve">ORD-01095</t>
  </si>
  <si>
    <t xml:space="preserve">ORD-01096</t>
  </si>
  <si>
    <t xml:space="preserve">ORD-01097</t>
  </si>
  <si>
    <t xml:space="preserve">ORD-01098</t>
  </si>
  <si>
    <t xml:space="preserve">ORD-01099</t>
  </si>
  <si>
    <t xml:space="preserve">ORD-01100</t>
  </si>
  <si>
    <t xml:space="preserve">ORD-01101</t>
  </si>
  <si>
    <t xml:space="preserve">ORD-01102</t>
  </si>
  <si>
    <t xml:space="preserve">ORD-01103</t>
  </si>
  <si>
    <t xml:space="preserve">ORD-01104</t>
  </si>
  <si>
    <t xml:space="preserve">ORD-01105</t>
  </si>
  <si>
    <t xml:space="preserve">ORD-01106</t>
  </si>
  <si>
    <t xml:space="preserve">ORD-01107</t>
  </si>
  <si>
    <t xml:space="preserve">ORD-01108</t>
  </si>
  <si>
    <t xml:space="preserve">ORD-01109</t>
  </si>
  <si>
    <t xml:space="preserve">ORD-01110</t>
  </si>
  <si>
    <t xml:space="preserve">ORD-01111</t>
  </si>
  <si>
    <t xml:space="preserve">ORD-01112</t>
  </si>
  <si>
    <t xml:space="preserve">ORD-01113</t>
  </si>
  <si>
    <t xml:space="preserve">ORD-01114</t>
  </si>
  <si>
    <t xml:space="preserve">ORD-01115</t>
  </si>
  <si>
    <t xml:space="preserve">ORD-01116</t>
  </si>
  <si>
    <t xml:space="preserve">ORD-01117</t>
  </si>
  <si>
    <t xml:space="preserve">ORD-01118</t>
  </si>
  <si>
    <t xml:space="preserve">ORD-01119</t>
  </si>
  <si>
    <t xml:space="preserve">ORD-01120</t>
  </si>
  <si>
    <t xml:space="preserve">ORD-01121</t>
  </si>
  <si>
    <t xml:space="preserve">ORD-01122</t>
  </si>
  <si>
    <t xml:space="preserve">ORD-01123</t>
  </si>
  <si>
    <t xml:space="preserve">ORD-01124</t>
  </si>
  <si>
    <t xml:space="preserve">ORD-01125</t>
  </si>
  <si>
    <t xml:space="preserve">ORD-01126</t>
  </si>
  <si>
    <t xml:space="preserve">ORD-01127</t>
  </si>
  <si>
    <t xml:space="preserve">ORD-01128</t>
  </si>
  <si>
    <t xml:space="preserve">ORD-01129</t>
  </si>
  <si>
    <t xml:space="preserve">ORD-01130</t>
  </si>
  <si>
    <t xml:space="preserve">ORD-01131</t>
  </si>
  <si>
    <t xml:space="preserve">ORD-01132</t>
  </si>
  <si>
    <t xml:space="preserve">ORD-01133</t>
  </si>
  <si>
    <t xml:space="preserve">ORD-01134</t>
  </si>
  <si>
    <t xml:space="preserve">ORD-01135</t>
  </si>
  <si>
    <t xml:space="preserve">ORD-01136</t>
  </si>
  <si>
    <t xml:space="preserve">ORD-01137</t>
  </si>
  <si>
    <t xml:space="preserve">ORD-01138</t>
  </si>
  <si>
    <t xml:space="preserve">ORD-01139</t>
  </si>
  <si>
    <t xml:space="preserve">ORD-01140</t>
  </si>
  <si>
    <t xml:space="preserve">ORD-01141</t>
  </si>
  <si>
    <t xml:space="preserve">ORD-01142</t>
  </si>
  <si>
    <t xml:space="preserve">ORD-01143</t>
  </si>
  <si>
    <t xml:space="preserve">ORD-01144</t>
  </si>
  <si>
    <t xml:space="preserve">ORD-01145</t>
  </si>
  <si>
    <t xml:space="preserve">ORD-01146</t>
  </si>
  <si>
    <t xml:space="preserve">ORD-01147</t>
  </si>
  <si>
    <t xml:space="preserve">ORD-01148</t>
  </si>
  <si>
    <t xml:space="preserve">ORD-01149</t>
  </si>
  <si>
    <t xml:space="preserve">ORD-01150</t>
  </si>
  <si>
    <t xml:space="preserve">ORD-01151</t>
  </si>
  <si>
    <t xml:space="preserve">ORD-01152</t>
  </si>
  <si>
    <t xml:space="preserve">ORD-01153</t>
  </si>
  <si>
    <t xml:space="preserve">ORD-01154</t>
  </si>
  <si>
    <t xml:space="preserve">ORD-01155</t>
  </si>
  <si>
    <t xml:space="preserve">ORD-01156</t>
  </si>
  <si>
    <t xml:space="preserve">ORD-01157</t>
  </si>
  <si>
    <t xml:space="preserve">ORD-01158</t>
  </si>
  <si>
    <t xml:space="preserve">ORD-01159</t>
  </si>
  <si>
    <t xml:space="preserve">ORD-01160</t>
  </si>
  <si>
    <t xml:space="preserve">ORD-01161</t>
  </si>
  <si>
    <t xml:space="preserve">ORD-01162</t>
  </si>
  <si>
    <t xml:space="preserve">ORD-01163</t>
  </si>
  <si>
    <t xml:space="preserve">ORD-01164</t>
  </si>
  <si>
    <t xml:space="preserve">ORD-01165</t>
  </si>
  <si>
    <t xml:space="preserve">ORD-01166</t>
  </si>
  <si>
    <t xml:space="preserve">ORD-01167</t>
  </si>
  <si>
    <t xml:space="preserve">ORD-01168</t>
  </si>
  <si>
    <t xml:space="preserve">ORD-01169</t>
  </si>
  <si>
    <t xml:space="preserve">ORD-01170</t>
  </si>
  <si>
    <t xml:space="preserve">ORD-01171</t>
  </si>
  <si>
    <t xml:space="preserve">ORD-01172</t>
  </si>
  <si>
    <t xml:space="preserve">ORD-01173</t>
  </si>
  <si>
    <t xml:space="preserve">ORD-01174</t>
  </si>
  <si>
    <t xml:space="preserve">ORD-01175</t>
  </si>
  <si>
    <t xml:space="preserve">ORD-01176</t>
  </si>
  <si>
    <t xml:space="preserve">ORD-01177</t>
  </si>
  <si>
    <t xml:space="preserve">ORD-01178</t>
  </si>
  <si>
    <t xml:space="preserve">ORD-01179</t>
  </si>
  <si>
    <t xml:space="preserve">ORD-01180</t>
  </si>
  <si>
    <t xml:space="preserve">ORD-01181</t>
  </si>
  <si>
    <t xml:space="preserve">ORD-01182</t>
  </si>
  <si>
    <t xml:space="preserve">ORD-01183</t>
  </si>
  <si>
    <t xml:space="preserve">ORD-01184</t>
  </si>
  <si>
    <t xml:space="preserve">ORD-01185</t>
  </si>
  <si>
    <t xml:space="preserve">ORD-01186</t>
  </si>
  <si>
    <t xml:space="preserve">ORD-01187</t>
  </si>
  <si>
    <t xml:space="preserve">ORD-01188</t>
  </si>
  <si>
    <t xml:space="preserve">ORD-01189</t>
  </si>
  <si>
    <t xml:space="preserve">ORD-01190</t>
  </si>
  <si>
    <t xml:space="preserve">ORD-01191</t>
  </si>
  <si>
    <t xml:space="preserve">ORD-01192</t>
  </si>
  <si>
    <t xml:space="preserve">ORD-01193</t>
  </si>
  <si>
    <t xml:space="preserve">ORD-01194</t>
  </si>
  <si>
    <t xml:space="preserve">ORD-01195</t>
  </si>
  <si>
    <t xml:space="preserve">ORD-01196</t>
  </si>
  <si>
    <t xml:space="preserve">ORD-01197</t>
  </si>
  <si>
    <t xml:space="preserve">ORD-01198</t>
  </si>
  <si>
    <t xml:space="preserve">ORD-01199</t>
  </si>
  <si>
    <t xml:space="preserve">ORD-01200</t>
  </si>
  <si>
    <t xml:space="preserve">ORD-01201</t>
  </si>
  <si>
    <t xml:space="preserve">ORD-01202</t>
  </si>
  <si>
    <t xml:space="preserve">ORD-01203</t>
  </si>
  <si>
    <t xml:space="preserve">ORD-01204</t>
  </si>
  <si>
    <t xml:space="preserve">ORD-01205</t>
  </si>
  <si>
    <t xml:space="preserve">ORD-01206</t>
  </si>
  <si>
    <t xml:space="preserve">ORD-01207</t>
  </si>
  <si>
    <t xml:space="preserve">ORD-01208</t>
  </si>
  <si>
    <t xml:space="preserve">ORD-01209</t>
  </si>
  <si>
    <t xml:space="preserve">ORD-01210</t>
  </si>
  <si>
    <t xml:space="preserve">ORD-01211</t>
  </si>
  <si>
    <t xml:space="preserve">ORD-01212</t>
  </si>
  <si>
    <t xml:space="preserve">ORD-01213</t>
  </si>
  <si>
    <t xml:space="preserve">ORD-01214</t>
  </si>
  <si>
    <t xml:space="preserve">ORD-01215</t>
  </si>
  <si>
    <t xml:space="preserve">ORD-01216</t>
  </si>
  <si>
    <t xml:space="preserve">ORD-01217</t>
  </si>
  <si>
    <t xml:space="preserve">ORD-01218</t>
  </si>
  <si>
    <t xml:space="preserve">ORD-01219</t>
  </si>
  <si>
    <t xml:space="preserve">ORD-01220</t>
  </si>
  <si>
    <t xml:space="preserve">ORD-01221</t>
  </si>
  <si>
    <t xml:space="preserve">ORD-01222</t>
  </si>
  <si>
    <t xml:space="preserve">ORD-01223</t>
  </si>
  <si>
    <t xml:space="preserve">ORD-01224</t>
  </si>
  <si>
    <t xml:space="preserve">ORD-01225</t>
  </si>
  <si>
    <t xml:space="preserve">ORD-01226</t>
  </si>
  <si>
    <t xml:space="preserve">ORD-01227</t>
  </si>
  <si>
    <t xml:space="preserve">ORD-01228</t>
  </si>
  <si>
    <t xml:space="preserve">ORD-01229</t>
  </si>
  <si>
    <t xml:space="preserve">ORD-01230</t>
  </si>
  <si>
    <t xml:space="preserve">ORD-01231</t>
  </si>
  <si>
    <t xml:space="preserve">ORD-01232</t>
  </si>
  <si>
    <t xml:space="preserve">ORD-01233</t>
  </si>
  <si>
    <t xml:space="preserve">ORD-01234</t>
  </si>
  <si>
    <t xml:space="preserve">ORD-01235</t>
  </si>
  <si>
    <t xml:space="preserve">ORD-01236</t>
  </si>
  <si>
    <t xml:space="preserve">ORD-01237</t>
  </si>
  <si>
    <t xml:space="preserve">ORD-01238</t>
  </si>
  <si>
    <t xml:space="preserve">ORD-01239</t>
  </si>
  <si>
    <t xml:space="preserve">ORD-01240</t>
  </si>
  <si>
    <t xml:space="preserve">ORD-01241</t>
  </si>
  <si>
    <t xml:space="preserve">ORD-01242</t>
  </si>
  <si>
    <t xml:space="preserve">ORD-01243</t>
  </si>
  <si>
    <t xml:space="preserve">ORD-01244</t>
  </si>
  <si>
    <t xml:space="preserve">ORD-01245</t>
  </si>
  <si>
    <t xml:space="preserve">ORD-01246</t>
  </si>
  <si>
    <t xml:space="preserve">ORD-01247</t>
  </si>
  <si>
    <t xml:space="preserve">ORD-01248</t>
  </si>
  <si>
    <t xml:space="preserve">ORD-01249</t>
  </si>
  <si>
    <t xml:space="preserve">ORD-01250</t>
  </si>
  <si>
    <t xml:space="preserve">ORD-01251</t>
  </si>
  <si>
    <t xml:space="preserve">ORD-01252</t>
  </si>
  <si>
    <t xml:space="preserve">ORD-01253</t>
  </si>
  <si>
    <t xml:space="preserve">ORD-01254</t>
  </si>
  <si>
    <t xml:space="preserve">ORD-01255</t>
  </si>
  <si>
    <t xml:space="preserve">ORD-01256</t>
  </si>
  <si>
    <t xml:space="preserve">ORD-01257</t>
  </si>
  <si>
    <t xml:space="preserve">ORD-01258</t>
  </si>
  <si>
    <t xml:space="preserve">ORD-01259</t>
  </si>
  <si>
    <t xml:space="preserve">ORD-01260</t>
  </si>
  <si>
    <t xml:space="preserve">ORD-01261</t>
  </si>
  <si>
    <t xml:space="preserve">ORD-01262</t>
  </si>
  <si>
    <t xml:space="preserve">ORD-01263</t>
  </si>
  <si>
    <t xml:space="preserve">ORD-01264</t>
  </si>
  <si>
    <t xml:space="preserve">ORD-01265</t>
  </si>
  <si>
    <t xml:space="preserve">ORD-01266</t>
  </si>
  <si>
    <t xml:space="preserve">ORD-01267</t>
  </si>
  <si>
    <t xml:space="preserve">ORD-01268</t>
  </si>
  <si>
    <t xml:space="preserve">ORD-01269</t>
  </si>
  <si>
    <t xml:space="preserve">ORD-01270</t>
  </si>
  <si>
    <t xml:space="preserve">ORD-01271</t>
  </si>
  <si>
    <t xml:space="preserve">ORD-01272</t>
  </si>
  <si>
    <t xml:space="preserve">ORD-01273</t>
  </si>
  <si>
    <t xml:space="preserve">ORD-01274</t>
  </si>
  <si>
    <t xml:space="preserve">ORD-01275</t>
  </si>
  <si>
    <t xml:space="preserve">ORD-01276</t>
  </si>
  <si>
    <t xml:space="preserve">ORD-01277</t>
  </si>
  <si>
    <t xml:space="preserve">ORD-01278</t>
  </si>
  <si>
    <t xml:space="preserve">ORD-01279</t>
  </si>
  <si>
    <t xml:space="preserve">ORD-01280</t>
  </si>
  <si>
    <t xml:space="preserve">ORD-01281</t>
  </si>
  <si>
    <t xml:space="preserve">ORD-01282</t>
  </si>
  <si>
    <t xml:space="preserve">ORD-01283</t>
  </si>
  <si>
    <t xml:space="preserve">ORD-01284</t>
  </si>
  <si>
    <t xml:space="preserve">ORD-01285</t>
  </si>
  <si>
    <t xml:space="preserve">ORD-01286</t>
  </si>
  <si>
    <t xml:space="preserve">ORD-01287</t>
  </si>
  <si>
    <t xml:space="preserve">ORD-01288</t>
  </si>
  <si>
    <t xml:space="preserve">ORD-01289</t>
  </si>
  <si>
    <t xml:space="preserve">ORD-01290</t>
  </si>
  <si>
    <t xml:space="preserve">ORD-01291</t>
  </si>
  <si>
    <t xml:space="preserve">ORD-01292</t>
  </si>
  <si>
    <t xml:space="preserve">ORD-01293</t>
  </si>
  <si>
    <t xml:space="preserve">ORD-01294</t>
  </si>
  <si>
    <t xml:space="preserve">ORD-01295</t>
  </si>
  <si>
    <t xml:space="preserve">ORD-01296</t>
  </si>
  <si>
    <t xml:space="preserve">ORD-01297</t>
  </si>
  <si>
    <t xml:space="preserve">ORD-01298</t>
  </si>
  <si>
    <t xml:space="preserve">ORD-01299</t>
  </si>
  <si>
    <t xml:space="preserve">ORD-01300</t>
  </si>
  <si>
    <t xml:space="preserve">ORD-01301</t>
  </si>
  <si>
    <t xml:space="preserve">ORD-01302</t>
  </si>
  <si>
    <t xml:space="preserve">ORD-01303</t>
  </si>
  <si>
    <t xml:space="preserve">ORD-01304</t>
  </si>
  <si>
    <t xml:space="preserve">ORD-01305</t>
  </si>
  <si>
    <t xml:space="preserve">ORD-01306</t>
  </si>
  <si>
    <t xml:space="preserve">ORD-01307</t>
  </si>
  <si>
    <t xml:space="preserve">ORD-01308</t>
  </si>
  <si>
    <t xml:space="preserve">ORD-01309</t>
  </si>
  <si>
    <t xml:space="preserve">ORD-01310</t>
  </si>
  <si>
    <t xml:space="preserve">ORD-01311</t>
  </si>
  <si>
    <t xml:space="preserve">ORD-01312</t>
  </si>
  <si>
    <t xml:space="preserve">ORD-01313</t>
  </si>
  <si>
    <t xml:space="preserve">ORD-01314</t>
  </si>
  <si>
    <t xml:space="preserve">ORD-01315</t>
  </si>
  <si>
    <t xml:space="preserve">ORD-01316</t>
  </si>
  <si>
    <t xml:space="preserve">ORD-01317</t>
  </si>
  <si>
    <t xml:space="preserve">ORD-01318</t>
  </si>
  <si>
    <t xml:space="preserve">ORD-01319</t>
  </si>
  <si>
    <t xml:space="preserve">ORD-01320</t>
  </si>
  <si>
    <t xml:space="preserve">ORD-01321</t>
  </si>
  <si>
    <t xml:space="preserve">ORD-01322</t>
  </si>
  <si>
    <t xml:space="preserve">ORD-01323</t>
  </si>
  <si>
    <t xml:space="preserve">ORD-01324</t>
  </si>
  <si>
    <t xml:space="preserve">ORD-01325</t>
  </si>
  <si>
    <t xml:space="preserve">ORD-01326</t>
  </si>
  <si>
    <t xml:space="preserve">ORD-01327</t>
  </si>
  <si>
    <t xml:space="preserve">ORD-01328</t>
  </si>
  <si>
    <t xml:space="preserve">ORD-01329</t>
  </si>
  <si>
    <t xml:space="preserve">ORD-01330</t>
  </si>
  <si>
    <t xml:space="preserve">ORD-01331</t>
  </si>
  <si>
    <t xml:space="preserve">ORD-01332</t>
  </si>
  <si>
    <t xml:space="preserve">ORD-01333</t>
  </si>
  <si>
    <t xml:space="preserve">ORD-01334</t>
  </si>
  <si>
    <t xml:space="preserve">ORD-01335</t>
  </si>
  <si>
    <t xml:space="preserve">ORD-01336</t>
  </si>
  <si>
    <t xml:space="preserve">ORD-01337</t>
  </si>
  <si>
    <t xml:space="preserve">ORD-01338</t>
  </si>
  <si>
    <t xml:space="preserve">ORD-01339</t>
  </si>
  <si>
    <t xml:space="preserve">ORD-01340</t>
  </si>
  <si>
    <t xml:space="preserve">ORD-01341</t>
  </si>
  <si>
    <t xml:space="preserve">ORD-01342</t>
  </si>
  <si>
    <t xml:space="preserve">ORD-01343</t>
  </si>
  <si>
    <t xml:space="preserve">ORD-01344</t>
  </si>
  <si>
    <t xml:space="preserve">ORD-01345</t>
  </si>
  <si>
    <t xml:space="preserve">ORD-01346</t>
  </si>
  <si>
    <t xml:space="preserve">ORD-01347</t>
  </si>
  <si>
    <t xml:space="preserve">ORD-01348</t>
  </si>
  <si>
    <t xml:space="preserve">ORD-01349</t>
  </si>
  <si>
    <t xml:space="preserve">ORD-01350</t>
  </si>
  <si>
    <t xml:space="preserve">ORD-01351</t>
  </si>
  <si>
    <t xml:space="preserve">ORD-01352</t>
  </si>
  <si>
    <t xml:space="preserve">ORD-01353</t>
  </si>
  <si>
    <t xml:space="preserve">ORD-01354</t>
  </si>
  <si>
    <t xml:space="preserve">ORD-01355</t>
  </si>
  <si>
    <t xml:space="preserve">ORD-01356</t>
  </si>
  <si>
    <t xml:space="preserve">ORD-01357</t>
  </si>
  <si>
    <t xml:space="preserve">ORD-01358</t>
  </si>
  <si>
    <t xml:space="preserve">ORD-01359</t>
  </si>
  <si>
    <t xml:space="preserve">ORD-01360</t>
  </si>
  <si>
    <t xml:space="preserve">ORD-01361</t>
  </si>
  <si>
    <t xml:space="preserve">ORD-01362</t>
  </si>
  <si>
    <t xml:space="preserve">ORD-01363</t>
  </si>
  <si>
    <t xml:space="preserve">ORD-01364</t>
  </si>
  <si>
    <t xml:space="preserve">ORD-01365</t>
  </si>
  <si>
    <t xml:space="preserve">ORD-01366</t>
  </si>
  <si>
    <t xml:space="preserve">ORD-01367</t>
  </si>
  <si>
    <t xml:space="preserve">ORD-01368</t>
  </si>
  <si>
    <t xml:space="preserve">ORD-01369</t>
  </si>
  <si>
    <t xml:space="preserve">ORD-01370</t>
  </si>
  <si>
    <t xml:space="preserve">ORD-01371</t>
  </si>
  <si>
    <t xml:space="preserve">ORD-01372</t>
  </si>
  <si>
    <t xml:space="preserve">ORD-01373</t>
  </si>
  <si>
    <t xml:space="preserve">ORD-01374</t>
  </si>
  <si>
    <t xml:space="preserve">ORD-01375</t>
  </si>
  <si>
    <t xml:space="preserve">ORD-01376</t>
  </si>
  <si>
    <t xml:space="preserve">ORD-01377</t>
  </si>
  <si>
    <t xml:space="preserve">ORD-01378</t>
  </si>
  <si>
    <t xml:space="preserve">ORD-01379</t>
  </si>
  <si>
    <t xml:space="preserve">ORD-01380</t>
  </si>
  <si>
    <t xml:space="preserve">ORD-01381</t>
  </si>
  <si>
    <t xml:space="preserve">ORD-01382</t>
  </si>
  <si>
    <t xml:space="preserve">ORD-01383</t>
  </si>
  <si>
    <t xml:space="preserve">ORD-01384</t>
  </si>
  <si>
    <t xml:space="preserve">ORD-01385</t>
  </si>
  <si>
    <t xml:space="preserve">ORD-01386</t>
  </si>
  <si>
    <t xml:space="preserve">ORD-01387</t>
  </si>
  <si>
    <t xml:space="preserve">ORD-01388</t>
  </si>
  <si>
    <t xml:space="preserve">ORD-01389</t>
  </si>
  <si>
    <t xml:space="preserve">ORD-01390</t>
  </si>
  <si>
    <t xml:space="preserve">ORD-01391</t>
  </si>
  <si>
    <t xml:space="preserve">ORD-01392</t>
  </si>
  <si>
    <t xml:space="preserve">ORD-01393</t>
  </si>
  <si>
    <t xml:space="preserve">ORD-01394</t>
  </si>
  <si>
    <t xml:space="preserve">ORD-01395</t>
  </si>
  <si>
    <t xml:space="preserve">ORD-01396</t>
  </si>
  <si>
    <t xml:space="preserve">ORD-01397</t>
  </si>
  <si>
    <t xml:space="preserve">ORD-01398</t>
  </si>
  <si>
    <t xml:space="preserve">ORD-01399</t>
  </si>
  <si>
    <t xml:space="preserve">ORD-01400</t>
  </si>
  <si>
    <t xml:space="preserve">ORD-01401</t>
  </si>
  <si>
    <t xml:space="preserve">ORD-01402</t>
  </si>
  <si>
    <t xml:space="preserve">ORD-01403</t>
  </si>
  <si>
    <t xml:space="preserve">ORD-01404</t>
  </si>
  <si>
    <t xml:space="preserve">ORD-01405</t>
  </si>
  <si>
    <t xml:space="preserve">ORD-01406</t>
  </si>
  <si>
    <t xml:space="preserve">ORD-01407</t>
  </si>
  <si>
    <t xml:space="preserve">ORD-01408</t>
  </si>
  <si>
    <t xml:space="preserve">ORD-01409</t>
  </si>
  <si>
    <t xml:space="preserve">ORD-01410</t>
  </si>
  <si>
    <t xml:space="preserve">ORD-01411</t>
  </si>
  <si>
    <t xml:space="preserve">ORD-01412</t>
  </si>
  <si>
    <t xml:space="preserve">ORD-01413</t>
  </si>
  <si>
    <t xml:space="preserve">ORD-01414</t>
  </si>
  <si>
    <t xml:space="preserve">ORD-01415</t>
  </si>
  <si>
    <t xml:space="preserve">ORD-01416</t>
  </si>
  <si>
    <t xml:space="preserve">ORD-01417</t>
  </si>
  <si>
    <t xml:space="preserve">ORD-01418</t>
  </si>
  <si>
    <t xml:space="preserve">ORD-01419</t>
  </si>
  <si>
    <t xml:space="preserve">ORD-01420</t>
  </si>
  <si>
    <t xml:space="preserve">ORD-01421</t>
  </si>
  <si>
    <t xml:space="preserve">ORD-01422</t>
  </si>
  <si>
    <t xml:space="preserve">ORD-01423</t>
  </si>
  <si>
    <t xml:space="preserve">ORD-01424</t>
  </si>
  <si>
    <t xml:space="preserve">ORD-01425</t>
  </si>
  <si>
    <t xml:space="preserve">ORD-01426</t>
  </si>
  <si>
    <t xml:space="preserve">ORD-01427</t>
  </si>
  <si>
    <t xml:space="preserve">ORD-01428</t>
  </si>
  <si>
    <t xml:space="preserve">ORD-01429</t>
  </si>
  <si>
    <t xml:space="preserve">ORD-01430</t>
  </si>
  <si>
    <t xml:space="preserve">ORD-01431</t>
  </si>
  <si>
    <t xml:space="preserve">ORD-01432</t>
  </si>
  <si>
    <t xml:space="preserve">ORD-01433</t>
  </si>
  <si>
    <t xml:space="preserve">ORD-01434</t>
  </si>
  <si>
    <t xml:space="preserve">ORD-01435</t>
  </si>
  <si>
    <t xml:space="preserve">ORD-01436</t>
  </si>
  <si>
    <t xml:space="preserve">ORD-01437</t>
  </si>
  <si>
    <t xml:space="preserve">ORD-01438</t>
  </si>
  <si>
    <t xml:space="preserve">ORD-01439</t>
  </si>
  <si>
    <t xml:space="preserve">ORD-01440</t>
  </si>
  <si>
    <t xml:space="preserve">ORD-01441</t>
  </si>
  <si>
    <t xml:space="preserve">ORD-01442</t>
  </si>
  <si>
    <t xml:space="preserve">ORD-01443</t>
  </si>
  <si>
    <t xml:space="preserve">ORD-01444</t>
  </si>
  <si>
    <t xml:space="preserve">ORD-01445</t>
  </si>
  <si>
    <t xml:space="preserve">ORD-01446</t>
  </si>
  <si>
    <t xml:space="preserve">ORD-01447</t>
  </si>
  <si>
    <t xml:space="preserve">ORD-01448</t>
  </si>
  <si>
    <t xml:space="preserve">ORD-01449</t>
  </si>
  <si>
    <t xml:space="preserve">ORD-01450</t>
  </si>
  <si>
    <t xml:space="preserve">ORD-01451</t>
  </si>
  <si>
    <t xml:space="preserve">ORD-01452</t>
  </si>
  <si>
    <t xml:space="preserve">ORD-01453</t>
  </si>
  <si>
    <t xml:space="preserve">ORD-01454</t>
  </si>
  <si>
    <t xml:space="preserve">ORD-01455</t>
  </si>
  <si>
    <t xml:space="preserve">ORD-01456</t>
  </si>
  <si>
    <t xml:space="preserve">ORD-01457</t>
  </si>
  <si>
    <t xml:space="preserve">ORD-01458</t>
  </si>
  <si>
    <t xml:space="preserve">ORD-01459</t>
  </si>
  <si>
    <t xml:space="preserve">ORD-01460</t>
  </si>
  <si>
    <t xml:space="preserve">ORD-01461</t>
  </si>
  <si>
    <t xml:space="preserve">ORD-01462</t>
  </si>
  <si>
    <t xml:space="preserve">ORD-01463</t>
  </si>
  <si>
    <t xml:space="preserve">ORD-01464</t>
  </si>
  <si>
    <t xml:space="preserve">ORD-01465</t>
  </si>
  <si>
    <t xml:space="preserve">ORD-01466</t>
  </si>
  <si>
    <t xml:space="preserve">ORD-01467</t>
  </si>
  <si>
    <t xml:space="preserve">ORD-01468</t>
  </si>
  <si>
    <t xml:space="preserve">ORD-01469</t>
  </si>
  <si>
    <t xml:space="preserve">ORD-01470</t>
  </si>
  <si>
    <t xml:space="preserve">ORD-01471</t>
  </si>
  <si>
    <t xml:space="preserve">ORD-01472</t>
  </si>
  <si>
    <t xml:space="preserve">ORD-01473</t>
  </si>
  <si>
    <t xml:space="preserve">ORD-01474</t>
  </si>
  <si>
    <t xml:space="preserve">ORD-01475</t>
  </si>
  <si>
    <t xml:space="preserve">ORD-01476</t>
  </si>
  <si>
    <t xml:space="preserve">ORD-01477</t>
  </si>
  <si>
    <t xml:space="preserve">ORD-01478</t>
  </si>
  <si>
    <t xml:space="preserve">ORD-01479</t>
  </si>
  <si>
    <t xml:space="preserve">ORD-01480</t>
  </si>
  <si>
    <t xml:space="preserve">ORD-01481</t>
  </si>
  <si>
    <t xml:space="preserve">ORD-01482</t>
  </si>
  <si>
    <t xml:space="preserve">ORD-01483</t>
  </si>
  <si>
    <t xml:space="preserve">ORD-01484</t>
  </si>
  <si>
    <t xml:space="preserve">ORD-01485</t>
  </si>
  <si>
    <t xml:space="preserve">ORD-01486</t>
  </si>
  <si>
    <t xml:space="preserve">ORD-01487</t>
  </si>
  <si>
    <t xml:space="preserve">ORD-01488</t>
  </si>
  <si>
    <t xml:space="preserve">ORD-01489</t>
  </si>
  <si>
    <t xml:space="preserve">ORD-01490</t>
  </si>
  <si>
    <t xml:space="preserve">ORD-01491</t>
  </si>
  <si>
    <t xml:space="preserve">ORD-01492</t>
  </si>
  <si>
    <t xml:space="preserve">ORD-01493</t>
  </si>
  <si>
    <t xml:space="preserve">ORD-01494</t>
  </si>
  <si>
    <t xml:space="preserve">ORD-01495</t>
  </si>
  <si>
    <t xml:space="preserve">ORD-01496</t>
  </si>
  <si>
    <t xml:space="preserve">ORD-01497</t>
  </si>
  <si>
    <t xml:space="preserve">ORD-01498</t>
  </si>
  <si>
    <t xml:space="preserve">ORD-01499</t>
  </si>
  <si>
    <t xml:space="preserve">ORD-01500</t>
  </si>
  <si>
    <t xml:space="preserve">اسم المنتج</t>
  </si>
  <si>
    <t xml:space="preserve">سعر البيع (ريال)</t>
  </si>
  <si>
    <t xml:space="preserve">التكلفة (ريال)</t>
  </si>
  <si>
    <t xml:space="preserve">هامش الوحدة %</t>
  </si>
  <si>
    <t xml:space="preserve">الأسعار والتكاليف (الخط الأزرق) مدخلات رئيسية؛ أي تعديل عليها ينعكس على كل التحليلات.</t>
  </si>
  <si>
    <t xml:space="preserve">هاتف ذكي</t>
  </si>
  <si>
    <t xml:space="preserve">حاسوب محمول</t>
  </si>
  <si>
    <t xml:space="preserve">سماعات لاسلكية</t>
  </si>
  <si>
    <t xml:space="preserve">شاشة 27 بوصة</t>
  </si>
  <si>
    <t xml:space="preserve">مكنسة كهربائية</t>
  </si>
  <si>
    <t xml:space="preserve">خلاط</t>
  </si>
  <si>
    <t xml:space="preserve">مكيف نقال</t>
  </si>
  <si>
    <t xml:space="preserve">قلاية هوائية</t>
  </si>
  <si>
    <t xml:space="preserve">مكتب عمل</t>
  </si>
  <si>
    <t xml:space="preserve">كرسي مريح</t>
  </si>
  <si>
    <t xml:space="preserve">خزانة ملفات</t>
  </si>
  <si>
    <t xml:space="preserve">رف كتب</t>
  </si>
  <si>
    <t xml:space="preserve">طابعة ليزر</t>
  </si>
  <si>
    <t xml:space="preserve">ورق A4 (صندوق)</t>
  </si>
  <si>
    <t xml:space="preserve">حقيبة لابتوب</t>
  </si>
  <si>
    <t xml:space="preserve">طقم أدوات مكتبية</t>
  </si>
  <si>
    <t xml:space="preserve">جهاز مشي</t>
  </si>
  <si>
    <t xml:space="preserve">دراجة ثابتة</t>
  </si>
  <si>
    <t xml:space="preserve">طقم أوزان</t>
  </si>
  <si>
    <t xml:space="preserve">سجادة يوغا</t>
  </si>
  <si>
    <t xml:space="preserve">عطر فاخر</t>
  </si>
  <si>
    <t xml:space="preserve">ماكينة حلاقة</t>
  </si>
  <si>
    <t xml:space="preserve">مجفف شعر</t>
  </si>
  <si>
    <t xml:space="preserve">جهاز تدليك</t>
  </si>
  <si>
    <t xml:space="preserve">نوع العميل</t>
  </si>
  <si>
    <t xml:space="preserve">المدينة</t>
  </si>
  <si>
    <t xml:space="preserve">تاريخ الانضمام</t>
  </si>
  <si>
    <t xml:space="preserve">محمد الدوسري</t>
  </si>
  <si>
    <t xml:space="preserve">الخبر</t>
  </si>
  <si>
    <t xml:space="preserve">سلمان الخالدي</t>
  </si>
  <si>
    <t xml:space="preserve">الدمام</t>
  </si>
  <si>
    <t xml:space="preserve">هند الخالدي</t>
  </si>
  <si>
    <t xml:space="preserve">القصيم</t>
  </si>
  <si>
    <t xml:space="preserve">ليلى الزهراني</t>
  </si>
  <si>
    <t xml:space="preserve">الأحساء</t>
  </si>
  <si>
    <t xml:space="preserve">ناصر البلوي</t>
  </si>
  <si>
    <t xml:space="preserve">محمد البلوي</t>
  </si>
  <si>
    <t xml:space="preserve">الرياض</t>
  </si>
  <si>
    <t xml:space="preserve">سارة البلوي</t>
  </si>
  <si>
    <t xml:space="preserve">سلمان الحربي</t>
  </si>
  <si>
    <t xml:space="preserve">مكة</t>
  </si>
  <si>
    <t xml:space="preserve">سارة العنزي</t>
  </si>
  <si>
    <t xml:space="preserve">فهد الزهراني</t>
  </si>
  <si>
    <t xml:space="preserve">جازان</t>
  </si>
  <si>
    <t xml:space="preserve">ياسر الغامدي</t>
  </si>
  <si>
    <t xml:space="preserve">محمد الحربي</t>
  </si>
  <si>
    <t xml:space="preserve">طارق الشهري</t>
  </si>
  <si>
    <t xml:space="preserve">ريم الشمري</t>
  </si>
  <si>
    <t xml:space="preserve">ياسر العتيبي</t>
  </si>
  <si>
    <t xml:space="preserve">لمى الخالدي</t>
  </si>
  <si>
    <t xml:space="preserve">خالد الشهري</t>
  </si>
  <si>
    <t xml:space="preserve">ريم الحسيني</t>
  </si>
  <si>
    <t xml:space="preserve">ليلى المطيري</t>
  </si>
  <si>
    <t xml:space="preserve">ليلى البلوي</t>
  </si>
  <si>
    <t xml:space="preserve">أبها</t>
  </si>
  <si>
    <t xml:space="preserve">جود الغامدي</t>
  </si>
  <si>
    <t xml:space="preserve">هند القحطاني</t>
  </si>
  <si>
    <t xml:space="preserve">عبدالله العتيبي</t>
  </si>
  <si>
    <t xml:space="preserve">جدة</t>
  </si>
  <si>
    <t xml:space="preserve">سارة العتيبي</t>
  </si>
  <si>
    <t xml:space="preserve">فهد البلوي</t>
  </si>
  <si>
    <t xml:space="preserve">عبير السبيعي</t>
  </si>
  <si>
    <t xml:space="preserve">سارة الدوسري</t>
  </si>
  <si>
    <t xml:space="preserve">عبير العتيبي</t>
  </si>
  <si>
    <t xml:space="preserve">منى العتيبي</t>
  </si>
  <si>
    <t xml:space="preserve">ياسر الدوسري</t>
  </si>
  <si>
    <t xml:space="preserve">ناصر السبيعي</t>
  </si>
  <si>
    <t xml:space="preserve">سارة الخالدي</t>
  </si>
  <si>
    <t xml:space="preserve">عبدالله التميمي</t>
  </si>
  <si>
    <t xml:space="preserve">منى العنزي</t>
  </si>
  <si>
    <t xml:space="preserve">ياسر الشهري</t>
  </si>
  <si>
    <t xml:space="preserve">منى الدوسري</t>
  </si>
  <si>
    <t xml:space="preserve">جود التميمي</t>
  </si>
  <si>
    <t xml:space="preserve">أحمد السبيعي</t>
  </si>
  <si>
    <t xml:space="preserve">ريم التميمي</t>
  </si>
  <si>
    <t xml:space="preserve">أحمد الزهراني</t>
  </si>
  <si>
    <t xml:space="preserve">عبدالله البلوي</t>
  </si>
  <si>
    <t xml:space="preserve">سلمان التميمي</t>
  </si>
  <si>
    <t xml:space="preserve">سلمان الغامدي</t>
  </si>
  <si>
    <t xml:space="preserve">طارق البلوي</t>
  </si>
  <si>
    <t xml:space="preserve">منى القحطاني</t>
  </si>
  <si>
    <t xml:space="preserve">خالد الخالدي</t>
  </si>
  <si>
    <t xml:space="preserve">طارق الشمري</t>
  </si>
  <si>
    <t xml:space="preserve">لمى القحطاني</t>
  </si>
  <si>
    <t xml:space="preserve">سلمان المطيري</t>
  </si>
  <si>
    <t xml:space="preserve">ريم الخالدي</t>
  </si>
  <si>
    <t xml:space="preserve">لمى المطيري</t>
  </si>
  <si>
    <t xml:space="preserve">فهد السبيعي</t>
  </si>
  <si>
    <t xml:space="preserve">طارق الحسيني</t>
  </si>
  <si>
    <t xml:space="preserve">ياسر التميمي</t>
  </si>
  <si>
    <t xml:space="preserve">سعد الدوسري</t>
  </si>
  <si>
    <t xml:space="preserve">محمد الشهري</t>
  </si>
  <si>
    <t xml:space="preserve">خالد الشمري</t>
  </si>
  <si>
    <t xml:space="preserve">جود الشهري</t>
  </si>
  <si>
    <t xml:space="preserve">لمى العتيبي</t>
  </si>
  <si>
    <t xml:space="preserve">ياسر الشمري</t>
  </si>
  <si>
    <t xml:space="preserve">نورة المطيري</t>
  </si>
  <si>
    <t xml:space="preserve">سارة الغامدي</t>
  </si>
  <si>
    <t xml:space="preserve">خالد البلوي</t>
  </si>
  <si>
    <t xml:space="preserve">عبير الزهراني</t>
  </si>
  <si>
    <t xml:space="preserve">محمد الزهراني</t>
  </si>
  <si>
    <t xml:space="preserve">ياسر الحسيني</t>
  </si>
  <si>
    <t xml:space="preserve">هند السبيعي</t>
  </si>
  <si>
    <t xml:space="preserve">جود الخالدي</t>
  </si>
  <si>
    <t xml:space="preserve">فهد التميمي</t>
  </si>
  <si>
    <t xml:space="preserve">أحمد الغامدي</t>
  </si>
  <si>
    <t xml:space="preserve">جود السبيعي</t>
  </si>
  <si>
    <t xml:space="preserve">ناصر الحسيني</t>
  </si>
  <si>
    <t xml:space="preserve">سلمان السبيعي</t>
  </si>
  <si>
    <t xml:space="preserve">سعد البلوي</t>
  </si>
  <si>
    <t xml:space="preserve">أحمد العنزي</t>
  </si>
  <si>
    <t xml:space="preserve">ريم السبيعي</t>
  </si>
  <si>
    <t xml:space="preserve">سلمان العتيبي</t>
  </si>
  <si>
    <t xml:space="preserve">ياسر العنزي</t>
  </si>
  <si>
    <t xml:space="preserve">طارق السبيعي</t>
  </si>
  <si>
    <t xml:space="preserve">لمى الحسيني</t>
  </si>
  <si>
    <t xml:space="preserve">دانة الدوسري</t>
  </si>
  <si>
    <t xml:space="preserve">نورة الدوسري</t>
  </si>
  <si>
    <t xml:space="preserve">عبير الغامدي</t>
  </si>
  <si>
    <t xml:space="preserve">أحمد الحربي</t>
  </si>
  <si>
    <t xml:space="preserve">جود الشمري</t>
  </si>
  <si>
    <t xml:space="preserve">ناصر القحطاني</t>
  </si>
  <si>
    <t xml:space="preserve">خالد الدوسري</t>
  </si>
  <si>
    <t xml:space="preserve">سعد التميمي</t>
  </si>
  <si>
    <t xml:space="preserve">دانة التميمي</t>
  </si>
  <si>
    <t xml:space="preserve">ناصر الخالدي</t>
  </si>
  <si>
    <t xml:space="preserve">نورة البلوي</t>
  </si>
  <si>
    <t xml:space="preserve">ليلى الدوسري</t>
  </si>
  <si>
    <t xml:space="preserve">عبير الحسيني</t>
  </si>
  <si>
    <t xml:space="preserve">منى الشهري</t>
  </si>
  <si>
    <t xml:space="preserve">دانة القحطاني</t>
  </si>
  <si>
    <t xml:space="preserve">ناصر التميمي</t>
  </si>
  <si>
    <t xml:space="preserve">عبدالله الشهري</t>
  </si>
  <si>
    <t xml:space="preserve">فهد القحطاني</t>
  </si>
  <si>
    <t xml:space="preserve">سارة السبيعي</t>
  </si>
  <si>
    <t xml:space="preserve">ليلى الخالدي</t>
  </si>
  <si>
    <t xml:space="preserve">ليلى الحسيني</t>
  </si>
  <si>
    <t xml:space="preserve">جود الحربي</t>
  </si>
  <si>
    <t xml:space="preserve">ناصر الغامدي</t>
  </si>
  <si>
    <t xml:space="preserve">نورة الحربي</t>
  </si>
  <si>
    <t xml:space="preserve">طارق الزهراني</t>
  </si>
  <si>
    <t xml:space="preserve">ليلى السبيعي</t>
  </si>
  <si>
    <t xml:space="preserve">سارة الزهراني</t>
  </si>
  <si>
    <t xml:space="preserve">خالد السبيعي</t>
  </si>
  <si>
    <t xml:space="preserve">سعد الشهري</t>
  </si>
  <si>
    <t xml:space="preserve">منى الحسيني</t>
  </si>
  <si>
    <t xml:space="preserve">دانة الحربي</t>
  </si>
  <si>
    <t xml:space="preserve">سلمان الحسيني</t>
  </si>
  <si>
    <t xml:space="preserve">خالد القحطاني</t>
  </si>
  <si>
    <t xml:space="preserve">عبدالله العنزي</t>
  </si>
  <si>
    <t xml:space="preserve">لمى التميمي</t>
  </si>
  <si>
    <t xml:space="preserve">محمد الشمري</t>
  </si>
  <si>
    <t xml:space="preserve">عبير القحطاني</t>
  </si>
  <si>
    <t xml:space="preserve">خالد الزهراني</t>
  </si>
  <si>
    <t xml:space="preserve">نورة التميمي</t>
  </si>
  <si>
    <t xml:space="preserve">منى البلوي</t>
  </si>
  <si>
    <t xml:space="preserve">منى الزهراني</t>
  </si>
  <si>
    <t xml:space="preserve">أحمد الحسيني</t>
  </si>
  <si>
    <t xml:space="preserve">عبير الشمري</t>
  </si>
  <si>
    <t xml:space="preserve">جود القحطاني</t>
  </si>
  <si>
    <t xml:space="preserve">هند البلوي</t>
  </si>
  <si>
    <t xml:space="preserve">منى الحربي</t>
  </si>
  <si>
    <t xml:space="preserve">ليلى الشهري</t>
  </si>
  <si>
    <t xml:space="preserve">ريم البلوي</t>
  </si>
  <si>
    <t xml:space="preserve">ليلى العتيبي</t>
  </si>
  <si>
    <t xml:space="preserve">دانة المطيري</t>
  </si>
  <si>
    <t xml:space="preserve">محمد العتيبي</t>
  </si>
  <si>
    <t xml:space="preserve">سلمان البلوي</t>
  </si>
  <si>
    <t xml:space="preserve">عبير الدوسري</t>
  </si>
  <si>
    <t xml:space="preserve">نورة الغامدي</t>
  </si>
  <si>
    <t xml:space="preserve">ناصر العتيبي</t>
  </si>
  <si>
    <t xml:space="preserve">سارة الحربي</t>
  </si>
  <si>
    <t xml:space="preserve">خالد الحربي</t>
  </si>
  <si>
    <t xml:space="preserve">منى الغامدي</t>
  </si>
  <si>
    <t xml:space="preserve">منى السبيعي</t>
  </si>
  <si>
    <t xml:space="preserve">جود العنزي</t>
  </si>
  <si>
    <t xml:space="preserve">أحمد العتيبي</t>
  </si>
  <si>
    <t xml:space="preserve">عبير البلوي</t>
  </si>
  <si>
    <t xml:space="preserve">منى التميمي</t>
  </si>
  <si>
    <t xml:space="preserve">محمد المطيري</t>
  </si>
  <si>
    <t xml:space="preserve">لمى السبيعي</t>
  </si>
  <si>
    <t xml:space="preserve">أحمد الخالدي</t>
  </si>
  <si>
    <t xml:space="preserve">هند الغامدي</t>
  </si>
  <si>
    <t xml:space="preserve">ناصر العنزي</t>
  </si>
  <si>
    <t xml:space="preserve">عبدالله الغامدي</t>
  </si>
  <si>
    <t xml:space="preserve">عبدالله الخالدي</t>
  </si>
  <si>
    <t xml:space="preserve">دانة العتيبي</t>
  </si>
  <si>
    <t xml:space="preserve">منى الشمري</t>
  </si>
  <si>
    <t xml:space="preserve">سلمان الشهري</t>
  </si>
  <si>
    <t xml:space="preserve">سارة الشهري</t>
  </si>
  <si>
    <t xml:space="preserve">نورة الشمري</t>
  </si>
  <si>
    <t xml:space="preserve">لمى الشمري</t>
  </si>
  <si>
    <t xml:space="preserve">منى الخالدي</t>
  </si>
  <si>
    <t xml:space="preserve">ليلى القحطاني</t>
  </si>
  <si>
    <t xml:space="preserve">هند الشهري</t>
  </si>
  <si>
    <t xml:space="preserve">أحمد المطيري</t>
  </si>
  <si>
    <t xml:space="preserve">ريم الزهراني</t>
  </si>
  <si>
    <t xml:space="preserve">عبير التميمي</t>
  </si>
  <si>
    <t xml:space="preserve">طارق الغامدي</t>
  </si>
  <si>
    <t xml:space="preserve">فهد الخالدي</t>
  </si>
  <si>
    <t xml:space="preserve">ناصر الدوسري</t>
  </si>
  <si>
    <t xml:space="preserve">عبير الخالدي</t>
  </si>
  <si>
    <t xml:space="preserve">عبدالله الحربي</t>
  </si>
  <si>
    <t xml:space="preserve">سارة الشمري</t>
  </si>
  <si>
    <t xml:space="preserve">عبير الشهري</t>
  </si>
  <si>
    <t xml:space="preserve">فهد المطيري</t>
  </si>
  <si>
    <t xml:space="preserve">أحمد القحطاني</t>
  </si>
  <si>
    <t xml:space="preserve">ياسر المطيري</t>
  </si>
  <si>
    <t xml:space="preserve">عبدالله الحسيني</t>
  </si>
  <si>
    <t xml:space="preserve">طارق التميمي</t>
  </si>
  <si>
    <t xml:space="preserve">نورة الشهري</t>
  </si>
  <si>
    <t xml:space="preserve">هند الدوسري</t>
  </si>
  <si>
    <t xml:space="preserve">فهد الغامدي</t>
  </si>
  <si>
    <t xml:space="preserve">هند العنزي</t>
  </si>
  <si>
    <t xml:space="preserve">لمى الحربي</t>
  </si>
  <si>
    <t xml:space="preserve">فهد الدوسري</t>
  </si>
  <si>
    <t xml:space="preserve">سعد العتيبي</t>
  </si>
  <si>
    <t xml:space="preserve">نورة الحسيني</t>
  </si>
  <si>
    <t xml:space="preserve">هند المطيري</t>
  </si>
  <si>
    <t xml:space="preserve">سارة القحطاني</t>
  </si>
  <si>
    <t xml:space="preserve">أحمد الشهري</t>
  </si>
  <si>
    <t xml:space="preserve">هند الحسيني</t>
  </si>
  <si>
    <t xml:space="preserve">ياسر الزهراني</t>
  </si>
  <si>
    <t xml:space="preserve">خالد العتيبي</t>
  </si>
  <si>
    <t xml:space="preserve">عبدالله الدوسري</t>
  </si>
  <si>
    <t xml:space="preserve">نورة الخالدي</t>
  </si>
  <si>
    <t xml:space="preserve">سارة الحسيني</t>
  </si>
  <si>
    <t xml:space="preserve">ناصر المطيري</t>
  </si>
  <si>
    <t xml:space="preserve">سارة التميمي</t>
  </si>
  <si>
    <t xml:space="preserve">عبدالله الشمري</t>
  </si>
  <si>
    <t xml:space="preserve">لمى البلوي</t>
  </si>
  <si>
    <t xml:space="preserve">محمد العنزي</t>
  </si>
  <si>
    <t xml:space="preserve">عبدالله القحطاني</t>
  </si>
  <si>
    <t xml:space="preserve">سعد الحربي</t>
  </si>
  <si>
    <t xml:space="preserve">ليلى الحربي</t>
  </si>
  <si>
    <t xml:space="preserve">ياسر السبيعي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</si>
</sst>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0%"/>
    <numFmt numFmtId="167" formatCode="0"/>
    <numFmt numFmtId="168" formatCode="0.0%"/>
    <numFmt numFmtId="169" formatCode="yyyy\-mm"/>
    <numFmt numFmtId="170" formatCode="0.0%;\-0.0%;0.0%"/>
    <numFmt numFmtId="171" formatCode="0.00"/>
    <numFmt numFmtId="172" formatCode="yyyy\-mm\-dd"/>
    <numFmt numFmtId="173" formatCode="#,##0;[RED]\-#,##0"/>
    <numFmt numFmtId="174" formatCode="0.000"/>
    <numFmt numFmtId="175" formatCode="0.0%;[RED]\-0.0%"/>
    <numFmt numFmtId="176" formatCode="#,##0.00;[RED]\-#,##0.00;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u val="single"/>
      <sz val="10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9C2B1B"/>
      <name val="Arial"/>
      <family val="0"/>
      <charset val="1"/>
    </font>
    <font>
      <b val="true"/>
      <u val="single"/>
      <sz val="14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9"/>
      <color rgb="FF7F8C8D"/>
      <name val="Arial"/>
      <family val="0"/>
      <charset val="1"/>
    </font>
    <font>
      <sz val="9"/>
      <color rgb="FF7F8C8D"/>
      <name val="Arial"/>
      <family val="0"/>
      <charset val="1"/>
    </font>
    <font>
      <b val="true"/>
      <sz val="22"/>
      <color rgb="FF1F3A5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sz val="10"/>
      <name val="FreeSans"/>
      <family val="2"/>
    </font>
    <font>
      <sz val="10"/>
      <name val="Arial"/>
      <family val="2"/>
    </font>
    <font>
      <b val="true"/>
      <sz val="18"/>
      <color rgb="FF000000"/>
      <name val="Calibri"/>
      <family val="2"/>
    </font>
    <font>
      <b val="true"/>
      <sz val="10"/>
      <color rgb="FF000000"/>
      <name val="FreeSans"/>
      <family val="2"/>
    </font>
    <font>
      <b val="true"/>
      <sz val="10"/>
      <color rgb="FF000000"/>
      <name val="Calibri"/>
      <family val="2"/>
    </font>
    <font>
      <i val="true"/>
      <sz val="10"/>
      <color rgb="FF7F8C8D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7F8C8D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2A9D8F"/>
        <bgColor rgb="FF008080"/>
      </patternFill>
    </fill>
    <fill>
      <patternFill patternType="solid">
        <fgColor rgb="FFF1F5F9"/>
        <bgColor rgb="FFF2F2F2"/>
      </patternFill>
    </fill>
    <fill>
      <patternFill patternType="solid">
        <fgColor rgb="FFDCE6F0"/>
        <bgColor rgb="FFDDEBF7"/>
      </patternFill>
    </fill>
    <fill>
      <patternFill patternType="solid">
        <fgColor rgb="FFFFF9DB"/>
        <bgColor rgb="FFFFF2CC"/>
      </patternFill>
    </fill>
    <fill>
      <patternFill patternType="solid">
        <fgColor rgb="FFFFFFFF"/>
        <bgColor rgb="FFF9F9F9"/>
      </patternFill>
    </fill>
    <fill>
      <patternFill patternType="solid">
        <fgColor rgb="FFC6E0B4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E9C46A"/>
        <bgColor rgb="FFF8CBAD"/>
      </patternFill>
    </fill>
    <fill>
      <patternFill patternType="solid">
        <fgColor rgb="FFF4A261"/>
        <bgColor rgb="FFE9C46A"/>
      </patternFill>
    </fill>
    <fill>
      <patternFill patternType="solid">
        <fgColor rgb="FFE76F51"/>
        <bgColor rgb="FFFF6600"/>
      </patternFill>
    </fill>
    <fill>
      <patternFill patternType="solid">
        <fgColor rgb="FF6C8EAD"/>
        <bgColor rgb="FF7F8C8D"/>
      </patternFill>
    </fill>
    <fill>
      <patternFill patternType="solid">
        <fgColor rgb="FFFFF2CC"/>
        <bgColor rgb="FFFFF9DB"/>
      </patternFill>
    </fill>
    <fill>
      <patternFill patternType="solid">
        <fgColor rgb="FFF2F2F2"/>
        <bgColor rgb="FFF1F5F9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  <diagonal/>
    </border>
    <border diagonalUp="false" diagonalDown="false">
      <left/>
      <right/>
      <top/>
      <bottom style="medium">
        <color rgb="FF2A9D8F"/>
      </bottom>
      <diagonal/>
    </border>
    <border diagonalUp="false" diagonalDown="false">
      <left style="thin">
        <color rgb="FFBFC9D4"/>
      </left>
      <right style="thin">
        <color rgb="FFBFC9D4"/>
      </right>
      <top style="thin">
        <color rgb="FFBFC9D4"/>
      </top>
      <bottom/>
      <diagonal/>
    </border>
    <border diagonalUp="false" diagonalDown="false">
      <left style="thin">
        <color rgb="FFBFC9D4"/>
      </left>
      <right style="thin">
        <color rgb="FFBFC9D4"/>
      </right>
      <top/>
      <bottom/>
      <diagonal/>
    </border>
    <border diagonalUp="false" diagonalDown="false">
      <left style="thin">
        <color rgb="FFBFC9D4"/>
      </left>
      <right style="thin">
        <color rgb="FFBFC9D4"/>
      </right>
      <top/>
      <bottom style="medium">
        <color rgb="FF1F3A5F"/>
      </bottom>
      <diagonal/>
    </border>
    <border diagonalUp="false" diagonalDown="false">
      <left style="thin">
        <color rgb="FFBFC9D4"/>
      </left>
      <right style="thin">
        <color rgb="FFBFC9D4"/>
      </right>
      <top/>
      <bottom style="medium">
        <color rgb="FF2A9D8F"/>
      </bottom>
      <diagonal/>
    </border>
    <border diagonalUp="false" diagonalDown="false">
      <left style="thin">
        <color rgb="FFBFC9D4"/>
      </left>
      <right style="thin">
        <color rgb="FFBFC9D4"/>
      </right>
      <top/>
      <bottom style="medium">
        <color rgb="FFE9C46A"/>
      </bottom>
      <diagonal/>
    </border>
    <border diagonalUp="false" diagonalDown="false">
      <left style="thin">
        <color rgb="FFBFC9D4"/>
      </left>
      <right style="thin">
        <color rgb="FFBFC9D4"/>
      </right>
      <top/>
      <bottom style="medium">
        <color rgb="FFF4A261"/>
      </bottom>
      <diagonal/>
    </border>
    <border diagonalUp="false" diagonalDown="false">
      <left style="thin">
        <color rgb="FFBFC9D4"/>
      </left>
      <right style="thin">
        <color rgb="FFBFC9D4"/>
      </right>
      <top/>
      <bottom style="medium">
        <color rgb="FFE76F51"/>
      </bottom>
      <diagonal/>
    </border>
    <border diagonalUp="false" diagonalDown="false">
      <left style="thin">
        <color rgb="FFBFC9D4"/>
      </left>
      <right style="thin">
        <color rgb="FFBFC9D4"/>
      </right>
      <top/>
      <bottom style="medium">
        <color rgb="FF6C8EA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1">
    <dxf>
      <font>
        <name val="Arial"/>
        <charset val="1"/>
        <family val="0"/>
        <b val="1"/>
        <color rgb="FF2E7D32"/>
        <sz val="22"/>
      </font>
    </dxf>
    <dxf>
      <font>
        <name val="Arial"/>
        <charset val="1"/>
        <family val="0"/>
        <b val="1"/>
        <color rgb="FFC62828"/>
        <sz val="22"/>
      </font>
    </dxf>
    <dxf>
      <font>
        <name val="Arial"/>
        <charset val="1"/>
        <family val="0"/>
        <b val="1"/>
      </font>
      <fill>
        <patternFill>
          <bgColor rgb="FFC6E0B4"/>
        </patternFill>
      </fill>
    </dxf>
    <dxf>
      <font>
        <name val="Arial"/>
        <charset val="1"/>
        <family val="0"/>
        <b val="1"/>
      </font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C4CF99"/>
          <bgColor rgb="FF000000"/>
        </patternFill>
      </fill>
    </dxf>
    <dxf>
      <fill>
        <patternFill patternType="solid">
          <fgColor rgb="FFDECDA3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7E6E6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C6E0B4"/>
        </patternFill>
      </fill>
    </dxf>
    <dxf>
      <font>
        <name val="Arial"/>
        <charset val="1"/>
        <family val="0"/>
        <b val="1"/>
        <color rgb="FF9C2B1B"/>
      </font>
      <fill>
        <patternFill>
          <bgColor rgb="FFF8CBAD"/>
        </patternFill>
      </fill>
    </dxf>
    <dxf>
      <fill>
        <patternFill patternType="solid">
          <fgColor rgb="FFFDE2DD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9C2B1B"/>
          <bgColor rgb="FF000000"/>
        </patternFill>
      </fill>
    </dxf>
    <dxf>
      <font>
        <name val="Arial"/>
        <charset val="1"/>
        <family val="0"/>
        <color rgb="FF9C2B1B"/>
      </font>
      <fill>
        <patternFill>
          <bgColor rgb="FFFD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F9F9F9"/>
      <rgbColor rgb="FF800000"/>
      <rgbColor rgb="FF2E7D32"/>
      <rgbColor rgb="FF000080"/>
      <rgbColor rgb="FF808000"/>
      <rgbColor rgb="FF800080"/>
      <rgbColor rgb="FF008080"/>
      <rgbColor rgb="FFBFC9D4"/>
      <rgbColor rgb="FF878787"/>
      <rgbColor rgb="FF6C8EAD"/>
      <rgbColor rgb="FFC62828"/>
      <rgbColor rgb="FFFFF9DB"/>
      <rgbColor rgb="FFDDEBF7"/>
      <rgbColor rgb="FF660066"/>
      <rgbColor rgb="FFE76F51"/>
      <rgbColor rgb="FF0563C1"/>
      <rgbColor rgb="FFBDD7EE"/>
      <rgbColor rgb="FF000080"/>
      <rgbColor rgb="FFFF00FF"/>
      <rgbColor rgb="FFFCE4D6"/>
      <rgbColor rgb="FF00FFFF"/>
      <rgbColor rgb="FF800080"/>
      <rgbColor rgb="FF800000"/>
      <rgbColor rgb="FF008080"/>
      <rgbColor rgb="FF0000FF"/>
      <rgbColor rgb="FF00CCFF"/>
      <rgbColor rgb="FFDCE6F0"/>
      <rgbColor rgb="FFC6E0B4"/>
      <rgbColor rgb="FFFFE699"/>
      <rgbColor rgb="FFD9D9D9"/>
      <rgbColor rgb="FFFDE2DD"/>
      <rgbColor rgb="FFE7E6E6"/>
      <rgbColor rgb="FFF8CBAD"/>
      <rgbColor rgb="FF4F81BD"/>
      <rgbColor rgb="FFF1F5F9"/>
      <rgbColor rgb="FFF2F2F2"/>
      <rgbColor rgb="FFE9C46A"/>
      <rgbColor rgb="FFF4A261"/>
      <rgbColor rgb="FFFF6600"/>
      <rgbColor rgb="FF595959"/>
      <rgbColor rgb="FF7F8C8D"/>
      <rgbColor rgb="FF1F3A5F"/>
      <rgbColor rgb="FF2A9D8F"/>
      <rgbColor rgb="FF003300"/>
      <rgbColor rgb="FF333300"/>
      <rgbColor rgb="FF9C2B1B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الإيراد والربح الشهري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'لوحة المؤشرات'!D43</c:f>
              <c:strCache>
                <c:ptCount val="1"/>
                <c:pt idx="0">
                  <c:v>الإيراد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1f3a5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'لوحة المؤشرات'!$C$44:$C$55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'لوحة المؤشرات'!$D$44:$D$55</c:f>
              <c:numCache>
                <c:formatCode>#,##0</c:formatCode>
                <c:ptCount val="12"/>
                <c:pt idx="0">
                  <c:v>186629.5</c:v>
                </c:pt>
                <c:pt idx="1">
                  <c:v>211433</c:v>
                </c:pt>
                <c:pt idx="2">
                  <c:v>183489.5</c:v>
                </c:pt>
                <c:pt idx="3">
                  <c:v>168383.5</c:v>
                </c:pt>
                <c:pt idx="4">
                  <c:v>221778.5</c:v>
                </c:pt>
                <c:pt idx="5">
                  <c:v>157027.5</c:v>
                </c:pt>
                <c:pt idx="6">
                  <c:v>166026.5</c:v>
                </c:pt>
                <c:pt idx="7">
                  <c:v>204552.5</c:v>
                </c:pt>
                <c:pt idx="8">
                  <c:v>165984</c:v>
                </c:pt>
                <c:pt idx="9">
                  <c:v>137862.5</c:v>
                </c:pt>
                <c:pt idx="10">
                  <c:v>153928.5</c:v>
                </c:pt>
                <c:pt idx="11">
                  <c:v>179494</c:v>
                </c:pt>
              </c:numCache>
            </c:numRef>
          </c:val>
        </c:ser>
        <c:gapWidth val="60"/>
        <c:overlap val="0"/>
        <c:axId val="16643822"/>
        <c:axId val="56559393"/>
      </c:barChart>
      <c:lineChart>
        <c:grouping val="standard"/>
        <c:varyColors val="0"/>
        <c:ser>
          <c:idx val="1"/>
          <c:order val="1"/>
          <c:tx>
            <c:strRef>
              <c:f>'لوحة المؤشرات'!E43</c:f>
              <c:strCache>
                <c:ptCount val="1"/>
                <c:pt idx="0">
                  <c:v>الربح</c:v>
                </c:pt>
              </c:strCache>
            </c:strRef>
          </c:tx>
          <c:spPr>
            <a:solidFill>
              <a:srgbClr val="e76f51"/>
            </a:solidFill>
            <a:ln w="28080">
              <a:solidFill>
                <a:srgbClr val="e76f51"/>
              </a:solidFill>
              <a:round/>
            </a:ln>
          </c:spPr>
          <c:marker>
            <c:symbol val="circle"/>
            <c:size val="6"/>
            <c:spPr>
              <a:solidFill>
                <a:srgbClr val="e76f5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'لوحة المؤشرات'!$C$44:$C$55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'لوحة المؤشرات'!$E$44:$E$55</c:f>
              <c:numCache>
                <c:formatCode>#,##0</c:formatCode>
                <c:ptCount val="12"/>
                <c:pt idx="0">
                  <c:v>66799.5</c:v>
                </c:pt>
                <c:pt idx="1">
                  <c:v>65588</c:v>
                </c:pt>
                <c:pt idx="2">
                  <c:v>66759.5</c:v>
                </c:pt>
                <c:pt idx="3">
                  <c:v>58283.5</c:v>
                </c:pt>
                <c:pt idx="4">
                  <c:v>77368.5</c:v>
                </c:pt>
                <c:pt idx="5">
                  <c:v>52987.5</c:v>
                </c:pt>
                <c:pt idx="6">
                  <c:v>51891.5</c:v>
                </c:pt>
                <c:pt idx="7">
                  <c:v>71347.5</c:v>
                </c:pt>
                <c:pt idx="8">
                  <c:v>51139</c:v>
                </c:pt>
                <c:pt idx="9">
                  <c:v>47002.5</c:v>
                </c:pt>
                <c:pt idx="10">
                  <c:v>49338.5</c:v>
                </c:pt>
                <c:pt idx="11">
                  <c:v>57009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6643822"/>
        <c:axId val="56559393"/>
      </c:lineChart>
      <c:catAx>
        <c:axId val="166438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59393"/>
        <c:crosses val="autoZero"/>
        <c:auto val="1"/>
        <c:lblAlgn val="ctr"/>
        <c:lblOffset val="100"/>
        <c:noMultiLvlLbl val="0"/>
      </c:catAx>
      <c:valAx>
        <c:axId val="565593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438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الإيراد والربح حسب الفئة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'لوحة المؤشرات'!H43</c:f>
              <c:strCache>
                <c:ptCount val="1"/>
                <c:pt idx="0">
                  <c:v>الإيراد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1f3a5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'لوحة المؤشرات'!$G$44:$G$49</c:f>
              <c:strCache>
                <c:ptCount val="6"/>
                <c:pt idx="0">
                  <c:v>إلكترونيات</c:v>
                </c:pt>
                <c:pt idx="1">
                  <c:v>أجهزة منزلية</c:v>
                </c:pt>
                <c:pt idx="2">
                  <c:v>أثاث</c:v>
                </c:pt>
                <c:pt idx="3">
                  <c:v>مستلزمات مكتبية</c:v>
                </c:pt>
                <c:pt idx="4">
                  <c:v>رياضة</c:v>
                </c:pt>
                <c:pt idx="5">
                  <c:v>عناية شخصية</c:v>
                </c:pt>
              </c:strCache>
            </c:strRef>
          </c:cat>
          <c:val>
            <c:numRef>
              <c:f>'لوحة المؤشرات'!$H$44:$H$49</c:f>
              <c:numCache>
                <c:formatCode>#,##0</c:formatCode>
                <c:ptCount val="6"/>
                <c:pt idx="0">
                  <c:v>524652.5</c:v>
                </c:pt>
                <c:pt idx="1">
                  <c:v>260789</c:v>
                </c:pt>
                <c:pt idx="2">
                  <c:v>583692.5</c:v>
                </c:pt>
                <c:pt idx="3">
                  <c:v>333618.5</c:v>
                </c:pt>
                <c:pt idx="4">
                  <c:v>187066</c:v>
                </c:pt>
                <c:pt idx="5">
                  <c:v>246771</c:v>
                </c:pt>
              </c:numCache>
            </c:numRef>
          </c:val>
        </c:ser>
        <c:ser>
          <c:idx val="1"/>
          <c:order val="1"/>
          <c:tx>
            <c:strRef>
              <c:f>'لوحة المؤشرات'!I43</c:f>
              <c:strCache>
                <c:ptCount val="1"/>
                <c:pt idx="0">
                  <c:v>الربح</c:v>
                </c:pt>
              </c:strCache>
            </c:strRef>
          </c:tx>
          <c:spPr>
            <a:solidFill>
              <a:srgbClr val="2a9d8f"/>
            </a:solidFill>
            <a:ln w="9360">
              <a:solidFill>
                <a:srgbClr val="2a9d8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'لوحة المؤشرات'!$G$44:$G$49</c:f>
              <c:strCache>
                <c:ptCount val="6"/>
                <c:pt idx="0">
                  <c:v>إلكترونيات</c:v>
                </c:pt>
                <c:pt idx="1">
                  <c:v>أجهزة منزلية</c:v>
                </c:pt>
                <c:pt idx="2">
                  <c:v>أثاث</c:v>
                </c:pt>
                <c:pt idx="3">
                  <c:v>مستلزمات مكتبية</c:v>
                </c:pt>
                <c:pt idx="4">
                  <c:v>رياضة</c:v>
                </c:pt>
                <c:pt idx="5">
                  <c:v>عناية شخصية</c:v>
                </c:pt>
              </c:strCache>
            </c:strRef>
          </c:cat>
          <c:val>
            <c:numRef>
              <c:f>'لوحة المؤشرات'!$I$44:$I$49</c:f>
              <c:numCache>
                <c:formatCode>#,##0</c:formatCode>
                <c:ptCount val="6"/>
                <c:pt idx="0">
                  <c:v>123282.5</c:v>
                </c:pt>
                <c:pt idx="1">
                  <c:v>83319</c:v>
                </c:pt>
                <c:pt idx="2">
                  <c:v>219682.5</c:v>
                </c:pt>
                <c:pt idx="3">
                  <c:v>107613.5</c:v>
                </c:pt>
                <c:pt idx="4">
                  <c:v>64256</c:v>
                </c:pt>
                <c:pt idx="5">
                  <c:v>117361</c:v>
                </c:pt>
              </c:numCache>
            </c:numRef>
          </c:val>
        </c:ser>
        <c:gapWidth val="60"/>
        <c:overlap val="0"/>
        <c:axId val="77046682"/>
        <c:axId val="66096113"/>
      </c:barChart>
      <c:catAx>
        <c:axId val="770466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96113"/>
        <c:crosses val="autoZero"/>
        <c:auto val="1"/>
        <c:lblAlgn val="ctr"/>
        <c:lblOffset val="100"/>
        <c:noMultiLvlLbl val="0"/>
      </c:catAx>
      <c:valAx>
        <c:axId val="660961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4668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توزيع الإيراد حسب القناة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'لوحة المؤشرات'!L43</c:f>
              <c:strCache>
                <c:ptCount val="1"/>
                <c:pt idx="0">
                  <c:v>الإيراد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3a5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a9d8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e9c46a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'لوحة المؤشرات'!$K$44:$K$46</c:f>
              <c:strCache>
                <c:ptCount val="3"/>
                <c:pt idx="0">
                  <c:v>متجر</c:v>
                </c:pt>
                <c:pt idx="1">
                  <c:v>أونلاين</c:v>
                </c:pt>
                <c:pt idx="2">
                  <c:v>جملة</c:v>
                </c:pt>
              </c:strCache>
            </c:strRef>
          </c:cat>
          <c:val>
            <c:numRef>
              <c:f>'لوحة المؤشرات'!$L$44:$L$46</c:f>
              <c:numCache>
                <c:formatCode>#,##0</c:formatCode>
                <c:ptCount val="3"/>
                <c:pt idx="0">
                  <c:v>844286.5</c:v>
                </c:pt>
                <c:pt idx="1">
                  <c:v>830453.5</c:v>
                </c:pt>
                <c:pt idx="2">
                  <c:v>461849.5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الإيراد حسب المنطقة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'لوحة المؤشرات'!L48</c:f>
              <c:strCache>
                <c:ptCount val="1"/>
                <c:pt idx="0">
                  <c:v>الإيراد</c:v>
                </c:pt>
              </c:strCache>
            </c:strRef>
          </c:tx>
          <c:spPr>
            <a:solidFill>
              <a:srgbClr val="f4a261"/>
            </a:solidFill>
            <a:ln w="9360">
              <a:solidFill>
                <a:srgbClr val="f4a261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'لوحة المؤشرات'!$K$49:$K$52</c:f>
              <c:strCache>
                <c:ptCount val="4"/>
                <c:pt idx="0">
                  <c:v>الوسطى</c:v>
                </c:pt>
                <c:pt idx="1">
                  <c:v>الغربية</c:v>
                </c:pt>
                <c:pt idx="2">
                  <c:v>الشرقية</c:v>
                </c:pt>
                <c:pt idx="3">
                  <c:v>الجنوبية</c:v>
                </c:pt>
              </c:strCache>
            </c:strRef>
          </c:cat>
          <c:val>
            <c:numRef>
              <c:f>'لوحة المؤشرات'!$L$49:$L$52</c:f>
              <c:numCache>
                <c:formatCode>#,##0</c:formatCode>
                <c:ptCount val="4"/>
                <c:pt idx="0">
                  <c:v>692926.5</c:v>
                </c:pt>
                <c:pt idx="1">
                  <c:v>565303</c:v>
                </c:pt>
                <c:pt idx="2">
                  <c:v>499447</c:v>
                </c:pt>
                <c:pt idx="3">
                  <c:v>378913</c:v>
                </c:pt>
              </c:numCache>
            </c:numRef>
          </c:val>
        </c:ser>
        <c:gapWidth val="60"/>
        <c:overlap val="0"/>
        <c:axId val="78581567"/>
        <c:axId val="57680266"/>
      </c:barChart>
      <c:catAx>
        <c:axId val="7858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80266"/>
        <c:crosses val="autoZero"/>
        <c:auto val="1"/>
        <c:lblAlgn val="ctr"/>
        <c:lblOffset val="100"/>
        <c:noMultiLvlLbl val="0"/>
      </c:catAx>
      <c:valAx>
        <c:axId val="576802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5815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الإيراد الشهري مقابل المتوسط المتحرك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'تحليل الزمن'!C4</c:f>
              <c:strCache>
                <c:ptCount val="1"/>
                <c:pt idx="0">
                  <c:v>الإيراد (ريال)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1f3a5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'تحليل الزمن'!$B$5:$B$16</c:f>
              <c:strCache>
                <c:ptCount val="12"/>
                <c:pt idx="0">
                  <c:v>أكتوبر 2025</c:v>
                </c:pt>
                <c:pt idx="1">
                  <c:v>نوفمبر 2025</c:v>
                </c:pt>
                <c:pt idx="2">
                  <c:v>ديسمبر 2025</c:v>
                </c:pt>
                <c:pt idx="3">
                  <c:v>يناير 2026</c:v>
                </c:pt>
                <c:pt idx="4">
                  <c:v>فبراير 2026</c:v>
                </c:pt>
                <c:pt idx="5">
                  <c:v>مارس 2026</c:v>
                </c:pt>
                <c:pt idx="6">
                  <c:v>أبريل 2026</c:v>
                </c:pt>
                <c:pt idx="7">
                  <c:v>مايو 2026</c:v>
                </c:pt>
                <c:pt idx="8">
                  <c:v>يونيو 2026</c:v>
                </c:pt>
                <c:pt idx="9">
                  <c:v>يوليو 2026</c:v>
                </c:pt>
                <c:pt idx="10">
                  <c:v>أغسطس 2026</c:v>
                </c:pt>
                <c:pt idx="11">
                  <c:v>سبتمبر 2026</c:v>
                </c:pt>
              </c:strCache>
            </c:strRef>
          </c:cat>
          <c:val>
            <c:numRef>
              <c:f>'تحليل الزمن'!$C$5:$C$16</c:f>
              <c:numCache>
                <c:formatCode>#,##0</c:formatCode>
                <c:ptCount val="12"/>
                <c:pt idx="0">
                  <c:v>186629.5</c:v>
                </c:pt>
                <c:pt idx="1">
                  <c:v>211433</c:v>
                </c:pt>
                <c:pt idx="2">
                  <c:v>183489.5</c:v>
                </c:pt>
                <c:pt idx="3">
                  <c:v>168383.5</c:v>
                </c:pt>
                <c:pt idx="4">
                  <c:v>221778.5</c:v>
                </c:pt>
                <c:pt idx="5">
                  <c:v>157027.5</c:v>
                </c:pt>
                <c:pt idx="6">
                  <c:v>166026.5</c:v>
                </c:pt>
                <c:pt idx="7">
                  <c:v>204552.5</c:v>
                </c:pt>
                <c:pt idx="8">
                  <c:v>165984</c:v>
                </c:pt>
                <c:pt idx="9">
                  <c:v>137862.5</c:v>
                </c:pt>
                <c:pt idx="10">
                  <c:v>153928.5</c:v>
                </c:pt>
                <c:pt idx="11">
                  <c:v>179494</c:v>
                </c:pt>
              </c:numCache>
            </c:numRef>
          </c:val>
        </c:ser>
        <c:gapWidth val="60"/>
        <c:overlap val="0"/>
        <c:axId val="79673112"/>
        <c:axId val="4256396"/>
      </c:barChart>
      <c:lineChart>
        <c:grouping val="standard"/>
        <c:varyColors val="0"/>
        <c:ser>
          <c:idx val="1"/>
          <c:order val="1"/>
          <c:tx>
            <c:strRef>
              <c:f>'تحليل الزمن'!I4</c:f>
              <c:strCache>
                <c:ptCount val="1"/>
                <c:pt idx="0">
                  <c:v>متوسط متحرك 3 أشهر</c:v>
                </c:pt>
              </c:strCache>
            </c:strRef>
          </c:tx>
          <c:spPr>
            <a:solidFill>
              <a:srgbClr val="e76f51"/>
            </a:solidFill>
            <a:ln w="28080">
              <a:solidFill>
                <a:srgbClr val="e76f51"/>
              </a:solidFill>
              <a:round/>
            </a:ln>
          </c:spPr>
          <c:marker>
            <c:symbol val="circle"/>
            <c:size val="6"/>
            <c:spPr>
              <a:solidFill>
                <a:srgbClr val="e76f5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'تحليل الزمن'!$B$5:$B$16</c:f>
              <c:strCache>
                <c:ptCount val="12"/>
                <c:pt idx="0">
                  <c:v>أكتوبر 2025</c:v>
                </c:pt>
                <c:pt idx="1">
                  <c:v>نوفمبر 2025</c:v>
                </c:pt>
                <c:pt idx="2">
                  <c:v>ديسمبر 2025</c:v>
                </c:pt>
                <c:pt idx="3">
                  <c:v>يناير 2026</c:v>
                </c:pt>
                <c:pt idx="4">
                  <c:v>فبراير 2026</c:v>
                </c:pt>
                <c:pt idx="5">
                  <c:v>مارس 2026</c:v>
                </c:pt>
                <c:pt idx="6">
                  <c:v>أبريل 2026</c:v>
                </c:pt>
                <c:pt idx="7">
                  <c:v>مايو 2026</c:v>
                </c:pt>
                <c:pt idx="8">
                  <c:v>يونيو 2026</c:v>
                </c:pt>
                <c:pt idx="9">
                  <c:v>يوليو 2026</c:v>
                </c:pt>
                <c:pt idx="10">
                  <c:v>أغسطس 2026</c:v>
                </c:pt>
                <c:pt idx="11">
                  <c:v>سبتمبر 2026</c:v>
                </c:pt>
              </c:strCache>
            </c:strRef>
          </c:cat>
          <c:val>
            <c:numRef>
              <c:f>'تحليل الزمن'!$I$5:$I$16</c:f>
              <c:numCache>
                <c:formatCode>#,##0</c:formatCode>
                <c:ptCount val="12"/>
                <c:pt idx="0">
                  <c:v>186629.5</c:v>
                </c:pt>
                <c:pt idx="1">
                  <c:v>199031.25</c:v>
                </c:pt>
                <c:pt idx="2">
                  <c:v>193850.666666667</c:v>
                </c:pt>
                <c:pt idx="3">
                  <c:v>187768.666666667</c:v>
                </c:pt>
                <c:pt idx="4">
                  <c:v>191217.166666667</c:v>
                </c:pt>
                <c:pt idx="5">
                  <c:v>182396.5</c:v>
                </c:pt>
                <c:pt idx="6">
                  <c:v>181610.833333333</c:v>
                </c:pt>
                <c:pt idx="7">
                  <c:v>175868.833333333</c:v>
                </c:pt>
                <c:pt idx="8">
                  <c:v>178854.333333333</c:v>
                </c:pt>
                <c:pt idx="9">
                  <c:v>169466.333333333</c:v>
                </c:pt>
                <c:pt idx="10">
                  <c:v>152591.666666667</c:v>
                </c:pt>
                <c:pt idx="11">
                  <c:v>157095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9673112"/>
        <c:axId val="4256396"/>
      </c:lineChart>
      <c:catAx>
        <c:axId val="7967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6396"/>
        <c:crosses val="autoZero"/>
        <c:auto val="1"/>
        <c:lblAlgn val="ctr"/>
        <c:lblOffset val="100"/>
        <c:noMultiLvlLbl val="0"/>
      </c:catAx>
      <c:valAx>
        <c:axId val="42563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6731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الإيراد والربح الربع سنوي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'تحليل الزمن'!B20</c:f>
              <c:strCache>
                <c:ptCount val="1"/>
                <c:pt idx="0">
                  <c:v>الإيراد (ريال)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1f3a5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'تحليل الزمن'!$A$21:$A$24</c:f>
              <c:strCache>
                <c:ptCount val="4"/>
                <c:pt idx="0">
                  <c:v>2025-Q4</c:v>
                </c:pt>
                <c:pt idx="1">
                  <c:v>2026-Q1</c:v>
                </c:pt>
                <c:pt idx="2">
                  <c:v>2026-Q2</c:v>
                </c:pt>
                <c:pt idx="3">
                  <c:v>2026-Q3</c:v>
                </c:pt>
              </c:strCache>
            </c:strRef>
          </c:cat>
          <c:val>
            <c:numRef>
              <c:f>'تحليل الزمن'!$B$21:$B$24</c:f>
              <c:numCache>
                <c:formatCode>#,##0</c:formatCode>
                <c:ptCount val="4"/>
                <c:pt idx="0">
                  <c:v>581552</c:v>
                </c:pt>
                <c:pt idx="1">
                  <c:v>547189.5</c:v>
                </c:pt>
                <c:pt idx="2">
                  <c:v>536563</c:v>
                </c:pt>
                <c:pt idx="3">
                  <c:v>471285</c:v>
                </c:pt>
              </c:numCache>
            </c:numRef>
          </c:val>
        </c:ser>
        <c:ser>
          <c:idx val="1"/>
          <c:order val="1"/>
          <c:tx>
            <c:strRef>
              <c:f>'تحليل الزمن'!C20</c:f>
              <c:strCache>
                <c:ptCount val="1"/>
                <c:pt idx="0">
                  <c:v>الربح (ريال)</c:v>
                </c:pt>
              </c:strCache>
            </c:strRef>
          </c:tx>
          <c:spPr>
            <a:solidFill>
              <a:srgbClr val="2a9d8f"/>
            </a:solidFill>
            <a:ln w="9360">
              <a:solidFill>
                <a:srgbClr val="2a9d8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'تحليل الزمن'!$A$21:$A$24</c:f>
              <c:strCache>
                <c:ptCount val="4"/>
                <c:pt idx="0">
                  <c:v>2025-Q4</c:v>
                </c:pt>
                <c:pt idx="1">
                  <c:v>2026-Q1</c:v>
                </c:pt>
                <c:pt idx="2">
                  <c:v>2026-Q2</c:v>
                </c:pt>
                <c:pt idx="3">
                  <c:v>2026-Q3</c:v>
                </c:pt>
              </c:strCache>
            </c:strRef>
          </c:cat>
          <c:val>
            <c:numRef>
              <c:f>'تحليل الزمن'!$C$21:$C$24</c:f>
              <c:numCache>
                <c:formatCode>#,##0</c:formatCode>
                <c:ptCount val="4"/>
                <c:pt idx="0">
                  <c:v>199147</c:v>
                </c:pt>
                <c:pt idx="1">
                  <c:v>188639.5</c:v>
                </c:pt>
                <c:pt idx="2">
                  <c:v>174378</c:v>
                </c:pt>
                <c:pt idx="3">
                  <c:v>153350</c:v>
                </c:pt>
              </c:numCache>
            </c:numRef>
          </c:val>
        </c:ser>
        <c:gapWidth val="60"/>
        <c:overlap val="0"/>
        <c:axId val="84644800"/>
        <c:axId val="65173891"/>
      </c:barChart>
      <c:catAx>
        <c:axId val="8464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73891"/>
        <c:crosses val="autoZero"/>
        <c:auto val="1"/>
        <c:lblAlgn val="ctr"/>
        <c:lblOffset val="100"/>
        <c:noMultiLvlLbl val="0"/>
      </c:catAx>
      <c:valAx>
        <c:axId val="65173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448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الإيراد حسب يوم الأسبوع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'تحليل الزمن'!J20</c:f>
              <c:strCache>
                <c:ptCount val="1"/>
                <c:pt idx="0">
                  <c:v>الإيراد (ريال)</c:v>
                </c:pt>
              </c:strCache>
            </c:strRef>
          </c:tx>
          <c:spPr>
            <a:solidFill>
              <a:srgbClr val="2a9d8f"/>
            </a:solidFill>
            <a:ln w="9360">
              <a:solidFill>
                <a:srgbClr val="2a9d8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'تحليل الزمن'!$I$21:$I$27</c:f>
              <c:strCache>
                <c:ptCount val="7"/>
                <c:pt idx="0">
                  <c:v>الأحد</c:v>
                </c:pt>
                <c:pt idx="1">
                  <c:v>الاثنين</c:v>
                </c:pt>
                <c:pt idx="2">
                  <c:v>الثلاثاء</c:v>
                </c:pt>
                <c:pt idx="3">
                  <c:v>الأربعاء</c:v>
                </c:pt>
                <c:pt idx="4">
                  <c:v>الخميس</c:v>
                </c:pt>
                <c:pt idx="5">
                  <c:v>الجمعة</c:v>
                </c:pt>
                <c:pt idx="6">
                  <c:v>السبت</c:v>
                </c:pt>
              </c:strCache>
            </c:strRef>
          </c:cat>
          <c:val>
            <c:numRef>
              <c:f>'تحليل الزمن'!$J$21:$J$27</c:f>
              <c:numCache>
                <c:formatCode>#,##0</c:formatCode>
                <c:ptCount val="7"/>
                <c:pt idx="0">
                  <c:v>266123.5</c:v>
                </c:pt>
                <c:pt idx="1">
                  <c:v>225578</c:v>
                </c:pt>
                <c:pt idx="2">
                  <c:v>219683</c:v>
                </c:pt>
                <c:pt idx="3">
                  <c:v>331729</c:v>
                </c:pt>
                <c:pt idx="4">
                  <c:v>369972.5</c:v>
                </c:pt>
                <c:pt idx="5">
                  <c:v>394382.5</c:v>
                </c:pt>
                <c:pt idx="6">
                  <c:v>329121</c:v>
                </c:pt>
              </c:numCache>
            </c:numRef>
          </c:val>
        </c:ser>
        <c:gapWidth val="60"/>
        <c:overlap val="0"/>
        <c:axId val="8729663"/>
        <c:axId val="72770028"/>
      </c:barChart>
      <c:catAx>
        <c:axId val="872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70028"/>
        <c:crosses val="autoZero"/>
        <c:auto val="1"/>
        <c:lblAlgn val="ctr"/>
        <c:lblOffset val="100"/>
        <c:noMultiLvlLbl val="0"/>
      </c:catAx>
      <c:valAx>
        <c:axId val="727700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96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هامش الربح الشهري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'تحليل الزمن'!E4</c:f>
              <c:strCache>
                <c:ptCount val="1"/>
                <c:pt idx="0">
                  <c:v>هامش الربح</c:v>
                </c:pt>
              </c:strCache>
            </c:strRef>
          </c:tx>
          <c:spPr>
            <a:solidFill>
              <a:srgbClr val="f4a261"/>
            </a:solidFill>
            <a:ln w="28080">
              <a:solidFill>
                <a:srgbClr val="f4a261"/>
              </a:solidFill>
              <a:round/>
            </a:ln>
          </c:spPr>
          <c:marker>
            <c:symbol val="circle"/>
            <c:size val="5"/>
            <c:spPr>
              <a:solidFill>
                <a:srgbClr val="f4a26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'تحليل الزمن'!$B$5:$B$16</c:f>
              <c:strCache>
                <c:ptCount val="12"/>
                <c:pt idx="0">
                  <c:v>أكتوبر 2025</c:v>
                </c:pt>
                <c:pt idx="1">
                  <c:v>نوفمبر 2025</c:v>
                </c:pt>
                <c:pt idx="2">
                  <c:v>ديسمبر 2025</c:v>
                </c:pt>
                <c:pt idx="3">
                  <c:v>يناير 2026</c:v>
                </c:pt>
                <c:pt idx="4">
                  <c:v>فبراير 2026</c:v>
                </c:pt>
                <c:pt idx="5">
                  <c:v>مارس 2026</c:v>
                </c:pt>
                <c:pt idx="6">
                  <c:v>أبريل 2026</c:v>
                </c:pt>
                <c:pt idx="7">
                  <c:v>مايو 2026</c:v>
                </c:pt>
                <c:pt idx="8">
                  <c:v>يونيو 2026</c:v>
                </c:pt>
                <c:pt idx="9">
                  <c:v>يوليو 2026</c:v>
                </c:pt>
                <c:pt idx="10">
                  <c:v>أغسطس 2026</c:v>
                </c:pt>
                <c:pt idx="11">
                  <c:v>سبتمبر 2026</c:v>
                </c:pt>
              </c:strCache>
            </c:strRef>
          </c:cat>
          <c:val>
            <c:numRef>
              <c:f>'تحليل الزمن'!$E$5:$E$16</c:f>
              <c:numCache>
                <c:formatCode>0.0%</c:formatCode>
                <c:ptCount val="12"/>
                <c:pt idx="0">
                  <c:v>0.357925729855141</c:v>
                </c:pt>
                <c:pt idx="1">
                  <c:v>0.310207015934126</c:v>
                </c:pt>
                <c:pt idx="2">
                  <c:v>0.36383280787184</c:v>
                </c:pt>
                <c:pt idx="3">
                  <c:v>0.346135458640544</c:v>
                </c:pt>
                <c:pt idx="4">
                  <c:v>0.348854825873563</c:v>
                </c:pt>
                <c:pt idx="5">
                  <c:v>0.337440894110904</c:v>
                </c:pt>
                <c:pt idx="6">
                  <c:v>0.312549502639639</c:v>
                </c:pt>
                <c:pt idx="7">
                  <c:v>0.348797985847154</c:v>
                </c:pt>
                <c:pt idx="8">
                  <c:v>0.308095961056487</c:v>
                </c:pt>
                <c:pt idx="9">
                  <c:v>0.340937528334391</c:v>
                </c:pt>
                <c:pt idx="10">
                  <c:v>0.320528687020272</c:v>
                </c:pt>
                <c:pt idx="11">
                  <c:v>0.317609502267485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9760621"/>
        <c:axId val="68720751"/>
      </c:lineChart>
      <c:catAx>
        <c:axId val="197606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20751"/>
        <c:crosses val="autoZero"/>
        <c:auto val="1"/>
        <c:lblAlgn val="ctr"/>
        <c:lblOffset val="100"/>
        <c:noMultiLvlLbl val="0"/>
      </c:catAx>
      <c:valAx>
        <c:axId val="687207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606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الإيراد والربح حسب الفئة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'الفئات والمناطق'!B5</c:f>
              <c:strCache>
                <c:ptCount val="1"/>
                <c:pt idx="0">
                  <c:v>الإيراد (ريال)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1f3a5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'الفئات والمناطق'!$A$6:$A$11</c:f>
              <c:strCache>
                <c:ptCount val="6"/>
                <c:pt idx="0">
                  <c:v>إلكترونيات</c:v>
                </c:pt>
                <c:pt idx="1">
                  <c:v>أجهزة منزلية</c:v>
                </c:pt>
                <c:pt idx="2">
                  <c:v>أثاث</c:v>
                </c:pt>
                <c:pt idx="3">
                  <c:v>مستلزمات مكتبية</c:v>
                </c:pt>
                <c:pt idx="4">
                  <c:v>رياضة</c:v>
                </c:pt>
                <c:pt idx="5">
                  <c:v>عناية شخصية</c:v>
                </c:pt>
              </c:strCache>
            </c:strRef>
          </c:cat>
          <c:val>
            <c:numRef>
              <c:f>'الفئات والمناطق'!$B$6:$B$11</c:f>
              <c:numCache>
                <c:formatCode>#,##0</c:formatCode>
                <c:ptCount val="6"/>
                <c:pt idx="0">
                  <c:v>524652.5</c:v>
                </c:pt>
                <c:pt idx="1">
                  <c:v>260789</c:v>
                </c:pt>
                <c:pt idx="2">
                  <c:v>583692.5</c:v>
                </c:pt>
                <c:pt idx="3">
                  <c:v>333618.5</c:v>
                </c:pt>
                <c:pt idx="4">
                  <c:v>187066</c:v>
                </c:pt>
                <c:pt idx="5">
                  <c:v>246771</c:v>
                </c:pt>
              </c:numCache>
            </c:numRef>
          </c:val>
        </c:ser>
        <c:ser>
          <c:idx val="1"/>
          <c:order val="1"/>
          <c:tx>
            <c:strRef>
              <c:f>'الفئات والمناطق'!D5</c:f>
              <c:strCache>
                <c:ptCount val="1"/>
                <c:pt idx="0">
                  <c:v>الربح (ريال)</c:v>
                </c:pt>
              </c:strCache>
            </c:strRef>
          </c:tx>
          <c:spPr>
            <a:solidFill>
              <a:srgbClr val="2a9d8f"/>
            </a:solidFill>
            <a:ln w="9360">
              <a:solidFill>
                <a:srgbClr val="2a9d8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'الفئات والمناطق'!$A$6:$A$11</c:f>
              <c:strCache>
                <c:ptCount val="6"/>
                <c:pt idx="0">
                  <c:v>إلكترونيات</c:v>
                </c:pt>
                <c:pt idx="1">
                  <c:v>أجهزة منزلية</c:v>
                </c:pt>
                <c:pt idx="2">
                  <c:v>أثاث</c:v>
                </c:pt>
                <c:pt idx="3">
                  <c:v>مستلزمات مكتبية</c:v>
                </c:pt>
                <c:pt idx="4">
                  <c:v>رياضة</c:v>
                </c:pt>
                <c:pt idx="5">
                  <c:v>عناية شخصية</c:v>
                </c:pt>
              </c:strCache>
            </c:strRef>
          </c:cat>
          <c:val>
            <c:numRef>
              <c:f>'الفئات والمناطق'!$D$6:$D$11</c:f>
              <c:numCache>
                <c:formatCode>#,##0</c:formatCode>
                <c:ptCount val="6"/>
                <c:pt idx="0">
                  <c:v>123282.5</c:v>
                </c:pt>
                <c:pt idx="1">
                  <c:v>83319</c:v>
                </c:pt>
                <c:pt idx="2">
                  <c:v>219682.5</c:v>
                </c:pt>
                <c:pt idx="3">
                  <c:v>107613.5</c:v>
                </c:pt>
                <c:pt idx="4">
                  <c:v>64256</c:v>
                </c:pt>
                <c:pt idx="5">
                  <c:v>117361</c:v>
                </c:pt>
              </c:numCache>
            </c:numRef>
          </c:val>
        </c:ser>
        <c:gapWidth val="60"/>
        <c:overlap val="0"/>
        <c:axId val="53433218"/>
        <c:axId val="63337721"/>
      </c:barChart>
      <c:catAx>
        <c:axId val="5343321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337721"/>
        <c:crosses val="autoZero"/>
        <c:auto val="1"/>
        <c:lblAlgn val="ctr"/>
        <c:lblOffset val="100"/>
        <c:noMultiLvlLbl val="0"/>
      </c:catAx>
      <c:valAx>
        <c:axId val="633377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332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حصة المناطق من الإيراد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'الفئات والمناطق'!B15</c:f>
              <c:strCache>
                <c:ptCount val="1"/>
                <c:pt idx="0">
                  <c:v>الإيراد (ريال)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3a5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a9d8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e9c46a"/>
              </a:solidFill>
              <a:ln w="0">
                <a:noFill/>
              </a:ln>
            </c:spPr>
          </c:dPt>
          <c:dPt>
            <c:idx val="3"/>
            <c:spPr>
              <a:solidFill>
                <a:srgbClr val="f4a261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'الفئات والمناطق'!$A$16:$A$19</c:f>
              <c:strCache>
                <c:ptCount val="4"/>
                <c:pt idx="0">
                  <c:v>الوسطى</c:v>
                </c:pt>
                <c:pt idx="1">
                  <c:v>الغربية</c:v>
                </c:pt>
                <c:pt idx="2">
                  <c:v>الشرقية</c:v>
                </c:pt>
                <c:pt idx="3">
                  <c:v>الجنوبية</c:v>
                </c:pt>
              </c:strCache>
            </c:strRef>
          </c:cat>
          <c:val>
            <c:numRef>
              <c:f>'الفئات والمناطق'!$B$16:$B$19</c:f>
              <c:numCache>
                <c:formatCode>#,##0</c:formatCode>
                <c:ptCount val="4"/>
                <c:pt idx="0">
                  <c:v>692926.5</c:v>
                </c:pt>
                <c:pt idx="1">
                  <c:v>565303</c:v>
                </c:pt>
                <c:pt idx="2">
                  <c:v>499447</c:v>
                </c:pt>
                <c:pt idx="3">
                  <c:v>378913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الإيراد حسب المنطقة والفئة (مُكدّس)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'الفئات والمناطق'!B30</c:f>
              <c:strCache>
                <c:ptCount val="1"/>
                <c:pt idx="0">
                  <c:v>إلكترونيات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1f3a5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'الفئات والمناطق'!$A$31:$A$34</c:f>
              <c:strCache>
                <c:ptCount val="4"/>
                <c:pt idx="0">
                  <c:v>الوسطى</c:v>
                </c:pt>
                <c:pt idx="1">
                  <c:v>الغربية</c:v>
                </c:pt>
                <c:pt idx="2">
                  <c:v>الشرقية</c:v>
                </c:pt>
                <c:pt idx="3">
                  <c:v>الجنوبية</c:v>
                </c:pt>
              </c:strCache>
            </c:strRef>
          </c:cat>
          <c:val>
            <c:numRef>
              <c:f>'الفئات والمناطق'!$B$31:$B$34</c:f>
              <c:numCache>
                <c:formatCode>#,##0</c:formatCode>
                <c:ptCount val="4"/>
                <c:pt idx="0">
                  <c:v>183490</c:v>
                </c:pt>
                <c:pt idx="1">
                  <c:v>148547.5</c:v>
                </c:pt>
                <c:pt idx="2">
                  <c:v>123372.5</c:v>
                </c:pt>
                <c:pt idx="3">
                  <c:v>69242.5</c:v>
                </c:pt>
              </c:numCache>
            </c:numRef>
          </c:val>
        </c:ser>
        <c:ser>
          <c:idx val="1"/>
          <c:order val="1"/>
          <c:tx>
            <c:strRef>
              <c:f>'الفئات والمناطق'!C30</c:f>
              <c:strCache>
                <c:ptCount val="1"/>
                <c:pt idx="0">
                  <c:v>أجهزة منزلية</c:v>
                </c:pt>
              </c:strCache>
            </c:strRef>
          </c:tx>
          <c:spPr>
            <a:solidFill>
              <a:srgbClr val="2a9d8f"/>
            </a:solidFill>
            <a:ln w="9360">
              <a:solidFill>
                <a:srgbClr val="2a9d8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'الفئات والمناطق'!$A$31:$A$34</c:f>
              <c:strCache>
                <c:ptCount val="4"/>
                <c:pt idx="0">
                  <c:v>الوسطى</c:v>
                </c:pt>
                <c:pt idx="1">
                  <c:v>الغربية</c:v>
                </c:pt>
                <c:pt idx="2">
                  <c:v>الشرقية</c:v>
                </c:pt>
                <c:pt idx="3">
                  <c:v>الجنوبية</c:v>
                </c:pt>
              </c:strCache>
            </c:strRef>
          </c:cat>
          <c:val>
            <c:numRef>
              <c:f>'الفئات والمناطق'!$C$31:$C$34</c:f>
              <c:numCache>
                <c:formatCode>#,##0</c:formatCode>
                <c:ptCount val="4"/>
                <c:pt idx="0">
                  <c:v>104532</c:v>
                </c:pt>
                <c:pt idx="1">
                  <c:v>53750.5</c:v>
                </c:pt>
                <c:pt idx="2">
                  <c:v>58860</c:v>
                </c:pt>
                <c:pt idx="3">
                  <c:v>43646.5</c:v>
                </c:pt>
              </c:numCache>
            </c:numRef>
          </c:val>
        </c:ser>
        <c:ser>
          <c:idx val="2"/>
          <c:order val="2"/>
          <c:tx>
            <c:strRef>
              <c:f>'الفئات والمناطق'!D30</c:f>
              <c:strCache>
                <c:ptCount val="1"/>
                <c:pt idx="0">
                  <c:v>أثاث</c:v>
                </c:pt>
              </c:strCache>
            </c:strRef>
          </c:tx>
          <c:spPr>
            <a:solidFill>
              <a:srgbClr val="e9c46a"/>
            </a:solidFill>
            <a:ln w="9360">
              <a:solidFill>
                <a:srgbClr val="e9c46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'الفئات والمناطق'!$A$31:$A$34</c:f>
              <c:strCache>
                <c:ptCount val="4"/>
                <c:pt idx="0">
                  <c:v>الوسطى</c:v>
                </c:pt>
                <c:pt idx="1">
                  <c:v>الغربية</c:v>
                </c:pt>
                <c:pt idx="2">
                  <c:v>الشرقية</c:v>
                </c:pt>
                <c:pt idx="3">
                  <c:v>الجنوبية</c:v>
                </c:pt>
              </c:strCache>
            </c:strRef>
          </c:cat>
          <c:val>
            <c:numRef>
              <c:f>'الفئات والمناطق'!$D$31:$D$34</c:f>
              <c:numCache>
                <c:formatCode>#,##0</c:formatCode>
                <c:ptCount val="4"/>
                <c:pt idx="0">
                  <c:v>134040</c:v>
                </c:pt>
                <c:pt idx="1">
                  <c:v>160317.5</c:v>
                </c:pt>
                <c:pt idx="2">
                  <c:v>152025</c:v>
                </c:pt>
                <c:pt idx="3">
                  <c:v>137310</c:v>
                </c:pt>
              </c:numCache>
            </c:numRef>
          </c:val>
        </c:ser>
        <c:ser>
          <c:idx val="3"/>
          <c:order val="3"/>
          <c:tx>
            <c:strRef>
              <c:f>'الفئات والمناطق'!E30</c:f>
              <c:strCache>
                <c:ptCount val="1"/>
                <c:pt idx="0">
                  <c:v>مستلزمات مكتبية</c:v>
                </c:pt>
              </c:strCache>
            </c:strRef>
          </c:tx>
          <c:spPr>
            <a:solidFill>
              <a:srgbClr val="f4a261"/>
            </a:solidFill>
            <a:ln w="9360">
              <a:solidFill>
                <a:srgbClr val="f4a261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'الفئات والمناطق'!$A$31:$A$34</c:f>
              <c:strCache>
                <c:ptCount val="4"/>
                <c:pt idx="0">
                  <c:v>الوسطى</c:v>
                </c:pt>
                <c:pt idx="1">
                  <c:v>الغربية</c:v>
                </c:pt>
                <c:pt idx="2">
                  <c:v>الشرقية</c:v>
                </c:pt>
                <c:pt idx="3">
                  <c:v>الجنوبية</c:v>
                </c:pt>
              </c:strCache>
            </c:strRef>
          </c:cat>
          <c:val>
            <c:numRef>
              <c:f>'الفئات والمناطق'!$E$31:$E$34</c:f>
              <c:numCache>
                <c:formatCode>#,##0</c:formatCode>
                <c:ptCount val="4"/>
                <c:pt idx="0">
                  <c:v>128393.5</c:v>
                </c:pt>
                <c:pt idx="1">
                  <c:v>81141.5</c:v>
                </c:pt>
                <c:pt idx="2">
                  <c:v>47357.5</c:v>
                </c:pt>
                <c:pt idx="3">
                  <c:v>76726</c:v>
                </c:pt>
              </c:numCache>
            </c:numRef>
          </c:val>
        </c:ser>
        <c:ser>
          <c:idx val="4"/>
          <c:order val="4"/>
          <c:tx>
            <c:strRef>
              <c:f>'الفئات والمناطق'!F30</c:f>
              <c:strCache>
                <c:ptCount val="1"/>
                <c:pt idx="0">
                  <c:v>رياضة</c:v>
                </c:pt>
              </c:strCache>
            </c:strRef>
          </c:tx>
          <c:spPr>
            <a:solidFill>
              <a:srgbClr val="e76f51"/>
            </a:solidFill>
            <a:ln w="9360">
              <a:solidFill>
                <a:srgbClr val="e76f51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'الفئات والمناطق'!$A$31:$A$34</c:f>
              <c:strCache>
                <c:ptCount val="4"/>
                <c:pt idx="0">
                  <c:v>الوسطى</c:v>
                </c:pt>
                <c:pt idx="1">
                  <c:v>الغربية</c:v>
                </c:pt>
                <c:pt idx="2">
                  <c:v>الشرقية</c:v>
                </c:pt>
                <c:pt idx="3">
                  <c:v>الجنوبية</c:v>
                </c:pt>
              </c:strCache>
            </c:strRef>
          </c:cat>
          <c:val>
            <c:numRef>
              <c:f>'الفئات والمناطق'!$F$31:$F$34</c:f>
              <c:numCache>
                <c:formatCode>#,##0</c:formatCode>
                <c:ptCount val="4"/>
                <c:pt idx="0">
                  <c:v>59532</c:v>
                </c:pt>
                <c:pt idx="1">
                  <c:v>58724</c:v>
                </c:pt>
                <c:pt idx="2">
                  <c:v>44036</c:v>
                </c:pt>
                <c:pt idx="3">
                  <c:v>24774</c:v>
                </c:pt>
              </c:numCache>
            </c:numRef>
          </c:val>
        </c:ser>
        <c:ser>
          <c:idx val="5"/>
          <c:order val="5"/>
          <c:tx>
            <c:strRef>
              <c:f>'الفئات والمناطق'!G30</c:f>
              <c:strCache>
                <c:ptCount val="1"/>
                <c:pt idx="0">
                  <c:v>عناية شخصية</c:v>
                </c:pt>
              </c:strCache>
            </c:strRef>
          </c:tx>
          <c:spPr>
            <a:solidFill>
              <a:srgbClr val="6c8ead"/>
            </a:solidFill>
            <a:ln w="9360">
              <a:solidFill>
                <a:srgbClr val="6c8ead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'الفئات والمناطق'!$A$31:$A$34</c:f>
              <c:strCache>
                <c:ptCount val="4"/>
                <c:pt idx="0">
                  <c:v>الوسطى</c:v>
                </c:pt>
                <c:pt idx="1">
                  <c:v>الغربية</c:v>
                </c:pt>
                <c:pt idx="2">
                  <c:v>الشرقية</c:v>
                </c:pt>
                <c:pt idx="3">
                  <c:v>الجنوبية</c:v>
                </c:pt>
              </c:strCache>
            </c:strRef>
          </c:cat>
          <c:val>
            <c:numRef>
              <c:f>'الفئات والمناطق'!$G$31:$G$34</c:f>
              <c:numCache>
                <c:formatCode>#,##0</c:formatCode>
                <c:ptCount val="4"/>
                <c:pt idx="0">
                  <c:v>82939</c:v>
                </c:pt>
                <c:pt idx="1">
                  <c:v>62822</c:v>
                </c:pt>
                <c:pt idx="2">
                  <c:v>73796</c:v>
                </c:pt>
                <c:pt idx="3">
                  <c:v>27214</c:v>
                </c:pt>
              </c:numCache>
            </c:numRef>
          </c:val>
        </c:ser>
        <c:gapWidth val="60"/>
        <c:overlap val="100"/>
        <c:axId val="66513251"/>
        <c:axId val="38537543"/>
      </c:barChart>
      <c:catAx>
        <c:axId val="665132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537543"/>
        <c:crosses val="autoZero"/>
        <c:auto val="1"/>
        <c:lblAlgn val="ctr"/>
        <c:lblOffset val="100"/>
        <c:noMultiLvlLbl val="0"/>
      </c:catAx>
      <c:valAx>
        <c:axId val="385375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132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باريتو: الإيراد والتراكمي (حسب ترتيب المنتج)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'تحليل المنتجات'!M5</c:f>
              <c:strCache>
                <c:ptCount val="1"/>
                <c:pt idx="0">
                  <c:v>الإيراد (ريال)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1f3a5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'تحليل المنتجات'!$K$6:$K$29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'تحليل المنتجات'!$M$6:$M$29</c:f>
              <c:numCache>
                <c:formatCode>#,##0</c:formatCode>
                <c:ptCount val="24"/>
                <c:pt idx="0">
                  <c:v>243780</c:v>
                </c:pt>
                <c:pt idx="1">
                  <c:v>186000</c:v>
                </c:pt>
                <c:pt idx="2">
                  <c:v>161915</c:v>
                </c:pt>
                <c:pt idx="3">
                  <c:v>143935</c:v>
                </c:pt>
                <c:pt idx="4">
                  <c:v>117610</c:v>
                </c:pt>
                <c:pt idx="5">
                  <c:v>116407.5</c:v>
                </c:pt>
                <c:pt idx="6">
                  <c:v>115885</c:v>
                </c:pt>
                <c:pt idx="7">
                  <c:v>107620</c:v>
                </c:pt>
                <c:pt idx="8">
                  <c:v>79625</c:v>
                </c:pt>
                <c:pt idx="9">
                  <c:v>77107.5</c:v>
                </c:pt>
                <c:pt idx="10">
                  <c:v>76765</c:v>
                </c:pt>
                <c:pt idx="11">
                  <c:v>75000</c:v>
                </c:pt>
                <c:pt idx="12">
                  <c:v>72956</c:v>
                </c:pt>
                <c:pt idx="13">
                  <c:v>65740</c:v>
                </c:pt>
                <c:pt idx="14">
                  <c:v>59680</c:v>
                </c:pt>
                <c:pt idx="15">
                  <c:v>59550</c:v>
                </c:pt>
                <c:pt idx="16">
                  <c:v>57512</c:v>
                </c:pt>
                <c:pt idx="17">
                  <c:v>56160</c:v>
                </c:pt>
                <c:pt idx="18">
                  <c:v>55874</c:v>
                </c:pt>
                <c:pt idx="19">
                  <c:v>55233</c:v>
                </c:pt>
                <c:pt idx="20">
                  <c:v>49362</c:v>
                </c:pt>
                <c:pt idx="21">
                  <c:v>43582</c:v>
                </c:pt>
                <c:pt idx="22">
                  <c:v>37426.5</c:v>
                </c:pt>
                <c:pt idx="23">
                  <c:v>21864</c:v>
                </c:pt>
              </c:numCache>
            </c:numRef>
          </c:val>
        </c:ser>
        <c:gapWidth val="60"/>
        <c:overlap val="0"/>
        <c:axId val="77807595"/>
        <c:axId val="78468421"/>
      </c:barChart>
      <c:lineChart>
        <c:grouping val="standard"/>
        <c:varyColors val="0"/>
        <c:ser>
          <c:idx val="1"/>
          <c:order val="1"/>
          <c:tx>
            <c:strRef>
              <c:f>'تحليل المنتجات'!O5</c:f>
              <c:strCache>
                <c:ptCount val="1"/>
                <c:pt idx="0">
                  <c:v>التراكمي</c:v>
                </c:pt>
              </c:strCache>
            </c:strRef>
          </c:tx>
          <c:spPr>
            <a:solidFill>
              <a:srgbClr val="e76f51"/>
            </a:solidFill>
            <a:ln w="28080">
              <a:solidFill>
                <a:srgbClr val="e76f51"/>
              </a:solidFill>
              <a:round/>
            </a:ln>
          </c:spPr>
          <c:marker>
            <c:symbol val="circle"/>
            <c:size val="6"/>
            <c:spPr>
              <a:solidFill>
                <a:srgbClr val="e76f5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'تحليل المنتجات'!$K$6:$K$29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'تحليل المنتجات'!$O$6:$O$29</c:f>
              <c:numCache>
                <c:formatCode>0.0%</c:formatCode>
                <c:ptCount val="24"/>
                <c:pt idx="0">
                  <c:v>0.114097724434198</c:v>
                </c:pt>
                <c:pt idx="1">
                  <c:v>0.201152350510007</c:v>
                </c:pt>
                <c:pt idx="2">
                  <c:v>0.276934338580247</c:v>
                </c:pt>
                <c:pt idx="3">
                  <c:v>0.344301046129825</c:v>
                </c:pt>
                <c:pt idx="4">
                  <c:v>0.399346715875932</c:v>
                </c:pt>
                <c:pt idx="5">
                  <c:v>0.453829572784103</c:v>
                </c:pt>
                <c:pt idx="6">
                  <c:v>0.5080678810787</c:v>
                </c:pt>
                <c:pt idx="7">
                  <c:v>0.558437874940413</c:v>
                </c:pt>
                <c:pt idx="8">
                  <c:v>0.595705211506469</c:v>
                </c:pt>
                <c:pt idx="9">
                  <c:v>0.631794268388944</c:v>
                </c:pt>
                <c:pt idx="10">
                  <c:v>0.667723023070178</c:v>
                </c:pt>
                <c:pt idx="11">
                  <c:v>0.70282569487494</c:v>
                </c:pt>
                <c:pt idx="12">
                  <c:v>0.736971701864116</c:v>
                </c:pt>
                <c:pt idx="13">
                  <c:v>0.76774036379005</c:v>
                </c:pt>
                <c:pt idx="14">
                  <c:v>0.795672729834159</c:v>
                </c:pt>
                <c:pt idx="15">
                  <c:v>0.823544251247139</c:v>
                </c:pt>
                <c:pt idx="16">
                  <c:v>0.850461916058279</c:v>
                </c:pt>
                <c:pt idx="17">
                  <c:v>0.876746796705685</c:v>
                </c:pt>
                <c:pt idx="18">
                  <c:v>0.902897819164608</c:v>
                </c:pt>
                <c:pt idx="19">
                  <c:v>0.928748830788507</c:v>
                </c:pt>
                <c:pt idx="20">
                  <c:v>0.951852005263529</c:v>
                </c:pt>
                <c:pt idx="21">
                  <c:v>0.972249933831464</c:v>
                </c:pt>
                <c:pt idx="22">
                  <c:v>0.989766869115476</c:v>
                </c:pt>
                <c:pt idx="23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1420426"/>
        <c:axId val="72352278"/>
      </c:lineChart>
      <c:catAx>
        <c:axId val="7780759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468421"/>
        <c:crosses val="autoZero"/>
        <c:auto val="1"/>
        <c:lblAlgn val="ctr"/>
        <c:lblOffset val="100"/>
        <c:noMultiLvlLbl val="0"/>
      </c:catAx>
      <c:valAx>
        <c:axId val="784684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07595"/>
        <c:crosses val="autoZero"/>
        <c:crossBetween val="between"/>
      </c:valAx>
      <c:catAx>
        <c:axId val="91420426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52278"/>
        <c:crosses val="autoZero"/>
        <c:auto val="1"/>
        <c:lblAlgn val="ctr"/>
        <c:lblOffset val="100"/>
        <c:noMultiLvlLbl val="0"/>
      </c:catAx>
      <c:valAx>
        <c:axId val="72352278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2042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أعلى 10 منتجات إيراداً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'تحليل المنتجات'!M5</c:f>
              <c:strCache>
                <c:ptCount val="1"/>
                <c:pt idx="0">
                  <c:v>الإيراد (ريال)</c:v>
                </c:pt>
              </c:strCache>
            </c:strRef>
          </c:tx>
          <c:spPr>
            <a:solidFill>
              <a:srgbClr val="2a9d8f"/>
            </a:solidFill>
            <a:ln w="9360">
              <a:solidFill>
                <a:srgbClr val="2a9d8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'تحليل المنتجات'!$L$6:$L$15</c:f>
              <c:strCache>
                <c:ptCount val="10"/>
                <c:pt idx="0">
                  <c:v>مكتب عمل</c:v>
                </c:pt>
                <c:pt idx="1">
                  <c:v>هاتف ذكي</c:v>
                </c:pt>
                <c:pt idx="2">
                  <c:v>طابعة ليزر</c:v>
                </c:pt>
                <c:pt idx="3">
                  <c:v>شاشة 27 بوصة</c:v>
                </c:pt>
                <c:pt idx="4">
                  <c:v>حاسوب محمول</c:v>
                </c:pt>
                <c:pt idx="5">
                  <c:v>كرسي مريح</c:v>
                </c:pt>
                <c:pt idx="6">
                  <c:v>خزانة ملفات</c:v>
                </c:pt>
                <c:pt idx="7">
                  <c:v>رف كتب</c:v>
                </c:pt>
                <c:pt idx="8">
                  <c:v>مكنسة كهربائية</c:v>
                </c:pt>
                <c:pt idx="9">
                  <c:v>سماعات لاسلكية</c:v>
                </c:pt>
              </c:strCache>
            </c:strRef>
          </c:cat>
          <c:val>
            <c:numRef>
              <c:f>'تحليل المنتجات'!$M$6:$M$15</c:f>
              <c:numCache>
                <c:formatCode>#,##0</c:formatCode>
                <c:ptCount val="10"/>
                <c:pt idx="0">
                  <c:v>243780</c:v>
                </c:pt>
                <c:pt idx="1">
                  <c:v>186000</c:v>
                </c:pt>
                <c:pt idx="2">
                  <c:v>161915</c:v>
                </c:pt>
                <c:pt idx="3">
                  <c:v>143935</c:v>
                </c:pt>
                <c:pt idx="4">
                  <c:v>117610</c:v>
                </c:pt>
                <c:pt idx="5">
                  <c:v>116407.5</c:v>
                </c:pt>
                <c:pt idx="6">
                  <c:v>115885</c:v>
                </c:pt>
                <c:pt idx="7">
                  <c:v>107620</c:v>
                </c:pt>
                <c:pt idx="8">
                  <c:v>79625</c:v>
                </c:pt>
                <c:pt idx="9">
                  <c:v>77107.5</c:v>
                </c:pt>
              </c:numCache>
            </c:numRef>
          </c:val>
        </c:ser>
        <c:gapWidth val="60"/>
        <c:overlap val="0"/>
        <c:axId val="35771183"/>
        <c:axId val="7719196"/>
      </c:barChart>
      <c:catAx>
        <c:axId val="357711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19196"/>
        <c:crosses val="autoZero"/>
        <c:auto val="1"/>
        <c:lblAlgn val="ctr"/>
        <c:lblOffset val="100"/>
        <c:noMultiLvlLbl val="0"/>
      </c:catAx>
      <c:valAx>
        <c:axId val="77191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7711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الإيراد مقابل هامش الربح لكل منتج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"المنتجات"</c:f>
              <c:strCache>
                <c:ptCount val="1"/>
                <c:pt idx="0">
                  <c:v>المنتجات</c:v>
                </c:pt>
              </c:strCache>
            </c:strRef>
          </c:tx>
          <c:spPr>
            <a:solidFill>
              <a:srgbClr val="f4a261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f4a26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'تحليل المنتجات'!$E$6:$E$29</c:f>
              <c:numCache>
                <c:formatCode>#,##0</c:formatCode>
                <c:ptCount val="24"/>
                <c:pt idx="0">
                  <c:v>186000</c:v>
                </c:pt>
                <c:pt idx="1">
                  <c:v>117610</c:v>
                </c:pt>
                <c:pt idx="2">
                  <c:v>77107.5</c:v>
                </c:pt>
                <c:pt idx="3">
                  <c:v>143935</c:v>
                </c:pt>
                <c:pt idx="4">
                  <c:v>79625</c:v>
                </c:pt>
                <c:pt idx="5">
                  <c:v>59550</c:v>
                </c:pt>
                <c:pt idx="6">
                  <c:v>65740</c:v>
                </c:pt>
                <c:pt idx="7">
                  <c:v>55874</c:v>
                </c:pt>
                <c:pt idx="8">
                  <c:v>243780</c:v>
                </c:pt>
                <c:pt idx="9">
                  <c:v>116407.5</c:v>
                </c:pt>
                <c:pt idx="10">
                  <c:v>115885</c:v>
                </c:pt>
                <c:pt idx="11">
                  <c:v>107620</c:v>
                </c:pt>
                <c:pt idx="12">
                  <c:v>161915</c:v>
                </c:pt>
                <c:pt idx="13">
                  <c:v>57512</c:v>
                </c:pt>
                <c:pt idx="14">
                  <c:v>76765</c:v>
                </c:pt>
                <c:pt idx="15">
                  <c:v>37426.5</c:v>
                </c:pt>
                <c:pt idx="16">
                  <c:v>59680</c:v>
                </c:pt>
                <c:pt idx="17">
                  <c:v>56160</c:v>
                </c:pt>
                <c:pt idx="18">
                  <c:v>49362</c:v>
                </c:pt>
                <c:pt idx="19">
                  <c:v>21864</c:v>
                </c:pt>
                <c:pt idx="20">
                  <c:v>72956</c:v>
                </c:pt>
                <c:pt idx="21">
                  <c:v>55233</c:v>
                </c:pt>
                <c:pt idx="22">
                  <c:v>43582</c:v>
                </c:pt>
                <c:pt idx="23">
                  <c:v>75000</c:v>
                </c:pt>
              </c:numCache>
            </c:numRef>
          </c:xVal>
          <c:yVal>
            <c:numRef>
              <c:f>'تحليل المنتجات'!$G$6:$G$29</c:f>
              <c:numCache>
                <c:formatCode>0.0%</c:formatCode>
                <c:ptCount val="24"/>
                <c:pt idx="0">
                  <c:v>0.219086021505376</c:v>
                </c:pt>
                <c:pt idx="1">
                  <c:v>0.186293682509991</c:v>
                </c:pt>
                <c:pt idx="2">
                  <c:v>0.376195571118244</c:v>
                </c:pt>
                <c:pt idx="3">
                  <c:v>0.219647757668392</c:v>
                </c:pt>
                <c:pt idx="4">
                  <c:v>0.309010989010989</c:v>
                </c:pt>
                <c:pt idx="5">
                  <c:v>0.376994122586062</c:v>
                </c:pt>
                <c:pt idx="6">
                  <c:v>0.240188621843626</c:v>
                </c:pt>
                <c:pt idx="7">
                  <c:v>0.366431613988617</c:v>
                </c:pt>
                <c:pt idx="8">
                  <c:v>0.376897202395603</c:v>
                </c:pt>
                <c:pt idx="9">
                  <c:v>0.369112814895947</c:v>
                </c:pt>
                <c:pt idx="10">
                  <c:v>0.35962376493938</c:v>
                </c:pt>
                <c:pt idx="11">
                  <c:v>0.401040698754878</c:v>
                </c:pt>
                <c:pt idx="12">
                  <c:v>0.225519562733533</c:v>
                </c:pt>
                <c:pt idx="13">
                  <c:v>0.271543330087634</c:v>
                </c:pt>
                <c:pt idx="14">
                  <c:v>0.501335243926269</c:v>
                </c:pt>
                <c:pt idx="15">
                  <c:v>0.454130094986173</c:v>
                </c:pt>
                <c:pt idx="16">
                  <c:v>0.262734584450402</c:v>
                </c:pt>
                <c:pt idx="17">
                  <c:v>0.294871794871795</c:v>
                </c:pt>
                <c:pt idx="18">
                  <c:v>0.400145861188769</c:v>
                </c:pt>
                <c:pt idx="19">
                  <c:v>0.560922063666301</c:v>
                </c:pt>
                <c:pt idx="20">
                  <c:v>0.5653544602226</c:v>
                </c:pt>
                <c:pt idx="21">
                  <c:v>0.464450600184672</c:v>
                </c:pt>
                <c:pt idx="22">
                  <c:v>0.466752328943142</c:v>
                </c:pt>
                <c:pt idx="23">
                  <c:v>0.4016</c:v>
                </c:pt>
              </c:numCache>
            </c:numRef>
          </c:yVal>
          <c:smooth val="1"/>
        </c:ser>
        <c:axId val="88596906"/>
        <c:axId val="98890532"/>
      </c:scatterChart>
      <c:valAx>
        <c:axId val="8859690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الإيراد (ريال)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90532"/>
        <c:crosses val="autoZero"/>
        <c:crossBetween val="midCat"/>
      </c:valAx>
      <c:valAx>
        <c:axId val="98890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هامش الربح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9690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توزيع العملاء حسب الشريحة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'تحليل العملاء'!B11</c:f>
              <c:strCache>
                <c:ptCount val="1"/>
                <c:pt idx="0">
                  <c:v>عدد العملاء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3a5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a9d8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e9c46a"/>
              </a:solidFill>
              <a:ln w="0">
                <a:noFill/>
              </a:ln>
            </c:spPr>
          </c:dPt>
          <c:dPt>
            <c:idx val="3"/>
            <c:spPr>
              <a:solidFill>
                <a:srgbClr val="f4a261"/>
              </a:solidFill>
              <a:ln w="0">
                <a:noFill/>
              </a:ln>
            </c:spPr>
          </c:dPt>
          <c:dPt>
            <c:idx val="4"/>
            <c:spPr>
              <a:solidFill>
                <a:srgbClr val="e76f51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'تحليل العملاء'!$A$12:$A$16</c:f>
              <c:strCache>
                <c:ptCount val="5"/>
                <c:pt idx="0">
                  <c:v>أبطال</c:v>
                </c:pt>
                <c:pt idx="1">
                  <c:v>أوفياء</c:v>
                </c:pt>
                <c:pt idx="2">
                  <c:v>واعدون</c:v>
                </c:pt>
                <c:pt idx="3">
                  <c:v>معرضون للفقد</c:v>
                </c:pt>
                <c:pt idx="4">
                  <c:v>نائمون</c:v>
                </c:pt>
              </c:strCache>
            </c:strRef>
          </c:cat>
          <c:val>
            <c:numRef>
              <c:f>'تحليل العملاء'!$B$12:$B$16</c:f>
              <c:numCache>
                <c:formatCode>#,##0</c:formatCode>
                <c:ptCount val="5"/>
                <c:pt idx="0">
                  <c:v>61</c:v>
                </c:pt>
                <c:pt idx="1">
                  <c:v>42</c:v>
                </c:pt>
                <c:pt idx="2">
                  <c:v>42</c:v>
                </c:pt>
                <c:pt idx="3">
                  <c:v>28</c:v>
                </c:pt>
                <c:pt idx="4">
                  <c:v>27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الإيراد حسب شريحة RFM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'تحليل العملاء'!C11</c:f>
              <c:strCache>
                <c:ptCount val="1"/>
                <c:pt idx="0">
                  <c:v>الإيراد (ريال)</c:v>
                </c:pt>
              </c:strCache>
            </c:strRef>
          </c:tx>
          <c:spPr>
            <a:solidFill>
              <a:srgbClr val="e76f51"/>
            </a:solidFill>
            <a:ln w="9360">
              <a:solidFill>
                <a:srgbClr val="e76f51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'تحليل العملاء'!$A$12:$A$16</c:f>
              <c:strCache>
                <c:ptCount val="5"/>
                <c:pt idx="0">
                  <c:v>أبطال</c:v>
                </c:pt>
                <c:pt idx="1">
                  <c:v>أوفياء</c:v>
                </c:pt>
                <c:pt idx="2">
                  <c:v>واعدون</c:v>
                </c:pt>
                <c:pt idx="3">
                  <c:v>معرضون للفقد</c:v>
                </c:pt>
                <c:pt idx="4">
                  <c:v>نائمون</c:v>
                </c:pt>
              </c:strCache>
            </c:strRef>
          </c:cat>
          <c:val>
            <c:numRef>
              <c:f>'تحليل العملاء'!$C$12:$C$16</c:f>
              <c:numCache>
                <c:formatCode>#,##0</c:formatCode>
                <c:ptCount val="5"/>
                <c:pt idx="0">
                  <c:v>1415872.5</c:v>
                </c:pt>
                <c:pt idx="1">
                  <c:v>446213</c:v>
                </c:pt>
                <c:pt idx="2">
                  <c:v>179904.5</c:v>
                </c:pt>
                <c:pt idx="3">
                  <c:v>74294</c:v>
                </c:pt>
                <c:pt idx="4">
                  <c:v>20305.5</c:v>
                </c:pt>
              </c:numCache>
            </c:numRef>
          </c:val>
        </c:ser>
        <c:gapWidth val="60"/>
        <c:overlap val="0"/>
        <c:axId val="26731478"/>
        <c:axId val="54039063"/>
      </c:barChart>
      <c:catAx>
        <c:axId val="267314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39063"/>
        <c:crosses val="autoZero"/>
        <c:auto val="1"/>
        <c:lblAlgn val="ctr"/>
        <c:lblOffset val="100"/>
        <c:noMultiLvlLbl val="0"/>
      </c:catAx>
      <c:valAx>
        <c:axId val="540390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314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نسبة تحقيق الهدف لكل موظف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الموظفون!F4</c:f>
              <c:strCache>
                <c:ptCount val="1"/>
                <c:pt idx="0">
                  <c:v>نسبة التحقيق</c:v>
                </c:pt>
              </c:strCache>
            </c:strRef>
          </c:tx>
          <c:spPr>
            <a:solidFill>
              <a:srgbClr val="2a9d8f"/>
            </a:solidFill>
            <a:ln w="9360">
              <a:solidFill>
                <a:srgbClr val="2a9d8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الموظفون!$B$5:$B$14</c:f>
              <c:strCache>
                <c:ptCount val="10"/>
                <c:pt idx="0">
                  <c:v>عبدالرحمن السالم</c:v>
                </c:pt>
                <c:pt idx="1">
                  <c:v>منصور الراشد</c:v>
                </c:pt>
                <c:pt idx="2">
                  <c:v>هيفاء الحمد</c:v>
                </c:pt>
                <c:pt idx="3">
                  <c:v>بدر الفهد</c:v>
                </c:pt>
                <c:pt idx="4">
                  <c:v>ماجد النعيمي</c:v>
                </c:pt>
                <c:pt idx="5">
                  <c:v>لجين القاسم</c:v>
                </c:pt>
                <c:pt idx="6">
                  <c:v>رائد العمري</c:v>
                </c:pt>
                <c:pt idx="7">
                  <c:v>شهد الكعبي</c:v>
                </c:pt>
                <c:pt idx="8">
                  <c:v>وليد الصالح</c:v>
                </c:pt>
                <c:pt idx="9">
                  <c:v>أروى الجبر</c:v>
                </c:pt>
              </c:strCache>
            </c:strRef>
          </c:cat>
          <c:val>
            <c:numRef>
              <c:f>الموظفون!$F$5:$F$14</c:f>
              <c:numCache>
                <c:formatCode>0.0%</c:formatCode>
                <c:ptCount val="10"/>
                <c:pt idx="0">
                  <c:v>0.8538578125</c:v>
                </c:pt>
                <c:pt idx="1">
                  <c:v>0.965705314009662</c:v>
                </c:pt>
                <c:pt idx="2">
                  <c:v>0.959786026200873</c:v>
                </c:pt>
                <c:pt idx="3">
                  <c:v>0.926473684210526</c:v>
                </c:pt>
                <c:pt idx="4">
                  <c:v>1.11327702702703</c:v>
                </c:pt>
                <c:pt idx="5">
                  <c:v>0.980592417061611</c:v>
                </c:pt>
                <c:pt idx="6">
                  <c:v>1.0863347639485</c:v>
                </c:pt>
                <c:pt idx="7">
                  <c:v>1.17300476190476</c:v>
                </c:pt>
                <c:pt idx="8">
                  <c:v>0.960267080745342</c:v>
                </c:pt>
                <c:pt idx="9">
                  <c:v>0.856145038167939</c:v>
                </c:pt>
              </c:numCache>
            </c:numRef>
          </c:val>
        </c:ser>
        <c:gapWidth val="60"/>
        <c:overlap val="0"/>
        <c:axId val="38449680"/>
        <c:axId val="59488724"/>
      </c:barChart>
      <c:catAx>
        <c:axId val="3844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88724"/>
        <c:crosses val="autoZero"/>
        <c:auto val="1"/>
        <c:lblAlgn val="ctr"/>
        <c:lblOffset val="100"/>
        <c:noMultiLvlLbl val="0"/>
      </c:catAx>
      <c:valAx>
        <c:axId val="594887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496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العمولات المستحقة (ريال)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الموظفون!M4</c:f>
              <c:strCache>
                <c:ptCount val="1"/>
                <c:pt idx="0">
                  <c:v>العمولة (ريال)</c:v>
                </c:pt>
              </c:strCache>
            </c:strRef>
          </c:tx>
          <c:spPr>
            <a:solidFill>
              <a:srgbClr val="f4a261"/>
            </a:solidFill>
            <a:ln w="9360">
              <a:solidFill>
                <a:srgbClr val="f4a261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الموظفون!$B$5:$B$14</c:f>
              <c:strCache>
                <c:ptCount val="10"/>
                <c:pt idx="0">
                  <c:v>عبدالرحمن السالم</c:v>
                </c:pt>
                <c:pt idx="1">
                  <c:v>منصور الراشد</c:v>
                </c:pt>
                <c:pt idx="2">
                  <c:v>هيفاء الحمد</c:v>
                </c:pt>
                <c:pt idx="3">
                  <c:v>بدر الفهد</c:v>
                </c:pt>
                <c:pt idx="4">
                  <c:v>ماجد النعيمي</c:v>
                </c:pt>
                <c:pt idx="5">
                  <c:v>لجين القاسم</c:v>
                </c:pt>
                <c:pt idx="6">
                  <c:v>رائد العمري</c:v>
                </c:pt>
                <c:pt idx="7">
                  <c:v>شهد الكعبي</c:v>
                </c:pt>
                <c:pt idx="8">
                  <c:v>وليد الصالح</c:v>
                </c:pt>
                <c:pt idx="9">
                  <c:v>أروى الجبر</c:v>
                </c:pt>
              </c:strCache>
            </c:strRef>
          </c:cat>
          <c:val>
            <c:numRef>
              <c:f>الموظفون!$M$5:$M$14</c:f>
              <c:numCache>
                <c:formatCode>#,##0</c:formatCode>
                <c:ptCount val="10"/>
                <c:pt idx="0">
                  <c:v>4098.5175</c:v>
                </c:pt>
                <c:pt idx="1">
                  <c:v>3998.02</c:v>
                </c:pt>
                <c:pt idx="2">
                  <c:v>4395.82</c:v>
                </c:pt>
                <c:pt idx="3">
                  <c:v>3872.66</c:v>
                </c:pt>
                <c:pt idx="4">
                  <c:v>4942.95</c:v>
                </c:pt>
                <c:pt idx="5">
                  <c:v>4138.1</c:v>
                </c:pt>
                <c:pt idx="6">
                  <c:v>6327.9</c:v>
                </c:pt>
                <c:pt idx="7">
                  <c:v>7389.93</c:v>
                </c:pt>
                <c:pt idx="8">
                  <c:v>3092.06</c:v>
                </c:pt>
                <c:pt idx="9">
                  <c:v>3364.65</c:v>
                </c:pt>
              </c:numCache>
            </c:numRef>
          </c:val>
        </c:ser>
        <c:gapWidth val="60"/>
        <c:overlap val="0"/>
        <c:axId val="19307587"/>
        <c:axId val="27932757"/>
      </c:barChart>
      <c:catAx>
        <c:axId val="193075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32757"/>
        <c:crosses val="autoZero"/>
        <c:auto val="1"/>
        <c:lblAlgn val="ctr"/>
        <c:lblOffset val="100"/>
        <c:noMultiLvlLbl val="0"/>
      </c:catAx>
      <c:valAx>
        <c:axId val="279327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075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الهدف مقابل الفعلي شهرياً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الأهداف!D8</c:f>
              <c:strCache>
                <c:ptCount val="1"/>
                <c:pt idx="0">
                  <c:v>الهدف (ريال)</c:v>
                </c:pt>
              </c:strCache>
            </c:strRef>
          </c:tx>
          <c:spPr>
            <a:solidFill>
              <a:srgbClr val="e9c46a"/>
            </a:solidFill>
            <a:ln w="9360">
              <a:solidFill>
                <a:srgbClr val="e9c46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الأهداف!$B$9:$B$20</c:f>
              <c:strCache>
                <c:ptCount val="12"/>
                <c:pt idx="0">
                  <c:v>أكتوبر 2025</c:v>
                </c:pt>
                <c:pt idx="1">
                  <c:v>نوفمبر 2025</c:v>
                </c:pt>
                <c:pt idx="2">
                  <c:v>ديسمبر 2025</c:v>
                </c:pt>
                <c:pt idx="3">
                  <c:v>يناير 2026</c:v>
                </c:pt>
                <c:pt idx="4">
                  <c:v>فبراير 2026</c:v>
                </c:pt>
                <c:pt idx="5">
                  <c:v>مارس 2026</c:v>
                </c:pt>
                <c:pt idx="6">
                  <c:v>أبريل 2026</c:v>
                </c:pt>
                <c:pt idx="7">
                  <c:v>مايو 2026</c:v>
                </c:pt>
                <c:pt idx="8">
                  <c:v>يونيو 2026</c:v>
                </c:pt>
                <c:pt idx="9">
                  <c:v>يوليو 2026</c:v>
                </c:pt>
                <c:pt idx="10">
                  <c:v>أغسطس 2026</c:v>
                </c:pt>
                <c:pt idx="11">
                  <c:v>سبتمبر 2026</c:v>
                </c:pt>
              </c:strCache>
            </c:strRef>
          </c:cat>
          <c:val>
            <c:numRef>
              <c:f>الأهداف!$D$9:$D$20</c:f>
              <c:numCache>
                <c:formatCode>#,##0</c:formatCode>
                <c:ptCount val="12"/>
                <c:pt idx="0">
                  <c:v>182040</c:v>
                </c:pt>
                <c:pt idx="1">
                  <c:v>261960</c:v>
                </c:pt>
                <c:pt idx="2">
                  <c:v>208680</c:v>
                </c:pt>
                <c:pt idx="3">
                  <c:v>162060</c:v>
                </c:pt>
                <c:pt idx="4">
                  <c:v>199800</c:v>
                </c:pt>
                <c:pt idx="5">
                  <c:v>226440</c:v>
                </c:pt>
                <c:pt idx="6">
                  <c:v>173160</c:v>
                </c:pt>
                <c:pt idx="7">
                  <c:v>162060</c:v>
                </c:pt>
                <c:pt idx="8">
                  <c:v>173160</c:v>
                </c:pt>
                <c:pt idx="9">
                  <c:v>144300</c:v>
                </c:pt>
                <c:pt idx="10">
                  <c:v>153180</c:v>
                </c:pt>
                <c:pt idx="11">
                  <c:v>173160</c:v>
                </c:pt>
              </c:numCache>
            </c:numRef>
          </c:val>
        </c:ser>
        <c:ser>
          <c:idx val="1"/>
          <c:order val="1"/>
          <c:tx>
            <c:strRef>
              <c:f>الأهداف!E8</c:f>
              <c:strCache>
                <c:ptCount val="1"/>
                <c:pt idx="0">
                  <c:v>الفعلي (ريال)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1f3a5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الأهداف!$B$9:$B$20</c:f>
              <c:strCache>
                <c:ptCount val="12"/>
                <c:pt idx="0">
                  <c:v>أكتوبر 2025</c:v>
                </c:pt>
                <c:pt idx="1">
                  <c:v>نوفمبر 2025</c:v>
                </c:pt>
                <c:pt idx="2">
                  <c:v>ديسمبر 2025</c:v>
                </c:pt>
                <c:pt idx="3">
                  <c:v>يناير 2026</c:v>
                </c:pt>
                <c:pt idx="4">
                  <c:v>فبراير 2026</c:v>
                </c:pt>
                <c:pt idx="5">
                  <c:v>مارس 2026</c:v>
                </c:pt>
                <c:pt idx="6">
                  <c:v>أبريل 2026</c:v>
                </c:pt>
                <c:pt idx="7">
                  <c:v>مايو 2026</c:v>
                </c:pt>
                <c:pt idx="8">
                  <c:v>يونيو 2026</c:v>
                </c:pt>
                <c:pt idx="9">
                  <c:v>يوليو 2026</c:v>
                </c:pt>
                <c:pt idx="10">
                  <c:v>أغسطس 2026</c:v>
                </c:pt>
                <c:pt idx="11">
                  <c:v>سبتمبر 2026</c:v>
                </c:pt>
              </c:strCache>
            </c:strRef>
          </c:cat>
          <c:val>
            <c:numRef>
              <c:f>الأهداف!$E$9:$E$20</c:f>
              <c:numCache>
                <c:formatCode>#,##0</c:formatCode>
                <c:ptCount val="12"/>
                <c:pt idx="0">
                  <c:v>186629.5</c:v>
                </c:pt>
                <c:pt idx="1">
                  <c:v>211433</c:v>
                </c:pt>
                <c:pt idx="2">
                  <c:v>183489.5</c:v>
                </c:pt>
                <c:pt idx="3">
                  <c:v>168383.5</c:v>
                </c:pt>
                <c:pt idx="4">
                  <c:v>221778.5</c:v>
                </c:pt>
                <c:pt idx="5">
                  <c:v>157027.5</c:v>
                </c:pt>
                <c:pt idx="6">
                  <c:v>166026.5</c:v>
                </c:pt>
                <c:pt idx="7">
                  <c:v>204552.5</c:v>
                </c:pt>
                <c:pt idx="8">
                  <c:v>165984</c:v>
                </c:pt>
                <c:pt idx="9">
                  <c:v>137862.5</c:v>
                </c:pt>
                <c:pt idx="10">
                  <c:v>153928.5</c:v>
                </c:pt>
                <c:pt idx="11">
                  <c:v>179494</c:v>
                </c:pt>
              </c:numCache>
            </c:numRef>
          </c:val>
        </c:ser>
        <c:gapWidth val="60"/>
        <c:overlap val="0"/>
        <c:axId val="78447806"/>
        <c:axId val="74257724"/>
      </c:barChart>
      <c:catAx>
        <c:axId val="784478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57724"/>
        <c:crosses val="autoZero"/>
        <c:auto val="1"/>
        <c:lblAlgn val="ctr"/>
        <c:lblOffset val="100"/>
        <c:noMultiLvlLbl val="0"/>
      </c:catAx>
      <c:valAx>
        <c:axId val="742577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4478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التحقيق التراكمي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الأهداف!K8</c:f>
              <c:strCache>
                <c:ptCount val="1"/>
                <c:pt idx="0">
                  <c:v>التحقيق التراكمي</c:v>
                </c:pt>
              </c:strCache>
            </c:strRef>
          </c:tx>
          <c:spPr>
            <a:solidFill>
              <a:srgbClr val="2a9d8f"/>
            </a:solidFill>
            <a:ln w="28080">
              <a:solidFill>
                <a:srgbClr val="2a9d8f"/>
              </a:solidFill>
              <a:round/>
            </a:ln>
          </c:spPr>
          <c:marker>
            <c:symbol val="circle"/>
            <c:size val="5"/>
            <c:spPr>
              <a:solidFill>
                <a:srgbClr val="2a9d8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الأهداف!$B$9:$B$20</c:f>
              <c:strCache>
                <c:ptCount val="12"/>
                <c:pt idx="0">
                  <c:v>أكتوبر 2025</c:v>
                </c:pt>
                <c:pt idx="1">
                  <c:v>نوفمبر 2025</c:v>
                </c:pt>
                <c:pt idx="2">
                  <c:v>ديسمبر 2025</c:v>
                </c:pt>
                <c:pt idx="3">
                  <c:v>يناير 2026</c:v>
                </c:pt>
                <c:pt idx="4">
                  <c:v>فبراير 2026</c:v>
                </c:pt>
                <c:pt idx="5">
                  <c:v>مارس 2026</c:v>
                </c:pt>
                <c:pt idx="6">
                  <c:v>أبريل 2026</c:v>
                </c:pt>
                <c:pt idx="7">
                  <c:v>مايو 2026</c:v>
                </c:pt>
                <c:pt idx="8">
                  <c:v>يونيو 2026</c:v>
                </c:pt>
                <c:pt idx="9">
                  <c:v>يوليو 2026</c:v>
                </c:pt>
                <c:pt idx="10">
                  <c:v>أغسطس 2026</c:v>
                </c:pt>
                <c:pt idx="11">
                  <c:v>سبتمبر 2026</c:v>
                </c:pt>
              </c:strCache>
            </c:strRef>
          </c:cat>
          <c:val>
            <c:numRef>
              <c:f>الأهداف!$K$9:$K$20</c:f>
              <c:numCache>
                <c:formatCode>0.0%</c:formatCode>
                <c:ptCount val="12"/>
                <c:pt idx="0">
                  <c:v>1.02521149197978</c:v>
                </c:pt>
                <c:pt idx="1">
                  <c:v>0.896537162162162</c:v>
                </c:pt>
                <c:pt idx="2">
                  <c:v>0.891021633878777</c:v>
                </c:pt>
                <c:pt idx="3">
                  <c:v>0.920459901318212</c:v>
                </c:pt>
                <c:pt idx="4">
                  <c:v>0.957787765884046</c:v>
                </c:pt>
                <c:pt idx="5">
                  <c:v>0.909556560137956</c:v>
                </c:pt>
                <c:pt idx="6">
                  <c:v>0.915586858444001</c:v>
                </c:pt>
                <c:pt idx="7">
                  <c:v>0.951224781119147</c:v>
                </c:pt>
                <c:pt idx="8">
                  <c:v>0.951950713403759</c:v>
                </c:pt>
                <c:pt idx="9">
                  <c:v>0.952212646409598</c:v>
                </c:pt>
                <c:pt idx="10">
                  <c:v>0.956154609055911</c:v>
                </c:pt>
                <c:pt idx="11">
                  <c:v>0.962427702702703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0432086"/>
        <c:axId val="7439797"/>
      </c:lineChart>
      <c:catAx>
        <c:axId val="504320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9797"/>
        <c:crosses val="autoZero"/>
        <c:auto val="1"/>
        <c:lblAlgn val="ctr"/>
        <c:lblOffset val="100"/>
        <c:noMultiLvlLbl val="0"/>
      </c:catAx>
      <c:valAx>
        <c:axId val="74397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320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توزيع قيمة الطلب (مدرج تكراري)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'الإحصاء والتنبؤ'!N5</c:f>
              <c:strCache>
                <c:ptCount val="1"/>
                <c:pt idx="0">
                  <c:v>التكرار</c:v>
                </c:pt>
              </c:strCache>
            </c:strRef>
          </c:tx>
          <c:spPr>
            <a:solidFill>
              <a:srgbClr val="f4a261"/>
            </a:solidFill>
            <a:ln w="9360">
              <a:solidFill>
                <a:srgbClr val="f4a261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'الإحصاء والتنبؤ'!$K$6:$K$16</c:f>
              <c:strCache>
                <c:ptCount val="11"/>
                <c:pt idx="0">
                  <c:v>0 - 500</c:v>
                </c:pt>
                <c:pt idx="1">
                  <c:v>500 - 1,000</c:v>
                </c:pt>
                <c:pt idx="2">
                  <c:v>1,000 - 1,500</c:v>
                </c:pt>
                <c:pt idx="3">
                  <c:v>1,500 - 2,000</c:v>
                </c:pt>
                <c:pt idx="4">
                  <c:v>2,000 - 2,500</c:v>
                </c:pt>
                <c:pt idx="5">
                  <c:v>2,500 - 3,000</c:v>
                </c:pt>
                <c:pt idx="6">
                  <c:v>3,000 - 3,500</c:v>
                </c:pt>
                <c:pt idx="7">
                  <c:v>3,500 - 4,000</c:v>
                </c:pt>
                <c:pt idx="8">
                  <c:v>4,000 - 4,500</c:v>
                </c:pt>
                <c:pt idx="9">
                  <c:v>4,500 - 5,000</c:v>
                </c:pt>
                <c:pt idx="10">
                  <c:v>5,000+</c:v>
                </c:pt>
              </c:strCache>
            </c:strRef>
          </c:cat>
          <c:val>
            <c:numRef>
              <c:f>'الإحصاء والتنبؤ'!$N$6:$N$16</c:f>
              <c:numCache>
                <c:formatCode>#,##0</c:formatCode>
                <c:ptCount val="11"/>
                <c:pt idx="0">
                  <c:v>508</c:v>
                </c:pt>
                <c:pt idx="1">
                  <c:v>321</c:v>
                </c:pt>
                <c:pt idx="2">
                  <c:v>177</c:v>
                </c:pt>
                <c:pt idx="3">
                  <c:v>140</c:v>
                </c:pt>
                <c:pt idx="4">
                  <c:v>92</c:v>
                </c:pt>
                <c:pt idx="5">
                  <c:v>29</c:v>
                </c:pt>
                <c:pt idx="6">
                  <c:v>47</c:v>
                </c:pt>
                <c:pt idx="7">
                  <c:v>31</c:v>
                </c:pt>
                <c:pt idx="8">
                  <c:v>14</c:v>
                </c:pt>
                <c:pt idx="9">
                  <c:v>14</c:v>
                </c:pt>
                <c:pt idx="10">
                  <c:v>61</c:v>
                </c:pt>
              </c:numCache>
            </c:numRef>
          </c:val>
        </c:ser>
        <c:gapWidth val="60"/>
        <c:overlap val="0"/>
        <c:axId val="9551176"/>
        <c:axId val="54366733"/>
      </c:barChart>
      <c:catAx>
        <c:axId val="9551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66733"/>
        <c:crosses val="autoZero"/>
        <c:auto val="1"/>
        <c:lblAlgn val="ctr"/>
        <c:lblOffset val="100"/>
        <c:noMultiLvlLbl val="0"/>
      </c:catAx>
      <c:valAx>
        <c:axId val="543667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11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الفعلي مقابل التنبؤ (15 شهراً)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'الإحصاء والتنبؤ'!C39</c:f>
              <c:strCache>
                <c:ptCount val="1"/>
                <c:pt idx="0">
                  <c:v>الفعلي</c:v>
                </c:pt>
              </c:strCache>
            </c:strRef>
          </c:tx>
          <c:spPr>
            <a:solidFill>
              <a:srgbClr val="1f3a5f"/>
            </a:solidFill>
            <a:ln w="28080">
              <a:solidFill>
                <a:srgbClr val="1f3a5f"/>
              </a:solidFill>
              <a:round/>
            </a:ln>
          </c:spPr>
          <c:marker>
            <c:symbol val="circle"/>
            <c:size val="5"/>
            <c:spPr>
              <a:solidFill>
                <a:srgbClr val="1f3a5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'الإحصاء والتنبؤ'!$B$40:$B$54</c:f>
              <c:strCache>
                <c:ptCount val="15"/>
                <c:pt idx="0">
                  <c:v>أكتوبر 2025</c:v>
                </c:pt>
                <c:pt idx="1">
                  <c:v>نوفمبر 2025</c:v>
                </c:pt>
                <c:pt idx="2">
                  <c:v>ديسمبر 2025</c:v>
                </c:pt>
                <c:pt idx="3">
                  <c:v>يناير 2026</c:v>
                </c:pt>
                <c:pt idx="4">
                  <c:v>فبراير 2026</c:v>
                </c:pt>
                <c:pt idx="5">
                  <c:v>مارس 2026</c:v>
                </c:pt>
                <c:pt idx="6">
                  <c:v>أبريل 2026</c:v>
                </c:pt>
                <c:pt idx="7">
                  <c:v>مايو 2026</c:v>
                </c:pt>
                <c:pt idx="8">
                  <c:v>يونيو 2026</c:v>
                </c:pt>
                <c:pt idx="9">
                  <c:v>يوليو 2026</c:v>
                </c:pt>
                <c:pt idx="10">
                  <c:v>أغسطس 2026</c:v>
                </c:pt>
                <c:pt idx="11">
                  <c:v>سبتمبر 2026</c:v>
                </c:pt>
                <c:pt idx="12">
                  <c:v>أكتوبر 2026</c:v>
                </c:pt>
                <c:pt idx="13">
                  <c:v>نوفمبر 2026</c:v>
                </c:pt>
                <c:pt idx="14">
                  <c:v>ديسمبر 2026</c:v>
                </c:pt>
              </c:strCache>
            </c:strRef>
          </c:cat>
          <c:val>
            <c:numRef>
              <c:f>'الإحصاء والتنبؤ'!$C$40:$C$54</c:f>
              <c:numCache>
                <c:formatCode>#,##0</c:formatCode>
                <c:ptCount val="15"/>
                <c:pt idx="0">
                  <c:v>186629.5</c:v>
                </c:pt>
                <c:pt idx="1">
                  <c:v>211433</c:v>
                </c:pt>
                <c:pt idx="2">
                  <c:v>183489.5</c:v>
                </c:pt>
                <c:pt idx="3">
                  <c:v>168383.5</c:v>
                </c:pt>
                <c:pt idx="4">
                  <c:v>221778.5</c:v>
                </c:pt>
                <c:pt idx="5">
                  <c:v>157027.5</c:v>
                </c:pt>
                <c:pt idx="6">
                  <c:v>166026.5</c:v>
                </c:pt>
                <c:pt idx="7">
                  <c:v>204552.5</c:v>
                </c:pt>
                <c:pt idx="8">
                  <c:v>165984</c:v>
                </c:pt>
                <c:pt idx="9">
                  <c:v>137862.5</c:v>
                </c:pt>
                <c:pt idx="10">
                  <c:v>153928.5</c:v>
                </c:pt>
                <c:pt idx="11">
                  <c:v>179494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'الإحصاء والتنبؤ'!D39</c:f>
              <c:strCache>
                <c:ptCount val="1"/>
                <c:pt idx="0">
                  <c:v>تنبؤ خطي</c:v>
                </c:pt>
              </c:strCache>
            </c:strRef>
          </c:tx>
          <c:spPr>
            <a:solidFill>
              <a:srgbClr val="e76f51"/>
            </a:solidFill>
            <a:ln w="28080">
              <a:solidFill>
                <a:srgbClr val="e76f51"/>
              </a:solidFill>
              <a:prstDash val="dash"/>
              <a:round/>
            </a:ln>
          </c:spPr>
          <c:marker>
            <c:symbol val="circle"/>
            <c:size val="5"/>
            <c:spPr>
              <a:solidFill>
                <a:srgbClr val="e76f5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'الإحصاء والتنبؤ'!$B$40:$B$54</c:f>
              <c:strCache>
                <c:ptCount val="15"/>
                <c:pt idx="0">
                  <c:v>أكتوبر 2025</c:v>
                </c:pt>
                <c:pt idx="1">
                  <c:v>نوفمبر 2025</c:v>
                </c:pt>
                <c:pt idx="2">
                  <c:v>ديسمبر 2025</c:v>
                </c:pt>
                <c:pt idx="3">
                  <c:v>يناير 2026</c:v>
                </c:pt>
                <c:pt idx="4">
                  <c:v>فبراير 2026</c:v>
                </c:pt>
                <c:pt idx="5">
                  <c:v>مارس 2026</c:v>
                </c:pt>
                <c:pt idx="6">
                  <c:v>أبريل 2026</c:v>
                </c:pt>
                <c:pt idx="7">
                  <c:v>مايو 2026</c:v>
                </c:pt>
                <c:pt idx="8">
                  <c:v>يونيو 2026</c:v>
                </c:pt>
                <c:pt idx="9">
                  <c:v>يوليو 2026</c:v>
                </c:pt>
                <c:pt idx="10">
                  <c:v>أغسطس 2026</c:v>
                </c:pt>
                <c:pt idx="11">
                  <c:v>سبتمبر 2026</c:v>
                </c:pt>
                <c:pt idx="12">
                  <c:v>أكتوبر 2026</c:v>
                </c:pt>
                <c:pt idx="13">
                  <c:v>نوفمبر 2026</c:v>
                </c:pt>
                <c:pt idx="14">
                  <c:v>ديسمبر 2026</c:v>
                </c:pt>
              </c:strCache>
            </c:strRef>
          </c:cat>
          <c:val>
            <c:numRef>
              <c:f>'الإحصاء والتنبؤ'!$D$40:$D$54</c:f>
              <c:numCache>
                <c:formatCode>#,##0</c:formatCode>
                <c:ptCount val="15"/>
                <c:pt idx="0">
                  <c:v>196704.826923077</c:v>
                </c:pt>
                <c:pt idx="1">
                  <c:v>193312.881118881</c:v>
                </c:pt>
                <c:pt idx="2">
                  <c:v>189920.935314685</c:v>
                </c:pt>
                <c:pt idx="3">
                  <c:v>186528.98951049</c:v>
                </c:pt>
                <c:pt idx="4">
                  <c:v>183137.043706294</c:v>
                </c:pt>
                <c:pt idx="5">
                  <c:v>179745.097902098</c:v>
                </c:pt>
                <c:pt idx="6">
                  <c:v>176353.152097902</c:v>
                </c:pt>
                <c:pt idx="7">
                  <c:v>172961.206293706</c:v>
                </c:pt>
                <c:pt idx="8">
                  <c:v>169569.260489511</c:v>
                </c:pt>
                <c:pt idx="9">
                  <c:v>166177.314685315</c:v>
                </c:pt>
                <c:pt idx="10">
                  <c:v>162785.368881119</c:v>
                </c:pt>
                <c:pt idx="11">
                  <c:v>159393.423076923</c:v>
                </c:pt>
                <c:pt idx="12">
                  <c:v>156001.477272727</c:v>
                </c:pt>
                <c:pt idx="13">
                  <c:v>152609.531468531</c:v>
                </c:pt>
                <c:pt idx="14">
                  <c:v>149217.585664336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'الإحصاء والتنبؤ'!H39</c:f>
              <c:strCache>
                <c:ptCount val="1"/>
                <c:pt idx="0">
                  <c:v>تنبؤ موسمي</c:v>
                </c:pt>
              </c:strCache>
            </c:strRef>
          </c:tx>
          <c:spPr>
            <a:solidFill>
              <a:srgbClr val="2a9d8f"/>
            </a:solidFill>
            <a:ln w="28080">
              <a:solidFill>
                <a:srgbClr val="2a9d8f"/>
              </a:solidFill>
              <a:round/>
            </a:ln>
          </c:spPr>
          <c:marker>
            <c:symbol val="circle"/>
            <c:size val="5"/>
            <c:spPr>
              <a:solidFill>
                <a:srgbClr val="2a9d8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'الإحصاء والتنبؤ'!$B$40:$B$54</c:f>
              <c:strCache>
                <c:ptCount val="15"/>
                <c:pt idx="0">
                  <c:v>أكتوبر 2025</c:v>
                </c:pt>
                <c:pt idx="1">
                  <c:v>نوفمبر 2025</c:v>
                </c:pt>
                <c:pt idx="2">
                  <c:v>ديسمبر 2025</c:v>
                </c:pt>
                <c:pt idx="3">
                  <c:v>يناير 2026</c:v>
                </c:pt>
                <c:pt idx="4">
                  <c:v>فبراير 2026</c:v>
                </c:pt>
                <c:pt idx="5">
                  <c:v>مارس 2026</c:v>
                </c:pt>
                <c:pt idx="6">
                  <c:v>أبريل 2026</c:v>
                </c:pt>
                <c:pt idx="7">
                  <c:v>مايو 2026</c:v>
                </c:pt>
                <c:pt idx="8">
                  <c:v>يونيو 2026</c:v>
                </c:pt>
                <c:pt idx="9">
                  <c:v>يوليو 2026</c:v>
                </c:pt>
                <c:pt idx="10">
                  <c:v>أغسطس 2026</c:v>
                </c:pt>
                <c:pt idx="11">
                  <c:v>سبتمبر 2026</c:v>
                </c:pt>
                <c:pt idx="12">
                  <c:v>أكتوبر 2026</c:v>
                </c:pt>
                <c:pt idx="13">
                  <c:v>نوفمبر 2026</c:v>
                </c:pt>
                <c:pt idx="14">
                  <c:v>ديسمبر 2026</c:v>
                </c:pt>
              </c:strCache>
            </c:strRef>
          </c:cat>
          <c:val>
            <c:numRef>
              <c:f>'الإحصاء والتنبؤ'!$H$40:$H$54</c:f>
              <c:numCache>
                <c:formatCode>#,##0</c:formatCode>
                <c:ptCount val="15"/>
                <c:pt idx="0">
                  <c:v>186629.5</c:v>
                </c:pt>
                <c:pt idx="1">
                  <c:v>211433</c:v>
                </c:pt>
                <c:pt idx="2">
                  <c:v>183489.5</c:v>
                </c:pt>
                <c:pt idx="3">
                  <c:v>168383.5</c:v>
                </c:pt>
                <c:pt idx="4">
                  <c:v>221778.5</c:v>
                </c:pt>
                <c:pt idx="5">
                  <c:v>157027.5</c:v>
                </c:pt>
                <c:pt idx="6">
                  <c:v>166026.5</c:v>
                </c:pt>
                <c:pt idx="7">
                  <c:v>204552.5</c:v>
                </c:pt>
                <c:pt idx="8">
                  <c:v>165984</c:v>
                </c:pt>
                <c:pt idx="9">
                  <c:v>137862.5</c:v>
                </c:pt>
                <c:pt idx="10">
                  <c:v>153928.5</c:v>
                </c:pt>
                <c:pt idx="11">
                  <c:v>179494</c:v>
                </c:pt>
                <c:pt idx="12">
                  <c:v>186629.5</c:v>
                </c:pt>
                <c:pt idx="13">
                  <c:v>211433</c:v>
                </c:pt>
                <c:pt idx="14">
                  <c:v>183489.5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4150174"/>
        <c:axId val="33397525"/>
      </c:lineChart>
      <c:catAx>
        <c:axId val="441501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97525"/>
        <c:crosses val="autoZero"/>
        <c:auto val="1"/>
        <c:lblAlgn val="ctr"/>
        <c:lblOffset val="100"/>
        <c:noMultiLvlLbl val="0"/>
      </c:catAx>
      <c:valAx>
        <c:axId val="333975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1501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صافي الربح حسب السيناريو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السيناريوهات!A22</c:f>
              <c:strCache>
                <c:ptCount val="1"/>
                <c:pt idx="0">
                  <c:v>صافي الربح</c:v>
                </c:pt>
              </c:strCache>
            </c:strRef>
          </c:tx>
          <c:spPr>
            <a:solidFill>
              <a:srgbClr val="2a9d8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السيناريوهات!$B$16:$E$16</c:f>
              <c:strCache>
                <c:ptCount val="4"/>
                <c:pt idx="0">
                  <c:v>أساسي</c:v>
                </c:pt>
                <c:pt idx="1">
                  <c:v>متفائل</c:v>
                </c:pt>
                <c:pt idx="2">
                  <c:v>متشائم</c:v>
                </c:pt>
                <c:pt idx="3">
                  <c:v>مخصص</c:v>
                </c:pt>
              </c:strCache>
            </c:strRef>
          </c:cat>
          <c:val>
            <c:numRef>
              <c:f>السيناريوهات!$B$22:$E$22</c:f>
              <c:numCache>
                <c:formatCode>#,##0</c:formatCode>
                <c:ptCount val="4"/>
                <c:pt idx="0">
                  <c:v>459514.5</c:v>
                </c:pt>
                <c:pt idx="1">
                  <c:v>609634.7225</c:v>
                </c:pt>
                <c:pt idx="2">
                  <c:v>194598.4725</c:v>
                </c:pt>
                <c:pt idx="3">
                  <c:v>512438.3124</c:v>
                </c:pt>
              </c:numCache>
            </c:numRef>
          </c:val>
        </c:ser>
        <c:gapWidth val="60"/>
        <c:overlap val="0"/>
        <c:axId val="80318896"/>
        <c:axId val="39167413"/>
      </c:barChart>
      <c:catAx>
        <c:axId val="8031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67413"/>
        <c:crosses val="autoZero"/>
        <c:auto val="1"/>
        <c:lblAlgn val="ctr"/>
        <c:lblOffset val="100"/>
        <c:noMultiLvlLbl val="0"/>
      </c:catAx>
      <c:valAx>
        <c:axId val="391674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188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مجمل الربح: الحالي مقابل المتوقع (السيناريو المختار)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السيناريوهات!D40</c:f>
              <c:strCache>
                <c:ptCount val="1"/>
                <c:pt idx="0">
                  <c:v>مجمل الربح الحالي</c:v>
                </c:pt>
              </c:strCache>
            </c:strRef>
          </c:tx>
          <c:spPr>
            <a:solidFill>
              <a:srgbClr val="e9c46a"/>
            </a:solidFill>
            <a:ln w="9360">
              <a:solidFill>
                <a:srgbClr val="e9c46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السيناريوهات!$A$41:$A$46</c:f>
              <c:strCache>
                <c:ptCount val="6"/>
                <c:pt idx="0">
                  <c:v>إلكترونيات</c:v>
                </c:pt>
                <c:pt idx="1">
                  <c:v>أجهزة منزلية</c:v>
                </c:pt>
                <c:pt idx="2">
                  <c:v>أثاث</c:v>
                </c:pt>
                <c:pt idx="3">
                  <c:v>مستلزمات مكتبية</c:v>
                </c:pt>
                <c:pt idx="4">
                  <c:v>رياضة</c:v>
                </c:pt>
                <c:pt idx="5">
                  <c:v>عناية شخصية</c:v>
                </c:pt>
              </c:strCache>
            </c:strRef>
          </c:cat>
          <c:val>
            <c:numRef>
              <c:f>السيناريوهات!$D$41:$D$46</c:f>
              <c:numCache>
                <c:formatCode>#,##0</c:formatCode>
                <c:ptCount val="6"/>
                <c:pt idx="0">
                  <c:v>123282.5</c:v>
                </c:pt>
                <c:pt idx="1">
                  <c:v>83319</c:v>
                </c:pt>
                <c:pt idx="2">
                  <c:v>219682.5</c:v>
                </c:pt>
                <c:pt idx="3">
                  <c:v>107613.5</c:v>
                </c:pt>
                <c:pt idx="4">
                  <c:v>64256</c:v>
                </c:pt>
                <c:pt idx="5">
                  <c:v>117361</c:v>
                </c:pt>
              </c:numCache>
            </c:numRef>
          </c:val>
        </c:ser>
        <c:ser>
          <c:idx val="1"/>
          <c:order val="1"/>
          <c:tx>
            <c:strRef>
              <c:f>السيناريوهات!E40</c:f>
              <c:strCache>
                <c:ptCount val="1"/>
                <c:pt idx="0">
                  <c:v>مجمل الربح المتوقع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1f3a5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السيناريوهات!$A$41:$A$46</c:f>
              <c:strCache>
                <c:ptCount val="6"/>
                <c:pt idx="0">
                  <c:v>إلكترونيات</c:v>
                </c:pt>
                <c:pt idx="1">
                  <c:v>أجهزة منزلية</c:v>
                </c:pt>
                <c:pt idx="2">
                  <c:v>أثاث</c:v>
                </c:pt>
                <c:pt idx="3">
                  <c:v>مستلزمات مكتبية</c:v>
                </c:pt>
                <c:pt idx="4">
                  <c:v>رياضة</c:v>
                </c:pt>
                <c:pt idx="5">
                  <c:v>عناية شخصية</c:v>
                </c:pt>
              </c:strCache>
            </c:strRef>
          </c:cat>
          <c:val>
            <c:numRef>
              <c:f>السيناريوهات!$E$41:$E$46</c:f>
              <c:numCache>
                <c:formatCode>#,##0</c:formatCode>
                <c:ptCount val="6"/>
                <c:pt idx="0">
                  <c:v>155636.4975</c:v>
                </c:pt>
                <c:pt idx="1">
                  <c:v>102089.955</c:v>
                </c:pt>
                <c:pt idx="2">
                  <c:v>265745.6175</c:v>
                </c:pt>
                <c:pt idx="3">
                  <c:v>131751.7575</c:v>
                </c:pt>
                <c:pt idx="4">
                  <c:v>78268.41</c:v>
                </c:pt>
                <c:pt idx="5">
                  <c:v>139822.485</c:v>
                </c:pt>
              </c:numCache>
            </c:numRef>
          </c:val>
        </c:ser>
        <c:gapWidth val="60"/>
        <c:overlap val="0"/>
        <c:axId val="87051459"/>
        <c:axId val="8738033"/>
      </c:barChart>
      <c:catAx>
        <c:axId val="870514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8033"/>
        <c:crosses val="autoZero"/>
        <c:auto val="1"/>
        <c:lblAlgn val="ctr"/>
        <c:lblOffset val="100"/>
        <c:noMultiLvlLbl val="0"/>
      </c:catAx>
      <c:valAx>
        <c:axId val="87380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0514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9</xdr:row>
      <xdr:rowOff>0</xdr:rowOff>
    </xdr:from>
    <xdr:ext cx="5544000" cy="2736000"/>
    <xdr:graphicFrame>
      <xdr:nvGraphicFramePr>
        <xdr:cNvPr id="0" name="Chart 1"/>
        <xdr:cNvGraphicFramePr/>
      </xdr:nvGraphicFramePr>
      <xdr:xfrm>
        <a:off x="0" y="0"/>
        <a:ext cx="5543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9</xdr:row>
      <xdr:rowOff>0</xdr:rowOff>
    </xdr:from>
    <xdr:ext cx="5544000" cy="2736000"/>
    <xdr:graphicFrame>
      <xdr:nvGraphicFramePr>
        <xdr:cNvPr id="1" name="Chart 2"/>
        <xdr:cNvGraphicFramePr/>
      </xdr:nvGraphicFramePr>
      <xdr:xfrm>
        <a:off x="0" y="0"/>
        <a:ext cx="5543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25</xdr:row>
      <xdr:rowOff>0</xdr:rowOff>
    </xdr:from>
    <xdr:ext cx="5544000" cy="2736000"/>
    <xdr:graphicFrame>
      <xdr:nvGraphicFramePr>
        <xdr:cNvPr id="2" name="Chart 3"/>
        <xdr:cNvGraphicFramePr/>
      </xdr:nvGraphicFramePr>
      <xdr:xfrm>
        <a:off x="0" y="0"/>
        <a:ext cx="5543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25</xdr:row>
      <xdr:rowOff>0</xdr:rowOff>
    </xdr:from>
    <xdr:ext cx="5544000" cy="2736000"/>
    <xdr:graphicFrame>
      <xdr:nvGraphicFramePr>
        <xdr:cNvPr id="3" name="Chart 4"/>
        <xdr:cNvGraphicFramePr/>
      </xdr:nvGraphicFramePr>
      <xdr:xfrm>
        <a:off x="0" y="0"/>
        <a:ext cx="5543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28</xdr:row>
      <xdr:rowOff>0</xdr:rowOff>
    </xdr:from>
    <xdr:ext cx="6120000" cy="3060000"/>
    <xdr:graphicFrame>
      <xdr:nvGraphicFramePr>
        <xdr:cNvPr id="4" name="Chart 1"/>
        <xdr:cNvGraphicFramePr/>
      </xdr:nvGraphicFramePr>
      <xdr:xfrm>
        <a:off x="0" y="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28</xdr:row>
      <xdr:rowOff>0</xdr:rowOff>
    </xdr:from>
    <xdr:ext cx="5400000" cy="3060000"/>
    <xdr:graphicFrame>
      <xdr:nvGraphicFramePr>
        <xdr:cNvPr id="5" name="Chart 2"/>
        <xdr:cNvGraphicFramePr/>
      </xdr:nvGraphicFramePr>
      <xdr:xfrm>
        <a:off x="0" y="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6120000" cy="3060000"/>
    <xdr:graphicFrame>
      <xdr:nvGraphicFramePr>
        <xdr:cNvPr id="6" name="Chart 3"/>
        <xdr:cNvGraphicFramePr/>
      </xdr:nvGraphicFramePr>
      <xdr:xfrm>
        <a:off x="0" y="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45</xdr:row>
      <xdr:rowOff>0</xdr:rowOff>
    </xdr:from>
    <xdr:ext cx="5400000" cy="3060000"/>
    <xdr:graphicFrame>
      <xdr:nvGraphicFramePr>
        <xdr:cNvPr id="7" name="Chart 4"/>
        <xdr:cNvGraphicFramePr/>
      </xdr:nvGraphicFramePr>
      <xdr:xfrm>
        <a:off x="0" y="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10</xdr:col>
      <xdr:colOff>0</xdr:colOff>
      <xdr:row>3</xdr:row>
      <xdr:rowOff>0</xdr:rowOff>
    </xdr:from>
    <xdr:ext cx="5760000" cy="3060000"/>
    <xdr:graphicFrame>
      <xdr:nvGraphicFramePr>
        <xdr:cNvPr id="8" name="Chart 1"/>
        <xdr:cNvGraphicFramePr/>
      </xdr:nvGraphicFramePr>
      <xdr:xfrm>
        <a:off x="0" y="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21</xdr:row>
      <xdr:rowOff>0</xdr:rowOff>
    </xdr:from>
    <xdr:ext cx="5040000" cy="2880000"/>
    <xdr:graphicFrame>
      <xdr:nvGraphicFramePr>
        <xdr:cNvPr id="9" name="Chart 2"/>
        <xdr:cNvGraphicFramePr/>
      </xdr:nvGraphicFramePr>
      <xdr:xfrm>
        <a:off x="0" y="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38</xdr:row>
      <xdr:rowOff>0</xdr:rowOff>
    </xdr:from>
    <xdr:ext cx="5760000" cy="3240000"/>
    <xdr:graphicFrame>
      <xdr:nvGraphicFramePr>
        <xdr:cNvPr id="10" name="Chart 3"/>
        <xdr:cNvGraphicFramePr/>
      </xdr:nvGraphicFramePr>
      <xdr:xfrm>
        <a:off x="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37</xdr:row>
      <xdr:rowOff>0</xdr:rowOff>
    </xdr:from>
    <xdr:ext cx="6480000" cy="3240000"/>
    <xdr:graphicFrame>
      <xdr:nvGraphicFramePr>
        <xdr:cNvPr id="11" name="Chart 1"/>
        <xdr:cNvGraphicFramePr/>
      </xdr:nvGraphicFramePr>
      <xdr:xfrm>
        <a:off x="0" y="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37</xdr:row>
      <xdr:rowOff>0</xdr:rowOff>
    </xdr:from>
    <xdr:ext cx="6120000" cy="3240000"/>
    <xdr:graphicFrame>
      <xdr:nvGraphicFramePr>
        <xdr:cNvPr id="12" name="Chart 2"/>
        <xdr:cNvGraphicFramePr/>
      </xdr:nvGraphicFramePr>
      <xdr:xfrm>
        <a:off x="0" y="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56</xdr:row>
      <xdr:rowOff>0</xdr:rowOff>
    </xdr:from>
    <xdr:ext cx="6480000" cy="3240000"/>
    <xdr:graphicFrame>
      <xdr:nvGraphicFramePr>
        <xdr:cNvPr id="13" name="Chart 3"/>
        <xdr:cNvGraphicFramePr/>
      </xdr:nvGraphicFramePr>
      <xdr:xfrm>
        <a:off x="0" y="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16</xdr:col>
      <xdr:colOff>0</xdr:colOff>
      <xdr:row>3</xdr:row>
      <xdr:rowOff>0</xdr:rowOff>
    </xdr:from>
    <xdr:ext cx="4680000" cy="2880000"/>
    <xdr:graphicFrame>
      <xdr:nvGraphicFramePr>
        <xdr:cNvPr id="14" name="Chart 1"/>
        <xdr:cNvGraphicFramePr/>
      </xdr:nvGraphicFramePr>
      <xdr:xfrm>
        <a:off x="0" y="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20</xdr:row>
      <xdr:rowOff>0</xdr:rowOff>
    </xdr:from>
    <xdr:ext cx="4680000" cy="2880000"/>
    <xdr:graphicFrame>
      <xdr:nvGraphicFramePr>
        <xdr:cNvPr id="15" name="Chart 2"/>
        <xdr:cNvGraphicFramePr/>
      </xdr:nvGraphicFramePr>
      <xdr:xfrm>
        <a:off x="0" y="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17</xdr:row>
      <xdr:rowOff>0</xdr:rowOff>
    </xdr:from>
    <xdr:ext cx="6480000" cy="3060000"/>
    <xdr:graphicFrame>
      <xdr:nvGraphicFramePr>
        <xdr:cNvPr id="16" name="Chart 1"/>
        <xdr:cNvGraphicFramePr/>
      </xdr:nvGraphicFramePr>
      <xdr:xfrm>
        <a:off x="0" y="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5760000" cy="3060000"/>
    <xdr:graphicFrame>
      <xdr:nvGraphicFramePr>
        <xdr:cNvPr id="17" name="Chart 2"/>
        <xdr:cNvGraphicFramePr/>
      </xdr:nvGraphicFramePr>
      <xdr:xfrm>
        <a:off x="0" y="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32</xdr:row>
      <xdr:rowOff>0</xdr:rowOff>
    </xdr:from>
    <xdr:ext cx="6480000" cy="3060000"/>
    <xdr:graphicFrame>
      <xdr:nvGraphicFramePr>
        <xdr:cNvPr id="18" name="Chart 1"/>
        <xdr:cNvGraphicFramePr/>
      </xdr:nvGraphicFramePr>
      <xdr:xfrm>
        <a:off x="0" y="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32</xdr:row>
      <xdr:rowOff>0</xdr:rowOff>
    </xdr:from>
    <xdr:ext cx="5400000" cy="3060000"/>
    <xdr:graphicFrame>
      <xdr:nvGraphicFramePr>
        <xdr:cNvPr id="19" name="Chart 2"/>
        <xdr:cNvGraphicFramePr/>
      </xdr:nvGraphicFramePr>
      <xdr:xfrm>
        <a:off x="0" y="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10</xdr:col>
      <xdr:colOff>0</xdr:colOff>
      <xdr:row>17</xdr:row>
      <xdr:rowOff>0</xdr:rowOff>
    </xdr:from>
    <xdr:ext cx="5760000" cy="2880000"/>
    <xdr:graphicFrame>
      <xdr:nvGraphicFramePr>
        <xdr:cNvPr id="20" name="Chart 1"/>
        <xdr:cNvGraphicFramePr/>
      </xdr:nvGraphicFramePr>
      <xdr:xfrm>
        <a:off x="0" y="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35</xdr:row>
      <xdr:rowOff>0</xdr:rowOff>
    </xdr:from>
    <xdr:ext cx="5760000" cy="3060000"/>
    <xdr:graphicFrame>
      <xdr:nvGraphicFramePr>
        <xdr:cNvPr id="21" name="Chart 2"/>
        <xdr:cNvGraphicFramePr/>
      </xdr:nvGraphicFramePr>
      <xdr:xfrm>
        <a:off x="0" y="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9</xdr:col>
      <xdr:colOff>0</xdr:colOff>
      <xdr:row>3</xdr:row>
      <xdr:rowOff>0</xdr:rowOff>
    </xdr:from>
    <xdr:ext cx="5400000" cy="2880000"/>
    <xdr:graphicFrame>
      <xdr:nvGraphicFramePr>
        <xdr:cNvPr id="22" name="Chart 1"/>
        <xdr:cNvGraphicFramePr/>
      </xdr:nvGraphicFramePr>
      <xdr:xfrm>
        <a:off x="0" y="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20</xdr:row>
      <xdr:rowOff>0</xdr:rowOff>
    </xdr:from>
    <xdr:ext cx="5400000" cy="3060000"/>
    <xdr:graphicFrame>
      <xdr:nvGraphicFramePr>
        <xdr:cNvPr id="23" name="Chart 2"/>
        <xdr:cNvGraphicFramePr/>
      </xdr:nvGraphicFramePr>
      <xdr:xfrm>
        <a:off x="0" y="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Sales" displayName="tblSales" ref="A1:U1501" headerRowCount="1" totalsRowCount="0" totalsRowShown="0">
  <autoFilter ref="A1:U1501"/>
  <tableColumns count="21">
    <tableColumn id="1" name="رقم الطلب"/>
    <tableColumn id="2" name="التاريخ"/>
    <tableColumn id="3" name="رقم العميل"/>
    <tableColumn id="4" name="اسم العميل"/>
    <tableColumn id="5" name="المنطقة"/>
    <tableColumn id="6" name="رقم المنتج"/>
    <tableColumn id="7" name="المنتج"/>
    <tableColumn id="8" name="الفئة"/>
    <tableColumn id="9" name="الموظف"/>
    <tableColumn id="10" name="القناة"/>
    <tableColumn id="11" name="الكمية"/>
    <tableColumn id="12" name="سعر الوحدة"/>
    <tableColumn id="13" name="الخصم"/>
    <tableColumn id="14" name="الحالة"/>
    <tableColumn id="15" name="الإيراد الصافي"/>
    <tableColumn id="16" name="التكلفة"/>
    <tableColumn id="17" name="الربح"/>
    <tableColumn id="18" name="الفترة (شهر)"/>
    <tableColumn id="19" name="الربع"/>
    <tableColumn id="20" name="هامش الربح"/>
    <tableColumn id="21" name="إيراد الطلب المكتمل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7.vml"/><Relationship Id="rId3" Type="http://schemas.openxmlformats.org/officeDocument/2006/relationships/table" Target="../tables/table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D41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5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1</v>
      </c>
      <c r="B2" s="3" t="s">
        <v>2</v>
      </c>
      <c r="C2" s="3"/>
      <c r="D2" s="3"/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</row>
    <row r="5" customFormat="false" ht="33.75" hidden="false" customHeight="true" outlineLevel="0" collapsed="false">
      <c r="A5" s="5" t="n">
        <f aca="false">ROWS(d_Order)</f>
        <v>1500</v>
      </c>
      <c r="B5" s="5" t="n">
        <f aca="false">SUM(d_Rev)</f>
        <v>2136589.5</v>
      </c>
      <c r="C5" s="5" t="n">
        <f aca="false">SUM(d_Profit)</f>
        <v>715514.5</v>
      </c>
      <c r="D5" s="6" t="n">
        <f aca="false">'جودة البيانات'!B3</f>
        <v>1</v>
      </c>
    </row>
    <row r="7" customFormat="false" ht="21.75" hidden="false" customHeight="true" outlineLevel="0" collapsed="false">
      <c r="A7" s="7" t="s">
        <v>7</v>
      </c>
      <c r="B7" s="8"/>
      <c r="C7" s="8"/>
      <c r="D7" s="8"/>
    </row>
    <row r="8" customFormat="false" ht="25.5" hidden="false" customHeight="true" outlineLevel="0" collapsed="false">
      <c r="A8" s="9" t="s">
        <v>8</v>
      </c>
      <c r="B8" s="9" t="s">
        <v>9</v>
      </c>
      <c r="C8" s="9" t="s">
        <v>10</v>
      </c>
      <c r="D8" s="9" t="s">
        <v>11</v>
      </c>
    </row>
    <row r="9" customFormat="false" ht="30" hidden="false" customHeight="true" outlineLevel="0" collapsed="false">
      <c r="A9" s="10" t="n">
        <v>1</v>
      </c>
      <c r="B9" s="11" t="s">
        <v>12</v>
      </c>
      <c r="C9" s="12" t="s">
        <v>13</v>
      </c>
      <c r="D9" s="13" t="s">
        <v>14</v>
      </c>
    </row>
    <row r="10" customFormat="false" ht="30" hidden="false" customHeight="true" outlineLevel="0" collapsed="false">
      <c r="A10" s="10" t="n">
        <v>2</v>
      </c>
      <c r="B10" s="11" t="s">
        <v>15</v>
      </c>
      <c r="C10" s="12" t="s">
        <v>16</v>
      </c>
      <c r="D10" s="13" t="s">
        <v>17</v>
      </c>
    </row>
    <row r="11" customFormat="false" ht="30" hidden="false" customHeight="true" outlineLevel="0" collapsed="false">
      <c r="A11" s="10" t="n">
        <v>3</v>
      </c>
      <c r="B11" s="11" t="s">
        <v>18</v>
      </c>
      <c r="C11" s="12" t="s">
        <v>19</v>
      </c>
      <c r="D11" s="13" t="s">
        <v>20</v>
      </c>
    </row>
    <row r="12" customFormat="false" ht="30" hidden="false" customHeight="true" outlineLevel="0" collapsed="false">
      <c r="A12" s="10" t="n">
        <v>4</v>
      </c>
      <c r="B12" s="11" t="s">
        <v>21</v>
      </c>
      <c r="C12" s="12" t="s">
        <v>22</v>
      </c>
      <c r="D12" s="13" t="s">
        <v>23</v>
      </c>
    </row>
    <row r="13" customFormat="false" ht="30" hidden="false" customHeight="true" outlineLevel="0" collapsed="false">
      <c r="A13" s="10" t="n">
        <v>5</v>
      </c>
      <c r="B13" s="11" t="s">
        <v>24</v>
      </c>
      <c r="C13" s="12" t="s">
        <v>25</v>
      </c>
      <c r="D13" s="13" t="s">
        <v>26</v>
      </c>
    </row>
    <row r="14" customFormat="false" ht="30" hidden="false" customHeight="true" outlineLevel="0" collapsed="false">
      <c r="A14" s="10" t="n">
        <v>6</v>
      </c>
      <c r="B14" s="11" t="s">
        <v>27</v>
      </c>
      <c r="C14" s="12" t="s">
        <v>28</v>
      </c>
      <c r="D14" s="13" t="s">
        <v>29</v>
      </c>
    </row>
    <row r="15" customFormat="false" ht="30" hidden="false" customHeight="true" outlineLevel="0" collapsed="false">
      <c r="A15" s="10" t="n">
        <v>7</v>
      </c>
      <c r="B15" s="11" t="s">
        <v>30</v>
      </c>
      <c r="C15" s="12" t="s">
        <v>31</v>
      </c>
      <c r="D15" s="13" t="s">
        <v>32</v>
      </c>
    </row>
    <row r="16" customFormat="false" ht="30" hidden="false" customHeight="true" outlineLevel="0" collapsed="false">
      <c r="A16" s="10" t="n">
        <v>8</v>
      </c>
      <c r="B16" s="11" t="s">
        <v>33</v>
      </c>
      <c r="C16" s="12" t="s">
        <v>34</v>
      </c>
      <c r="D16" s="13" t="s">
        <v>35</v>
      </c>
    </row>
    <row r="17" customFormat="false" ht="30" hidden="false" customHeight="true" outlineLevel="0" collapsed="false">
      <c r="A17" s="10" t="n">
        <v>9</v>
      </c>
      <c r="B17" s="11" t="s">
        <v>36</v>
      </c>
      <c r="C17" s="12" t="s">
        <v>37</v>
      </c>
      <c r="D17" s="13" t="s">
        <v>38</v>
      </c>
    </row>
    <row r="18" customFormat="false" ht="30" hidden="false" customHeight="true" outlineLevel="0" collapsed="false">
      <c r="A18" s="10" t="n">
        <v>10</v>
      </c>
      <c r="B18" s="11" t="s">
        <v>39</v>
      </c>
      <c r="C18" s="12" t="s">
        <v>40</v>
      </c>
      <c r="D18" s="13" t="s">
        <v>41</v>
      </c>
    </row>
    <row r="19" customFormat="false" ht="30" hidden="false" customHeight="true" outlineLevel="0" collapsed="false">
      <c r="A19" s="10" t="n">
        <v>11</v>
      </c>
      <c r="B19" s="11" t="s">
        <v>42</v>
      </c>
      <c r="C19" s="12" t="s">
        <v>43</v>
      </c>
      <c r="D19" s="13" t="s">
        <v>44</v>
      </c>
    </row>
    <row r="20" customFormat="false" ht="30" hidden="false" customHeight="true" outlineLevel="0" collapsed="false">
      <c r="A20" s="10" t="n">
        <v>12</v>
      </c>
      <c r="B20" s="11" t="s">
        <v>45</v>
      </c>
      <c r="C20" s="12" t="s">
        <v>46</v>
      </c>
      <c r="D20" s="13" t="s">
        <v>47</v>
      </c>
    </row>
    <row r="21" customFormat="false" ht="30" hidden="false" customHeight="true" outlineLevel="0" collapsed="false">
      <c r="A21" s="10" t="n">
        <v>13</v>
      </c>
      <c r="B21" s="11" t="s">
        <v>48</v>
      </c>
      <c r="C21" s="12" t="s">
        <v>49</v>
      </c>
      <c r="D21" s="13" t="s">
        <v>50</v>
      </c>
    </row>
    <row r="22" customFormat="false" ht="30" hidden="false" customHeight="true" outlineLevel="0" collapsed="false">
      <c r="A22" s="10" t="n">
        <v>14</v>
      </c>
      <c r="B22" s="11" t="s">
        <v>51</v>
      </c>
      <c r="C22" s="12" t="s">
        <v>52</v>
      </c>
      <c r="D22" s="13" t="s">
        <v>53</v>
      </c>
    </row>
    <row r="25" customFormat="false" ht="21.75" hidden="false" customHeight="true" outlineLevel="0" collapsed="false">
      <c r="A25" s="7" t="s">
        <v>54</v>
      </c>
      <c r="B25" s="8"/>
      <c r="C25" s="8"/>
      <c r="D25" s="8"/>
    </row>
    <row r="26" customFormat="false" ht="15" hidden="false" customHeight="false" outlineLevel="0" collapsed="false">
      <c r="A26" s="14" t="s">
        <v>55</v>
      </c>
      <c r="B26" s="15" t="s">
        <v>56</v>
      </c>
      <c r="C26" s="15"/>
      <c r="D26" s="15"/>
    </row>
    <row r="27" customFormat="false" ht="15" hidden="false" customHeight="false" outlineLevel="0" collapsed="false">
      <c r="A27" s="16" t="s">
        <v>55</v>
      </c>
      <c r="B27" s="15" t="s">
        <v>57</v>
      </c>
      <c r="C27" s="15"/>
      <c r="D27" s="15"/>
    </row>
    <row r="28" customFormat="false" ht="15" hidden="false" customHeight="false" outlineLevel="0" collapsed="false">
      <c r="A28" s="17" t="s">
        <v>58</v>
      </c>
      <c r="B28" s="15" t="s">
        <v>59</v>
      </c>
      <c r="C28" s="15"/>
      <c r="D28" s="15"/>
    </row>
    <row r="29" customFormat="false" ht="15" hidden="false" customHeight="false" outlineLevel="0" collapsed="false">
      <c r="A29" s="18" t="s">
        <v>60</v>
      </c>
      <c r="B29" s="15" t="s">
        <v>61</v>
      </c>
      <c r="C29" s="15"/>
      <c r="D29" s="15"/>
    </row>
    <row r="31" customFormat="false" ht="21.75" hidden="false" customHeight="true" outlineLevel="0" collapsed="false">
      <c r="A31" s="7" t="s">
        <v>62</v>
      </c>
      <c r="B31" s="8"/>
      <c r="C31" s="8"/>
      <c r="D31" s="8"/>
    </row>
    <row r="32" customFormat="false" ht="12.65" hidden="false" customHeight="false" outlineLevel="0" collapsed="false">
      <c r="A32" s="15" t="s">
        <v>63</v>
      </c>
      <c r="B32" s="15"/>
      <c r="C32" s="15"/>
      <c r="D32" s="15"/>
    </row>
    <row r="33" customFormat="false" ht="12.65" hidden="false" customHeight="false" outlineLevel="0" collapsed="false">
      <c r="A33" s="15" t="s">
        <v>64</v>
      </c>
      <c r="B33" s="15"/>
      <c r="C33" s="15"/>
      <c r="D33" s="15"/>
    </row>
    <row r="34" customFormat="false" ht="12.65" hidden="false" customHeight="false" outlineLevel="0" collapsed="false">
      <c r="A34" s="15" t="s">
        <v>65</v>
      </c>
      <c r="B34" s="15"/>
      <c r="C34" s="15"/>
      <c r="D34" s="15"/>
    </row>
    <row r="35" customFormat="false" ht="12.65" hidden="false" customHeight="false" outlineLevel="0" collapsed="false">
      <c r="A35" s="15" t="s">
        <v>66</v>
      </c>
      <c r="B35" s="15"/>
      <c r="C35" s="15"/>
      <c r="D35" s="15"/>
    </row>
    <row r="36" customFormat="false" ht="12.65" hidden="false" customHeight="false" outlineLevel="0" collapsed="false">
      <c r="A36" s="15" t="s">
        <v>67</v>
      </c>
      <c r="B36" s="15"/>
      <c r="C36" s="15"/>
      <c r="D36" s="15"/>
    </row>
    <row r="38" customFormat="false" ht="21.75" hidden="false" customHeight="true" outlineLevel="0" collapsed="false">
      <c r="A38" s="7" t="s">
        <v>68</v>
      </c>
      <c r="B38" s="8"/>
      <c r="C38" s="8"/>
      <c r="D38" s="8"/>
    </row>
    <row r="39" customFormat="false" ht="11.9" hidden="false" customHeight="false" outlineLevel="0" collapsed="false">
      <c r="A39" s="19" t="s">
        <v>69</v>
      </c>
      <c r="B39" s="19"/>
      <c r="C39" s="19"/>
      <c r="D39" s="19"/>
    </row>
    <row r="40" customFormat="false" ht="11.9" hidden="false" customHeight="false" outlineLevel="0" collapsed="false">
      <c r="A40" s="19" t="s">
        <v>70</v>
      </c>
      <c r="B40" s="19"/>
      <c r="C40" s="19"/>
      <c r="D40" s="19"/>
    </row>
    <row r="41" customFormat="false" ht="11.9" hidden="false" customHeight="false" outlineLevel="0" collapsed="false">
      <c r="A41" s="19" t="s">
        <v>71</v>
      </c>
      <c r="B41" s="19"/>
      <c r="C41" s="19"/>
      <c r="D41" s="19"/>
    </row>
  </sheetData>
  <mergeCells count="14">
    <mergeCell ref="A1:D1"/>
    <mergeCell ref="B2:D2"/>
    <mergeCell ref="B26:D26"/>
    <mergeCell ref="B27:D27"/>
    <mergeCell ref="B28:D28"/>
    <mergeCell ref="B29:D29"/>
    <mergeCell ref="A32:D32"/>
    <mergeCell ref="A33:D33"/>
    <mergeCell ref="A34:D34"/>
    <mergeCell ref="A35:D35"/>
    <mergeCell ref="A36:D36"/>
    <mergeCell ref="A39:D39"/>
    <mergeCell ref="A40:D40"/>
    <mergeCell ref="A41:D41"/>
  </mergeCells>
  <hyperlinks>
    <hyperlink ref="A2" location="'الفهرس'!A1" display="↩ الفهرس"/>
    <hyperlink ref="B9" location="'لوحة المؤشرات'!A1" display="لوحة المؤشرات"/>
    <hyperlink ref="B10" location="'الرؤى والتوصيات'!A1" display="الرؤى والتوصيات"/>
    <hyperlink ref="B11" location="'تحليل الزمن'!A1" display="تحليل الزمن"/>
    <hyperlink ref="B12" location="'الفئات والمناطق'!A1" display="الفئات والمناطق"/>
    <hyperlink ref="B13" location="'تحليل المنتجات'!A1" display="تحليل المنتجات"/>
    <hyperlink ref="B14" location="'تحليل العملاء'!A1" display="تحليل العملاء"/>
    <hyperlink ref="B15" location="'الموظفون'!A1" display="الموظفون"/>
    <hyperlink ref="B16" location="'الأهداف'!A1" display="الأهداف"/>
    <hyperlink ref="B17" location="'الإحصاء والتنبؤ'!A1" display="الإحصاء والتنبؤ"/>
    <hyperlink ref="B18" location="'السيناريوهات'!A1" display="السيناريوهات"/>
    <hyperlink ref="B19" location="'جودة البيانات'!A1" display="جودة البيانات"/>
    <hyperlink ref="B20" location="'البيانات'!A1" display="البيانات"/>
    <hyperlink ref="B21" location="'المنتجات'!A1" display="المنتجات"/>
    <hyperlink ref="B22" location="'العملاء'!A1" display="العملاء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C46A"/>
    <pageSetUpPr fitToPage="true"/>
  </sheetPr>
  <dimension ref="A1:P55"/>
  <sheetViews>
    <sheetView showFormulas="false" showGridLines="false" showRowColHeaders="true" showZeros="true" rightToLeft="tru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3.5"/>
    <col collapsed="false" customWidth="true" hidden="false" outlineLevel="0" max="14" min="14" style="0" width="2"/>
    <col collapsed="false" customWidth="true" hidden="false" outlineLevel="0" max="15" min="15" style="0" width="14"/>
    <col collapsed="false" customWidth="true" hidden="false" outlineLevel="0" max="16" min="16" style="0" width="18"/>
  </cols>
  <sheetData>
    <row r="1" customFormat="false" ht="39.75" hidden="false" customHeight="true" outlineLevel="0" collapsed="false">
      <c r="A1" s="20" t="s">
        <v>72</v>
      </c>
      <c r="B1" s="21" t="s">
        <v>73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customFormat="false" ht="19.5" hidden="false" customHeight="true" outlineLevel="0" collapsed="false">
      <c r="B2" s="3" t="str">
        <f aca="false">"الفترة: "&amp;TEXT(MIN(d_Date),"yyyy/mm/dd")&amp;" ← "&amp;TEXT(MAX(d_Date),"yyyy/mm/dd")&amp;"   |   السجلات: "&amp;TEXT(ROWS(d_Order),"#,##0")&amp;"   |   لوحة تفاعلية: غيّر الفلاتر من الخلايا الصفراء"</f>
        <v>الفترة: 2025/10/01 ← 2026/09/30   |   السجلات: 1,500   |   لوحة تفاعلية: غيّر الفلاتر من الخلايا الصفراء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false" outlineLevel="0" collapsed="false">
      <c r="O3" s="22" t="s">
        <v>74</v>
      </c>
    </row>
    <row r="4" customFormat="false" ht="15" hidden="false" customHeight="false" outlineLevel="0" collapsed="false">
      <c r="B4" s="23" t="s">
        <v>75</v>
      </c>
      <c r="C4" s="14" t="s">
        <v>76</v>
      </c>
      <c r="E4" s="23" t="s">
        <v>77</v>
      </c>
      <c r="F4" s="14" t="s">
        <v>76</v>
      </c>
      <c r="G4" s="14"/>
      <c r="I4" s="23" t="s">
        <v>78</v>
      </c>
      <c r="J4" s="14" t="s">
        <v>76</v>
      </c>
      <c r="K4" s="14"/>
      <c r="O4" s="24" t="str">
        <f aca="false">IF($C$4="الكل","*",$C$4)</f>
        <v>*</v>
      </c>
      <c r="P4" s="25" t="s">
        <v>75</v>
      </c>
    </row>
    <row r="5" customFormat="false" ht="15" hidden="false" customHeight="false" outlineLevel="0" collapsed="false">
      <c r="O5" s="24" t="str">
        <f aca="false">IF($F$4="الكل","*",$F$4)</f>
        <v>*</v>
      </c>
      <c r="P5" s="25" t="s">
        <v>77</v>
      </c>
    </row>
    <row r="6" customFormat="false" ht="21.75" hidden="false" customHeight="true" outlineLevel="0" collapsed="false">
      <c r="B6" s="26" t="s">
        <v>79</v>
      </c>
      <c r="C6" s="26"/>
      <c r="D6" s="27" t="s">
        <v>80</v>
      </c>
      <c r="E6" s="27"/>
      <c r="F6" s="28" t="s">
        <v>81</v>
      </c>
      <c r="G6" s="28"/>
      <c r="H6" s="29" t="s">
        <v>82</v>
      </c>
      <c r="I6" s="29"/>
      <c r="J6" s="30" t="s">
        <v>83</v>
      </c>
      <c r="K6" s="30"/>
      <c r="L6" s="31" t="s">
        <v>84</v>
      </c>
      <c r="M6" s="31"/>
      <c r="O6" s="24" t="str">
        <f aca="false">IF($J$4="الكل","*",$J$4)</f>
        <v>*</v>
      </c>
      <c r="P6" s="25" t="s">
        <v>78</v>
      </c>
    </row>
    <row r="7" customFormat="false" ht="39.75" hidden="false" customHeight="true" outlineLevel="0" collapsed="false">
      <c r="B7" s="32" t="n">
        <f aca="false">SUMIFS(d_Rev,d_Region,$O$4,d_Cat,$O$5,d_Channel,$O$6)</f>
        <v>2136589.5</v>
      </c>
      <c r="C7" s="32"/>
      <c r="D7" s="32" t="n">
        <f aca="false">SUMIFS(d_Profit,d_Region,$O$4,d_Cat,$O$5,d_Channel,$O$6)</f>
        <v>715514.5</v>
      </c>
      <c r="E7" s="32"/>
      <c r="F7" s="32" t="n">
        <f aca="false">COUNTIFS(d_Region,$O$4,d_Cat,$O$5,d_Channel,$O$6,d_Status,"مكتمل")</f>
        <v>1434</v>
      </c>
      <c r="G7" s="32"/>
      <c r="H7" s="32" t="n">
        <f aca="false">SUMIFS(d_Qty,d_Region,$O$4,d_Cat,$O$5,d_Channel,$O$6,d_Status,"مكتمل")</f>
        <v>4146</v>
      </c>
      <c r="I7" s="32"/>
      <c r="J7" s="33" t="n">
        <f aca="false">IFERROR(COUNTIFS(d_Region,$O$4,d_Cat,$O$5,d_Channel,$O$6,d_Status,"مرتجع")/COUNTIFS(d_Region,$O$4,d_Cat,$O$5,d_Channel,$O$6),0)</f>
        <v>0.044</v>
      </c>
      <c r="K7" s="33"/>
      <c r="L7" s="33" t="n">
        <f aca="false">IFERROR(SUM(d_Rev)/الأهداف!B4,0)</f>
        <v>0.962427702702703</v>
      </c>
      <c r="M7" s="33"/>
    </row>
    <row r="8" customFormat="false" ht="19.5" hidden="false" customHeight="true" outlineLevel="0" collapsed="false">
      <c r="B8" s="34" t="str">
        <f aca="false">"حصة من الشركة: "&amp;TEXT(IFERROR(B7/SUM(d_Rev),0),"0.0%")</f>
        <v>حصة من الشركة: 100.0%</v>
      </c>
      <c r="C8" s="34"/>
      <c r="D8" s="35" t="str">
        <f aca="false">"هامش الربح: "&amp;TEXT(IFERROR(D7/B7,0),"0.0%")</f>
        <v>هامش الربح: 33.5%</v>
      </c>
      <c r="E8" s="35"/>
      <c r="F8" s="36" t="str">
        <f aca="false">"متوسط الطلب: "&amp;TEXT(IFERROR(B7/F7,0),"#,##0")&amp;" ريال"</f>
        <v>متوسط الطلب: 1,490 ريال</v>
      </c>
      <c r="G8" s="36"/>
      <c r="H8" s="37" t="str">
        <f aca="false">"وحدات/طلب: "&amp;TEXT(IFERROR(H7/F7,0),"0.0")</f>
        <v>وحدات/طلب: 2.9</v>
      </c>
      <c r="I8" s="37"/>
      <c r="J8" s="38" t="str">
        <f aca="false">"عدد المرتجعات: "&amp;COUNTIFS(d_Region,$O$4,d_Cat,$O$5,d_Channel,$O$6,d_Status,"مرتجع")</f>
        <v>عدد المرتجعات: 66</v>
      </c>
      <c r="K8" s="38"/>
      <c r="L8" s="39" t="str">
        <f aca="false">"الهدف: "&amp;TEXT(الأهداف!B4,"#,##0")</f>
        <v>الهدف: 2,220,000</v>
      </c>
      <c r="M8" s="39"/>
    </row>
    <row r="42" customFormat="false" ht="21.75" hidden="false" customHeight="true" outlineLevel="0" collapsed="false">
      <c r="B42" s="7" t="s">
        <v>85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customFormat="false" ht="24" hidden="false" customHeight="true" outlineLevel="0" collapsed="false">
      <c r="B43" s="9" t="s">
        <v>86</v>
      </c>
      <c r="C43" s="9" t="s">
        <v>87</v>
      </c>
      <c r="D43" s="9" t="s">
        <v>88</v>
      </c>
      <c r="E43" s="9" t="s">
        <v>89</v>
      </c>
      <c r="G43" s="9" t="s">
        <v>77</v>
      </c>
      <c r="H43" s="9" t="s">
        <v>88</v>
      </c>
      <c r="I43" s="9" t="s">
        <v>89</v>
      </c>
      <c r="K43" s="9" t="s">
        <v>78</v>
      </c>
      <c r="L43" s="9" t="s">
        <v>88</v>
      </c>
    </row>
    <row r="44" customFormat="false" ht="15" hidden="false" customHeight="false" outlineLevel="0" collapsed="false">
      <c r="B44" s="40" t="n">
        <f aca="false">'تحليل الزمن'!A5</f>
        <v>45931</v>
      </c>
      <c r="C44" s="41" t="str">
        <f aca="false">TEXT(B44,"yyyy-mm")</f>
        <v>2025-10</v>
      </c>
      <c r="D44" s="42" t="n">
        <f aca="false">SUMIFS(d_Rev,d_Period,$B44,d_Region,$O$4,d_Cat,$O$5,d_Channel,$O$6)</f>
        <v>186629.5</v>
      </c>
      <c r="E44" s="42" t="n">
        <f aca="false">SUMIFS(d_Profit,d_Period,$B44,d_Region,$O$4,d_Cat,$O$5,d_Channel,$O$6)</f>
        <v>66799.5</v>
      </c>
      <c r="G44" s="43" t="s">
        <v>90</v>
      </c>
      <c r="H44" s="42" t="n">
        <f aca="false">SUMIFS(d_Rev,d_Cat,$G44,d_Region,$O$4,d_Channel,$O$6)</f>
        <v>524652.5</v>
      </c>
      <c r="I44" s="42" t="n">
        <f aca="false">SUMIFS(d_Profit,d_Cat,$G44,d_Region,$O$4,d_Channel,$O$6)</f>
        <v>123282.5</v>
      </c>
      <c r="K44" s="43" t="s">
        <v>91</v>
      </c>
      <c r="L44" s="42" t="n">
        <f aca="false">SUMIFS(d_Rev,d_Channel,$K44,d_Region,$O$4,d_Cat,$O$5)</f>
        <v>844286.5</v>
      </c>
    </row>
    <row r="45" customFormat="false" ht="15" hidden="false" customHeight="false" outlineLevel="0" collapsed="false">
      <c r="B45" s="40" t="n">
        <f aca="false">'تحليل الزمن'!A6</f>
        <v>45962</v>
      </c>
      <c r="C45" s="41" t="str">
        <f aca="false">TEXT(B45,"yyyy-mm")</f>
        <v>2025-11</v>
      </c>
      <c r="D45" s="42" t="n">
        <f aca="false">SUMIFS(d_Rev,d_Period,$B45,d_Region,$O$4,d_Cat,$O$5,d_Channel,$O$6)</f>
        <v>211433</v>
      </c>
      <c r="E45" s="42" t="n">
        <f aca="false">SUMIFS(d_Profit,d_Period,$B45,d_Region,$O$4,d_Cat,$O$5,d_Channel,$O$6)</f>
        <v>65588</v>
      </c>
      <c r="G45" s="43" t="s">
        <v>92</v>
      </c>
      <c r="H45" s="42" t="n">
        <f aca="false">SUMIFS(d_Rev,d_Cat,$G45,d_Region,$O$4,d_Channel,$O$6)</f>
        <v>260789</v>
      </c>
      <c r="I45" s="42" t="n">
        <f aca="false">SUMIFS(d_Profit,d_Cat,$G45,d_Region,$O$4,d_Channel,$O$6)</f>
        <v>83319</v>
      </c>
      <c r="K45" s="43" t="s">
        <v>93</v>
      </c>
      <c r="L45" s="42" t="n">
        <f aca="false">SUMIFS(d_Rev,d_Channel,$K45,d_Region,$O$4,d_Cat,$O$5)</f>
        <v>830453.5</v>
      </c>
    </row>
    <row r="46" customFormat="false" ht="15" hidden="false" customHeight="false" outlineLevel="0" collapsed="false">
      <c r="B46" s="40" t="n">
        <f aca="false">'تحليل الزمن'!A7</f>
        <v>45992</v>
      </c>
      <c r="C46" s="41" t="str">
        <f aca="false">TEXT(B46,"yyyy-mm")</f>
        <v>2025-12</v>
      </c>
      <c r="D46" s="42" t="n">
        <f aca="false">SUMIFS(d_Rev,d_Period,$B46,d_Region,$O$4,d_Cat,$O$5,d_Channel,$O$6)</f>
        <v>183489.5</v>
      </c>
      <c r="E46" s="42" t="n">
        <f aca="false">SUMIFS(d_Profit,d_Period,$B46,d_Region,$O$4,d_Cat,$O$5,d_Channel,$O$6)</f>
        <v>66759.5</v>
      </c>
      <c r="G46" s="43" t="s">
        <v>94</v>
      </c>
      <c r="H46" s="42" t="n">
        <f aca="false">SUMIFS(d_Rev,d_Cat,$G46,d_Region,$O$4,d_Channel,$O$6)</f>
        <v>583692.5</v>
      </c>
      <c r="I46" s="42" t="n">
        <f aca="false">SUMIFS(d_Profit,d_Cat,$G46,d_Region,$O$4,d_Channel,$O$6)</f>
        <v>219682.5</v>
      </c>
      <c r="K46" s="43" t="s">
        <v>95</v>
      </c>
      <c r="L46" s="42" t="n">
        <f aca="false">SUMIFS(d_Rev,d_Channel,$K46,d_Region,$O$4,d_Cat,$O$5)</f>
        <v>461849.5</v>
      </c>
    </row>
    <row r="47" customFormat="false" ht="15" hidden="false" customHeight="false" outlineLevel="0" collapsed="false">
      <c r="B47" s="40" t="n">
        <f aca="false">'تحليل الزمن'!A8</f>
        <v>46023</v>
      </c>
      <c r="C47" s="41" t="str">
        <f aca="false">TEXT(B47,"yyyy-mm")</f>
        <v>2026-01</v>
      </c>
      <c r="D47" s="42" t="n">
        <f aca="false">SUMIFS(d_Rev,d_Period,$B47,d_Region,$O$4,d_Cat,$O$5,d_Channel,$O$6)</f>
        <v>168383.5</v>
      </c>
      <c r="E47" s="42" t="n">
        <f aca="false">SUMIFS(d_Profit,d_Period,$B47,d_Region,$O$4,d_Cat,$O$5,d_Channel,$O$6)</f>
        <v>58283.5</v>
      </c>
      <c r="G47" s="43" t="s">
        <v>96</v>
      </c>
      <c r="H47" s="42" t="n">
        <f aca="false">SUMIFS(d_Rev,d_Cat,$G47,d_Region,$O$4,d_Channel,$O$6)</f>
        <v>333618.5</v>
      </c>
      <c r="I47" s="42" t="n">
        <f aca="false">SUMIFS(d_Profit,d_Cat,$G47,d_Region,$O$4,d_Channel,$O$6)</f>
        <v>107613.5</v>
      </c>
    </row>
    <row r="48" customFormat="false" ht="24" hidden="false" customHeight="true" outlineLevel="0" collapsed="false">
      <c r="B48" s="40" t="n">
        <f aca="false">'تحليل الزمن'!A9</f>
        <v>46054</v>
      </c>
      <c r="C48" s="41" t="str">
        <f aca="false">TEXT(B48,"yyyy-mm")</f>
        <v>2026-02</v>
      </c>
      <c r="D48" s="42" t="n">
        <f aca="false">SUMIFS(d_Rev,d_Period,$B48,d_Region,$O$4,d_Cat,$O$5,d_Channel,$O$6)</f>
        <v>221778.5</v>
      </c>
      <c r="E48" s="42" t="n">
        <f aca="false">SUMIFS(d_Profit,d_Period,$B48,d_Region,$O$4,d_Cat,$O$5,d_Channel,$O$6)</f>
        <v>77368.5</v>
      </c>
      <c r="G48" s="43" t="s">
        <v>97</v>
      </c>
      <c r="H48" s="42" t="n">
        <f aca="false">SUMIFS(d_Rev,d_Cat,$G48,d_Region,$O$4,d_Channel,$O$6)</f>
        <v>187066</v>
      </c>
      <c r="I48" s="42" t="n">
        <f aca="false">SUMIFS(d_Profit,d_Cat,$G48,d_Region,$O$4,d_Channel,$O$6)</f>
        <v>64256</v>
      </c>
      <c r="K48" s="9" t="s">
        <v>75</v>
      </c>
      <c r="L48" s="9" t="s">
        <v>88</v>
      </c>
    </row>
    <row r="49" customFormat="false" ht="15" hidden="false" customHeight="false" outlineLevel="0" collapsed="false">
      <c r="B49" s="40" t="n">
        <f aca="false">'تحليل الزمن'!A10</f>
        <v>46082</v>
      </c>
      <c r="C49" s="41" t="str">
        <f aca="false">TEXT(B49,"yyyy-mm")</f>
        <v>2026-03</v>
      </c>
      <c r="D49" s="42" t="n">
        <f aca="false">SUMIFS(d_Rev,d_Period,$B49,d_Region,$O$4,d_Cat,$O$5,d_Channel,$O$6)</f>
        <v>157027.5</v>
      </c>
      <c r="E49" s="42" t="n">
        <f aca="false">SUMIFS(d_Profit,d_Period,$B49,d_Region,$O$4,d_Cat,$O$5,d_Channel,$O$6)</f>
        <v>52987.5</v>
      </c>
      <c r="G49" s="43" t="s">
        <v>98</v>
      </c>
      <c r="H49" s="42" t="n">
        <f aca="false">SUMIFS(d_Rev,d_Cat,$G49,d_Region,$O$4,d_Channel,$O$6)</f>
        <v>246771</v>
      </c>
      <c r="I49" s="42" t="n">
        <f aca="false">SUMIFS(d_Profit,d_Cat,$G49,d_Region,$O$4,d_Channel,$O$6)</f>
        <v>117361</v>
      </c>
      <c r="K49" s="43" t="s">
        <v>99</v>
      </c>
      <c r="L49" s="42" t="n">
        <f aca="false">SUMIFS(d_Rev,d_Region,$K49,d_Cat,$O$5,d_Channel,$O$6)</f>
        <v>692926.5</v>
      </c>
    </row>
    <row r="50" customFormat="false" ht="15" hidden="false" customHeight="false" outlineLevel="0" collapsed="false">
      <c r="B50" s="40" t="n">
        <f aca="false">'تحليل الزمن'!A11</f>
        <v>46113</v>
      </c>
      <c r="C50" s="41" t="str">
        <f aca="false">TEXT(B50,"yyyy-mm")</f>
        <v>2026-04</v>
      </c>
      <c r="D50" s="42" t="n">
        <f aca="false">SUMIFS(d_Rev,d_Period,$B50,d_Region,$O$4,d_Cat,$O$5,d_Channel,$O$6)</f>
        <v>166026.5</v>
      </c>
      <c r="E50" s="42" t="n">
        <f aca="false">SUMIFS(d_Profit,d_Period,$B50,d_Region,$O$4,d_Cat,$O$5,d_Channel,$O$6)</f>
        <v>51891.5</v>
      </c>
      <c r="K50" s="43" t="s">
        <v>100</v>
      </c>
      <c r="L50" s="42" t="n">
        <f aca="false">SUMIFS(d_Rev,d_Region,$K50,d_Cat,$O$5,d_Channel,$O$6)</f>
        <v>565303</v>
      </c>
    </row>
    <row r="51" customFormat="false" ht="15" hidden="false" customHeight="false" outlineLevel="0" collapsed="false">
      <c r="B51" s="40" t="n">
        <f aca="false">'تحليل الزمن'!A12</f>
        <v>46143</v>
      </c>
      <c r="C51" s="41" t="str">
        <f aca="false">TEXT(B51,"yyyy-mm")</f>
        <v>2026-05</v>
      </c>
      <c r="D51" s="42" t="n">
        <f aca="false">SUMIFS(d_Rev,d_Period,$B51,d_Region,$O$4,d_Cat,$O$5,d_Channel,$O$6)</f>
        <v>204552.5</v>
      </c>
      <c r="E51" s="42" t="n">
        <f aca="false">SUMIFS(d_Profit,d_Period,$B51,d_Region,$O$4,d_Cat,$O$5,d_Channel,$O$6)</f>
        <v>71347.5</v>
      </c>
      <c r="K51" s="43" t="s">
        <v>101</v>
      </c>
      <c r="L51" s="42" t="n">
        <f aca="false">SUMIFS(d_Rev,d_Region,$K51,d_Cat,$O$5,d_Channel,$O$6)</f>
        <v>499447</v>
      </c>
    </row>
    <row r="52" customFormat="false" ht="15" hidden="false" customHeight="false" outlineLevel="0" collapsed="false">
      <c r="B52" s="40" t="n">
        <f aca="false">'تحليل الزمن'!A13</f>
        <v>46174</v>
      </c>
      <c r="C52" s="41" t="str">
        <f aca="false">TEXT(B52,"yyyy-mm")</f>
        <v>2026-06</v>
      </c>
      <c r="D52" s="42" t="n">
        <f aca="false">SUMIFS(d_Rev,d_Period,$B52,d_Region,$O$4,d_Cat,$O$5,d_Channel,$O$6)</f>
        <v>165984</v>
      </c>
      <c r="E52" s="42" t="n">
        <f aca="false">SUMIFS(d_Profit,d_Period,$B52,d_Region,$O$4,d_Cat,$O$5,d_Channel,$O$6)</f>
        <v>51139</v>
      </c>
      <c r="K52" s="43" t="s">
        <v>102</v>
      </c>
      <c r="L52" s="42" t="n">
        <f aca="false">SUMIFS(d_Rev,d_Region,$K52,d_Cat,$O$5,d_Channel,$O$6)</f>
        <v>378913</v>
      </c>
    </row>
    <row r="53" customFormat="false" ht="15" hidden="false" customHeight="false" outlineLevel="0" collapsed="false">
      <c r="B53" s="40" t="n">
        <f aca="false">'تحليل الزمن'!A14</f>
        <v>46204</v>
      </c>
      <c r="C53" s="41" t="str">
        <f aca="false">TEXT(B53,"yyyy-mm")</f>
        <v>2026-07</v>
      </c>
      <c r="D53" s="42" t="n">
        <f aca="false">SUMIFS(d_Rev,d_Period,$B53,d_Region,$O$4,d_Cat,$O$5,d_Channel,$O$6)</f>
        <v>137862.5</v>
      </c>
      <c r="E53" s="42" t="n">
        <f aca="false">SUMIFS(d_Profit,d_Period,$B53,d_Region,$O$4,d_Cat,$O$5,d_Channel,$O$6)</f>
        <v>47002.5</v>
      </c>
    </row>
    <row r="54" customFormat="false" ht="15" hidden="false" customHeight="false" outlineLevel="0" collapsed="false">
      <c r="B54" s="40" t="n">
        <f aca="false">'تحليل الزمن'!A15</f>
        <v>46235</v>
      </c>
      <c r="C54" s="41" t="str">
        <f aca="false">TEXT(B54,"yyyy-mm")</f>
        <v>2026-08</v>
      </c>
      <c r="D54" s="42" t="n">
        <f aca="false">SUMIFS(d_Rev,d_Period,$B54,d_Region,$O$4,d_Cat,$O$5,d_Channel,$O$6)</f>
        <v>153928.5</v>
      </c>
      <c r="E54" s="42" t="n">
        <f aca="false">SUMIFS(d_Profit,d_Period,$B54,d_Region,$O$4,d_Cat,$O$5,d_Channel,$O$6)</f>
        <v>49338.5</v>
      </c>
    </row>
    <row r="55" customFormat="false" ht="15" hidden="false" customHeight="false" outlineLevel="0" collapsed="false">
      <c r="B55" s="40" t="n">
        <f aca="false">'تحليل الزمن'!A16</f>
        <v>46266</v>
      </c>
      <c r="C55" s="41" t="str">
        <f aca="false">TEXT(B55,"yyyy-mm")</f>
        <v>2026-09</v>
      </c>
      <c r="D55" s="42" t="n">
        <f aca="false">SUMIFS(d_Rev,d_Period,$B55,d_Region,$O$4,d_Cat,$O$5,d_Channel,$O$6)</f>
        <v>179494</v>
      </c>
      <c r="E55" s="42" t="n">
        <f aca="false">SUMIFS(d_Profit,d_Period,$B55,d_Region,$O$4,d_Cat,$O$5,d_Channel,$O$6)</f>
        <v>57009</v>
      </c>
    </row>
  </sheetData>
  <mergeCells count="22">
    <mergeCell ref="B1:M1"/>
    <mergeCell ref="B2:M2"/>
    <mergeCell ref="F4:G4"/>
    <mergeCell ref="J4:K4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8:C8"/>
    <mergeCell ref="D8:E8"/>
    <mergeCell ref="F8:G8"/>
    <mergeCell ref="H8:I8"/>
    <mergeCell ref="J8:K8"/>
    <mergeCell ref="L8:M8"/>
  </mergeCells>
  <conditionalFormatting sqref="L7">
    <cfRule type="cellIs" priority="2" operator="greaterThanOrEqual" aboveAverage="0" equalAverage="0" bottom="0" percent="0" rank="0" text="" dxfId="0">
      <formula>1</formula>
    </cfRule>
    <cfRule type="cellIs" priority="3" operator="lessThan" aboveAverage="0" equalAverage="0" bottom="0" percent="0" rank="0" text="" dxfId="1">
      <formula>1</formula>
    </cfRule>
  </conditionalFormatting>
  <dataValidations count="3">
    <dataValidation allowBlank="false" errorStyle="stop" operator="between" showDropDown="false" showErrorMessage="false" showInputMessage="false" sqref="C4" type="list">
      <formula1>"الكل,الوسطى,الغربية,الشرقية,الجنوبية"</formula1>
      <formula2>0</formula2>
    </dataValidation>
    <dataValidation allowBlank="false" errorStyle="stop" operator="between" showDropDown="false" showErrorMessage="false" showInputMessage="false" sqref="F4" type="list">
      <formula1>"الكل,إلكترونيات,أجهزة منزلية,أثاث,مستلزمات مكتبية,رياضة,عناية شخصية"</formula1>
      <formula2>0</formula2>
    </dataValidation>
    <dataValidation allowBlank="false" errorStyle="stop" operator="between" showDropDown="false" showErrorMessage="false" showInputMessage="false" sqref="J4" type="list">
      <formula1>"الكل,متجر,أونلاين,جملة"</formula1>
      <formula2>0</formula2>
    </dataValidation>
  </dataValidations>
  <hyperlinks>
    <hyperlink ref="A1" location="'الفهرس'!A1" display="↩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C46A"/>
    <pageSetUpPr fitToPage="true"/>
  </sheetPr>
  <dimension ref="A1:C2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0"/>
    <col collapsed="false" customWidth="true" hidden="false" outlineLevel="0" max="3" min="3" style="0" width="22"/>
  </cols>
  <sheetData>
    <row r="1" customFormat="false" ht="33.75" hidden="false" customHeight="true" outlineLevel="0" collapsed="false">
      <c r="A1" s="1" t="s">
        <v>103</v>
      </c>
      <c r="B1" s="1"/>
      <c r="C1" s="1"/>
    </row>
    <row r="2" customFormat="false" ht="19.5" hidden="false" customHeight="true" outlineLevel="0" collapsed="false">
      <c r="A2" s="2" t="s">
        <v>1</v>
      </c>
      <c r="B2" s="3" t="s">
        <v>104</v>
      </c>
      <c r="C2" s="3"/>
    </row>
    <row r="4" customFormat="false" ht="21.75" hidden="false" customHeight="true" outlineLevel="0" collapsed="false">
      <c r="A4" s="7" t="s">
        <v>105</v>
      </c>
      <c r="B4" s="8"/>
      <c r="C4" s="8"/>
    </row>
    <row r="5" customFormat="false" ht="24" hidden="false" customHeight="true" outlineLevel="0" collapsed="false">
      <c r="A5" s="9" t="s">
        <v>8</v>
      </c>
      <c r="B5" s="9" t="s">
        <v>106</v>
      </c>
      <c r="C5" s="9" t="s">
        <v>107</v>
      </c>
    </row>
    <row r="6" customFormat="false" ht="33.75" hidden="false" customHeight="true" outlineLevel="0" collapsed="false">
      <c r="A6" s="10" t="n">
        <v>1</v>
      </c>
      <c r="B6" s="12" t="str">
        <f aca="false">"أقوى الأشهر مبيعاً "&amp;INDEX('تحليل الزمن'!B5:B16,MATCH(1,'تحليل الزمن'!K5:K16,0))&amp;" بإيراد "&amp;TEXT(MAX('تحليل الزمن'!C5:C16),"#,##0")&amp;" ريال، وأضعفها "&amp;INDEX('تحليل الزمن'!B5:B16,MATCH(12,'تحليل الزمن'!K5:K16,0))&amp;" بإيراد "&amp;TEXT(MIN('تحليل الزمن'!C5:C16),"#,##0")&amp;" ريال؛ أي أن الذروة تعادل "&amp;TEXT(MAX('تحليل الزمن'!C5:C16)/MIN('تحليل الزمن'!C5:C16),"0.0")&amp;" أضعاف القاع."</f>
        <v>أقوى الأشهر مبيعاً فبراير 2026 بإيراد 221,779 ريال، وأضعفها يوليو 2026 بإيراد 137,863 ريال؛ أي أن الذروة تعادل 1.6 أضعاف القاع.</v>
      </c>
      <c r="C6" s="11" t="s">
        <v>18</v>
      </c>
    </row>
    <row r="7" customFormat="false" ht="33.75" hidden="false" customHeight="true" outlineLevel="0" collapsed="false">
      <c r="A7" s="10" t="n">
        <v>2</v>
      </c>
      <c r="B7" s="12" t="str">
        <f aca="false">"إجمالي الإيراد "&amp;TEXT('تحليل الزمن'!C17,"#,##0")&amp;" ريال بهامش ربح "&amp;TEXT('تحليل الزمن'!E17,"0.0%")&amp;"، ويتغيّر الاتجاه الخطي بمقدار "&amp;TEXT('الإحصاء والتنبؤ'!B58,"+#,##0;-#,##0")&amp;" ريال شهرياً (R² = "&amp;TEXT('الإحصاء والتنبؤ'!B59,"0.00")&amp;")."</f>
        <v>إجمالي الإيراد 2,136,590 ريال بهامش ربح 33.5%، ويتغيّر الاتجاه الخطي بمقدار -3,392 ريال شهرياً (R² = 0.24).</v>
      </c>
      <c r="C7" s="11" t="s">
        <v>36</v>
      </c>
    </row>
    <row r="8" customFormat="false" ht="33.75" hidden="false" customHeight="true" outlineLevel="0" collapsed="false">
      <c r="A8" s="10" t="n">
        <v>3</v>
      </c>
      <c r="B8" s="12" t="str">
        <f aca="false">"فئة «"&amp;INDEX('الفئات والمناطق'!A6:A11,MATCH(1,'الفئات والمناطق'!H6:H11,0))&amp;"» تتصدر بحصة "&amp;TEXT(MAX('الفئات والمناطق'!C6:C11),"0.0%")&amp;" من الإيراد، بينما أعلى هامش ربح لدى فئة «"&amp;INDEX('الفئات والمناطق'!A6:A11,MATCH(MAX('الفئات والمناطق'!E6:E11),'الفئات والمناطق'!E6:E11,0))&amp;"» ("&amp;TEXT(MAX('الفئات والمناطق'!E6:E11),"0.0%")&amp;")."</f>
        <v>فئة «أثاث» تتصدر بحصة 27.3% من الإيراد، بينما أعلى هامش ربح لدى فئة «عناية شخصية» (47.6%).</v>
      </c>
      <c r="C8" s="11" t="s">
        <v>21</v>
      </c>
    </row>
    <row r="9" customFormat="false" ht="33.75" hidden="false" customHeight="true" outlineLevel="0" collapsed="false">
      <c r="A9" s="10" t="n">
        <v>4</v>
      </c>
      <c r="B9" s="12" t="str">
        <f aca="false">"منطقة "&amp;INDEX('الفئات والمناطق'!A16:A19,MATCH(1,'الفئات والمناطق'!H16:H19,0))&amp;" الأولى بحصة "&amp;TEXT(MAX('الفئات والمناطق'!C16:C19),"0.0%")&amp;"، وأعلى المناطق ربحية "&amp;INDEX('الفئات والمناطق'!A16:A19,MATCH(MAX('الفئات والمناطق'!E16:E19),'الفئات والمناطق'!E16:E19,0))&amp;" بهامش "&amp;TEXT(MAX('الفئات والمناطق'!E16:E19),"0.0%")&amp;"."</f>
        <v>منطقة الوسطى الأولى بحصة 32.4%، وأعلى المناطق ربحية الجنوبية بهامش 34.6%.</v>
      </c>
      <c r="C9" s="11" t="s">
        <v>21</v>
      </c>
    </row>
    <row r="10" customFormat="false" ht="33.75" hidden="false" customHeight="true" outlineLevel="0" collapsed="false">
      <c r="A10" s="10" t="n">
        <v>5</v>
      </c>
      <c r="B10" s="12" t="str">
        <f aca="false">"منتج «"&amp;'تحليل المنتجات'!L6&amp;"» الأعلى إيراداً ("&amp;TEXT('تحليل المنتجات'!N6,"0.0%")&amp;")؛ وتضم الفئة A "&amp;'تحليل المنتجات'!L33&amp;" من أصل "&amp;ROWS('تحليل المنتجات'!L6:L29)&amp;" منتجاً تحقق نحو "&amp;TEXT('تحليل المنتجات'!N33,"0%")&amp;" من الإيراد (تحليل باريتو)."</f>
        <v>منتج «مكتب عمل» الأعلى إيراداً (11.4%)؛ وتضم الفئة A 16 من أصل 24 منتجاً تحقق نحو 82% من الإيراد (تحليل باريتو).</v>
      </c>
      <c r="C10" s="11" t="s">
        <v>24</v>
      </c>
    </row>
    <row r="11" customFormat="false" ht="33.75" hidden="false" customHeight="true" outlineLevel="0" collapsed="false">
      <c r="A11" s="10" t="n">
        <v>6</v>
      </c>
      <c r="B11" s="12" t="str">
        <f aca="false">"عدد المنتجات ذات الحجم المرتفع والهامش الأقل من المتوسط: "&amp;COUNTIF('تحليل المنتجات'!I6:I29,"حجم بلا ربحية")&amp;"، وعدد المنتجات ذات الهامش الجيد والمبيعات المحدودة (فرص نمو): "&amp;COUNTIF('تحليل المنتجات'!I6:I29,"فرصة نمو")&amp;"."</f>
        <v>عدد المنتجات ذات الحجم المرتفع والهامش الأقل من المتوسط: 4، وعدد المنتجات ذات الهامش الجيد والمبيعات المحدودة (فرص نمو): 11.</v>
      </c>
      <c r="C11" s="11" t="s">
        <v>24</v>
      </c>
    </row>
    <row r="12" customFormat="false" ht="33.75" hidden="false" customHeight="true" outlineLevel="0" collapsed="false">
      <c r="A12" s="10" t="n">
        <v>7</v>
      </c>
      <c r="B12" s="12" t="str">
        <f aca="false">"أكبر 10 عملاء يمثلون "&amp;TEXT(SUM('تحليل العملاء'!K6:K15),"0.0%")&amp;" من الإيراد؛ وتضم شريحة الأبطال "&amp;'تحليل العملاء'!B12&amp;" عميلاً بحصة "&amp;TEXT('تحليل العملاء'!D12,"0.0%")&amp;"، مقابل "&amp;'تحليل العملاء'!B16&amp;" عميلاً نائماً."</f>
        <v>أكبر 10 عملاء يمثلون 30.4% من الإيراد؛ وتضم شريحة الأبطال 61 عميلاً بحصة 66.3%، مقابل 27 عميلاً نائماً.</v>
      </c>
      <c r="C12" s="11" t="s">
        <v>27</v>
      </c>
    </row>
    <row r="13" customFormat="false" ht="33.75" hidden="false" customHeight="true" outlineLevel="0" collapsed="false">
      <c r="A13" s="10" t="n">
        <v>8</v>
      </c>
      <c r="B13" s="12" t="str">
        <f aca="false">"معدل المرتجعات "&amp;TEXT('الفئات والمناطق'!I12,"0.0%")&amp;"، وأعلاها في قناة "&amp;INDEX('الفئات والمناطق'!A24:A26,MATCH(MAX('الفئات والمناطق'!I24:I26),'الفئات والمناطق'!I24:I26,0))&amp;" ("&amp;TEXT(MAX('الفئات والمناطق'!I24:I26),"0.0%")&amp;")."</f>
        <v>معدل المرتجعات 4.4%، وأعلاها في قناة أونلاين (6.5%).</v>
      </c>
      <c r="C13" s="11" t="s">
        <v>21</v>
      </c>
    </row>
    <row r="14" customFormat="false" ht="33.75" hidden="false" customHeight="true" outlineLevel="0" collapsed="false">
      <c r="A14" s="10" t="n">
        <v>9</v>
      </c>
      <c r="B14" s="12" t="str">
        <f aca="false">"ارتباط الخصم بهامش الربح "&amp;TEXT('الإحصاء والتنبؤ'!B30,"0.00")&amp;" — "&amp;'الإحصاء والتنبؤ'!C30&amp;"؛ كل 10 نقاط خصم إضافية تقلّص الهامش بنحو "&amp;TEXT(-'الإحصاء والتنبؤ'!B31*10,"0.0")&amp;" نقطة مئوية."</f>
        <v>ارتباط الخصم بهامش الربح -0.41 — متوسط (عكسي)؛ كل 10 نقاط خصم إضافية تقلّص الهامش بنحو 7.3 نقطة مئوية.</v>
      </c>
      <c r="C14" s="11" t="s">
        <v>36</v>
      </c>
    </row>
    <row r="15" customFormat="false" ht="33.75" hidden="false" customHeight="true" outlineLevel="0" collapsed="false">
      <c r="A15" s="10" t="n">
        <v>10</v>
      </c>
      <c r="B15" s="12" t="str">
        <f aca="false">"تحقق الهدف السنوي بنسبة "&amp;TEXT(الأهداف!G21,"0.0%")&amp;"، وحقق "&amp;COUNTIF(الأهداف!H9:H20,"تحقق")&amp;" أشهر من 12 هدفها؛ وأعلى المناطق تحقيقاً "&amp;INDEX(الأهداف!A26:A29,MATCH(MAX(الأهداف!E26:E29),الأهداف!E26:E29,0))&amp;"."</f>
        <v>تحقق الهدف السنوي بنسبة 96.2%، وحقق 6 أشهر من 12 هدفها؛ وأعلى المناطق تحقيقاً الجنوبية.</v>
      </c>
      <c r="C15" s="11" t="s">
        <v>33</v>
      </c>
    </row>
    <row r="16" customFormat="false" ht="33.75" hidden="false" customHeight="true" outlineLevel="0" collapsed="false">
      <c r="A16" s="10" t="n">
        <v>11</v>
      </c>
      <c r="B16" s="12" t="str">
        <f aca="false">"أفضل موظف إيراداً "&amp;INDEX(الموظفون!B5:B14,MATCH(1,الموظفون!J5:J14,0))&amp;"، وأعلى نسبة تحقيق "&amp;TEXT(MAX(الموظفون!F5:F14),"0.0%")&amp;" لدى "&amp;INDEX(الموظفون!B5:B14,MATCH(MAX(الموظفون!F5:F14),الموظفون!F5:F14,0))&amp;"؛ وإجمالي العمولات "&amp;TEXT(الموظفون!M15,"#,##0")&amp;" ريال."</f>
        <v>أفضل موظف إيراداً عبدالرحمن السالم، وأعلى نسبة تحقيق 117.3% لدى شهد الكعبي؛ وإجمالي العمولات 45,621 ريال.</v>
      </c>
      <c r="C16" s="11" t="s">
        <v>30</v>
      </c>
    </row>
    <row r="17" customFormat="false" ht="33.75" hidden="false" customHeight="true" outlineLevel="0" collapsed="false">
      <c r="A17" s="10" t="n">
        <v>12</v>
      </c>
      <c r="B17" s="12" t="str">
        <f aca="false">"تنبؤ الأشهر الثلاثة القادمة: "&amp;TEXT('الإحصاء والتنبؤ'!B60,"#,##0")&amp;" ريال (موسمي) مقابل "&amp;TEXT('الإحصاء والتنبؤ'!B61,"#,##0")&amp;" ريال (خطي)."</f>
        <v>تنبؤ الأشهر الثلاثة القادمة: 581,552 ريال (موسمي) مقابل 457,829 ريال (خطي).</v>
      </c>
      <c r="C17" s="11" t="s">
        <v>36</v>
      </c>
    </row>
    <row r="18" customFormat="false" ht="33.75" hidden="false" customHeight="true" outlineLevel="0" collapsed="false">
      <c r="A18" s="10" t="n">
        <v>13</v>
      </c>
      <c r="B18" s="12" t="str">
        <f aca="false">"درجة جودة البيانات "&amp;TEXT('جودة البيانات'!B3,"0%")&amp;" ومطابقة الإجماليات بين الأوراق "&amp;IF(COUNTIF('جودة البيانات'!D21:D28,"مراجعة")=0,"سليمة تماماً","تحتاج مراجعة")&amp;"."</f>
        <v>درجة جودة البيانات 100% ومطابقة الإجماليات بين الأوراق سليمة تماماً.</v>
      </c>
      <c r="C18" s="11" t="s">
        <v>42</v>
      </c>
    </row>
    <row r="20" customFormat="false" ht="21.75" hidden="false" customHeight="true" outlineLevel="0" collapsed="false">
      <c r="A20" s="7" t="s">
        <v>108</v>
      </c>
      <c r="B20" s="8"/>
      <c r="C20" s="8"/>
    </row>
    <row r="21" customFormat="false" ht="24" hidden="false" customHeight="true" outlineLevel="0" collapsed="false">
      <c r="A21" s="9" t="s">
        <v>8</v>
      </c>
      <c r="B21" s="9" t="s">
        <v>109</v>
      </c>
      <c r="C21" s="9" t="s">
        <v>107</v>
      </c>
    </row>
    <row r="22" customFormat="false" ht="33.75" hidden="false" customHeight="true" outlineLevel="0" collapsed="false">
      <c r="A22" s="10" t="n">
        <v>1</v>
      </c>
      <c r="B22" s="12" t="str">
        <f aca="false">"ضاعف المخزون والحملات قبل موسم "&amp;INDEX('تحليل الزمن'!B5:B16,MATCH(1,'تحليل الزمن'!K5:K16,0))&amp;"، وفعّل عروضاً محفِّزة في "&amp;INDEX('تحليل الزمن'!B5:B16,MATCH(12,'تحليل الزمن'!K5:K16,0))&amp;" لتقليص الفجوة الموسمية."</f>
        <v>ضاعف المخزون والحملات قبل موسم فبراير 2026، وفعّل عروضاً محفِّزة في يوليو 2026 لتقليص الفجوة الموسمية.</v>
      </c>
      <c r="C22" s="11" t="s">
        <v>18</v>
      </c>
    </row>
    <row r="23" customFormat="false" ht="33.75" hidden="false" customHeight="true" outlineLevel="0" collapsed="false">
      <c r="A23" s="10" t="n">
        <v>2</v>
      </c>
      <c r="B23" s="12" t="str">
        <f aca="false">"أبقِ منتجات الفئة A (عددها "&amp;'تحليل المنتجات'!L33&amp;") في أولوية التوريد، وراجع تسعير أو تكلفة منتجات «حجم بلا ربحية»."</f>
        <v>أبقِ منتجات الفئة A (عددها 16) في أولوية التوريد، وراجع تسعير أو تكلفة منتجات «حجم بلا ربحية».</v>
      </c>
      <c r="C23" s="11" t="s">
        <v>24</v>
      </c>
    </row>
    <row r="24" customFormat="false" ht="33.75" hidden="false" customHeight="true" outlineLevel="0" collapsed="false">
      <c r="A24" s="10" t="n">
        <v>3</v>
      </c>
      <c r="B24" s="12" t="str">
        <f aca="false">"ضع سقفاً للخصم خارج المواسم؛ فالخصومات الأعلى تضغط الهامش بوضوح (ارتباط "&amp;TEXT('الإحصاء والتنبؤ'!B30,"0.00")&amp;")."</f>
        <v>ضع سقفاً للخصم خارج المواسم؛ فالخصومات الأعلى تضغط الهامش بوضوح (ارتباط -0.41).</v>
      </c>
      <c r="C24" s="11" t="s">
        <v>36</v>
      </c>
    </row>
    <row r="25" customFormat="false" ht="33.75" hidden="false" customHeight="true" outlineLevel="0" collapsed="false">
      <c r="A25" s="10" t="n">
        <v>4</v>
      </c>
      <c r="B25" s="12" t="str">
        <f aca="false">"أطلق برنامج احتفاظ لشريحة «معرضون للفقد» ("&amp;'تحليل العملاء'!B15&amp;" عميلاً) وحملة إعادة تنشيط للنائمين ("&amp;'تحليل العملاء'!B16&amp;")."</f>
        <v>أطلق برنامج احتفاظ لشريحة «معرضون للفقد» (28 عميلاً) وحملة إعادة تنشيط للنائمين (27).</v>
      </c>
      <c r="C25" s="11" t="s">
        <v>27</v>
      </c>
    </row>
    <row r="26" customFormat="false" ht="33.75" hidden="false" customHeight="true" outlineLevel="0" collapsed="false">
      <c r="A26" s="10" t="n">
        <v>5</v>
      </c>
      <c r="B26" s="12" t="str">
        <f aca="false">"قلّص المرتجعات في قناة "&amp;INDEX('الفئات والمناطق'!A24:A26,MATCH(MAX('الفئات والمناطق'!I24:I26),'الفئات والمناطق'!I24:I26,0))&amp;" بتحسين الوصف والتغليف وسياسة الاستبدال."</f>
        <v>قلّص المرتجعات في قناة أونلاين بتحسين الوصف والتغليف وسياسة الاستبدال.</v>
      </c>
      <c r="C26" s="11" t="s">
        <v>21</v>
      </c>
    </row>
    <row r="27" customFormat="false" ht="33.75" hidden="false" customHeight="true" outlineLevel="0" collapsed="false">
      <c r="A27" s="10" t="n">
        <v>6</v>
      </c>
      <c r="B27" s="12" t="str">
        <f aca="false">"ادعم أقل المناطق تحقيقاً ("&amp;INDEX(الأهداف!A26:A29,MATCH(MIN(الأهداف!E26:E29),الأهداف!E26:E29,0))&amp;") وراجع أهداف الموظفين دون "&amp;TEXT(الأهداف!B5,"0%")&amp;" من الهدف."</f>
        <v>ادعم أقل المناطق تحقيقاً (الشرقية) وراجع أهداف الموظفين دون 90% من الهدف.</v>
      </c>
      <c r="C27" s="11" t="s">
        <v>33</v>
      </c>
    </row>
  </sheetData>
  <mergeCells count="2">
    <mergeCell ref="A1:C1"/>
    <mergeCell ref="B2:C2"/>
  </mergeCells>
  <hyperlinks>
    <hyperlink ref="A2" location="'الفهرس'!A1" display="↩ الفهرس"/>
    <hyperlink ref="C6" location="'تحليل الزمن'!A1" display="تحليل الزمن"/>
    <hyperlink ref="C7" location="'الإحصاء والتنبؤ'!A1" display="الإحصاء والتنبؤ"/>
    <hyperlink ref="C8" location="'الفئات والمناطق'!A1" display="الفئات والمناطق"/>
    <hyperlink ref="C9" location="'الفئات والمناطق'!A1" display="الفئات والمناطق"/>
    <hyperlink ref="C10" location="'تحليل المنتجات'!A1" display="تحليل المنتجات"/>
    <hyperlink ref="C11" location="'تحليل المنتجات'!A1" display="تحليل المنتجات"/>
    <hyperlink ref="C12" location="'تحليل العملاء'!A1" display="تحليل العملاء"/>
    <hyperlink ref="C13" location="'الفئات والمناطق'!A1" display="الفئات والمناطق"/>
    <hyperlink ref="C14" location="'الإحصاء والتنبؤ'!A1" display="الإحصاء والتنبؤ"/>
    <hyperlink ref="C15" location="'الأهداف'!A1" display="الأهداف"/>
    <hyperlink ref="C16" location="'الموظفون'!A1" display="الموظفون"/>
    <hyperlink ref="C17" location="'الإحصاء والتنبؤ'!A1" display="الإحصاء والتنبؤ"/>
    <hyperlink ref="C18" location="'جودة البيانات'!A1" display="جودة البيانات"/>
    <hyperlink ref="C22" location="'تحليل الزمن'!A1" display="تحليل الزمن"/>
    <hyperlink ref="C23" location="'تحليل المنتجات'!A1" display="تحليل المنتجات"/>
    <hyperlink ref="C24" location="'الإحصاء والتنبؤ'!A1" display="الإحصاء والتنبؤ"/>
    <hyperlink ref="C25" location="'تحليل العملاء'!A1" display="تحليل العملاء"/>
    <hyperlink ref="C26" location="'الفئات والمناطق'!A1" display="الفئات والمناطق"/>
    <hyperlink ref="C27" location="'الأهداف'!A1" display="الأهداف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true"/>
  </sheetPr>
  <dimension ref="A1:L2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4" min="3" style="0" width="15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5"/>
  </cols>
  <sheetData>
    <row r="1" customFormat="false" ht="33.75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3" t="s">
        <v>111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21.75" hidden="false" customHeight="true" outlineLevel="0" collapsed="false">
      <c r="A3" s="7" t="s">
        <v>112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customFormat="false" ht="36" hidden="false" customHeight="true" outlineLevel="0" collapsed="false">
      <c r="A4" s="9" t="s">
        <v>86</v>
      </c>
      <c r="B4" s="9" t="s">
        <v>87</v>
      </c>
      <c r="C4" s="9" t="s">
        <v>113</v>
      </c>
      <c r="D4" s="9" t="s">
        <v>80</v>
      </c>
      <c r="E4" s="9" t="s">
        <v>114</v>
      </c>
      <c r="F4" s="9" t="s">
        <v>81</v>
      </c>
      <c r="G4" s="9" t="s">
        <v>115</v>
      </c>
      <c r="H4" s="9" t="s">
        <v>116</v>
      </c>
      <c r="I4" s="9" t="s">
        <v>117</v>
      </c>
      <c r="J4" s="9" t="s">
        <v>118</v>
      </c>
      <c r="K4" s="9" t="s">
        <v>119</v>
      </c>
      <c r="L4" s="9" t="s">
        <v>120</v>
      </c>
    </row>
    <row r="5" customFormat="false" ht="15" hidden="false" customHeight="false" outlineLevel="0" collapsed="false">
      <c r="A5" s="40" t="n">
        <f aca="false">DATE(YEAR(MIN(d_Date)),MONTH(MIN(d_Date)),1)</f>
        <v>45931</v>
      </c>
      <c r="B5" s="43" t="str">
        <f aca="false">CHOOSE(MONTH(A5),"يناير","فبراير","مارس","أبريل","مايو","يونيو","يوليو","أغسطس","سبتمبر","أكتوبر","نوفمبر","ديسمبر")&amp;" "&amp;YEAR(A5)</f>
        <v>أكتوبر 2025</v>
      </c>
      <c r="C5" s="42" t="n">
        <f aca="false">SUMIFS(d_Rev,d_Period,$A5)</f>
        <v>186629.5</v>
      </c>
      <c r="D5" s="42" t="n">
        <f aca="false">SUMIFS(d_Profit,d_Period,$A5)</f>
        <v>66799.5</v>
      </c>
      <c r="E5" s="44" t="n">
        <f aca="false">IFERROR(D5/C5,0)</f>
        <v>0.357925729855141</v>
      </c>
      <c r="F5" s="42" t="n">
        <f aca="false">COUNTIFS(d_Period,$A5,d_Status,"مكتمل")</f>
        <v>114</v>
      </c>
      <c r="G5" s="45" t="s">
        <v>121</v>
      </c>
      <c r="H5" s="42" t="n">
        <f aca="false">SUM($C$5:C5)</f>
        <v>186629.5</v>
      </c>
      <c r="I5" s="42" t="n">
        <f aca="false">AVERAGE($C$5:C5)</f>
        <v>186629.5</v>
      </c>
      <c r="J5" s="46" t="n">
        <f aca="false">IFERROR(C5/AVERAGE($C$5:$C$16),0)</f>
        <v>1.04819105401389</v>
      </c>
      <c r="K5" s="47" t="n">
        <f aca="false">RANK(C5,$C$5:$C$16)</f>
        <v>4</v>
      </c>
      <c r="L5" s="44" t="n">
        <f aca="false">IFERROR(C5/$C$17,0)</f>
        <v>0.0873492545011571</v>
      </c>
    </row>
    <row r="6" customFormat="false" ht="15" hidden="false" customHeight="false" outlineLevel="0" collapsed="false">
      <c r="A6" s="40" t="n">
        <f aca="false">EDATE(A5,1)</f>
        <v>45962</v>
      </c>
      <c r="B6" s="43" t="str">
        <f aca="false">CHOOSE(MONTH(A6),"يناير","فبراير","مارس","أبريل","مايو","يونيو","يوليو","أغسطس","سبتمبر","أكتوبر","نوفمبر","ديسمبر")&amp;" "&amp;YEAR(A6)</f>
        <v>نوفمبر 2025</v>
      </c>
      <c r="C6" s="42" t="n">
        <f aca="false">SUMIFS(d_Rev,d_Period,$A6)</f>
        <v>211433</v>
      </c>
      <c r="D6" s="42" t="n">
        <f aca="false">SUMIFS(d_Profit,d_Period,$A6)</f>
        <v>65588</v>
      </c>
      <c r="E6" s="44" t="n">
        <f aca="false">IFERROR(D6/C6,0)</f>
        <v>0.310207015934126</v>
      </c>
      <c r="F6" s="42" t="n">
        <f aca="false">COUNTIFS(d_Period,$A6,d_Status,"مكتمل")</f>
        <v>165</v>
      </c>
      <c r="G6" s="45" t="n">
        <f aca="false">IFERROR(C6/C5-1,0)</f>
        <v>0.132902354665259</v>
      </c>
      <c r="H6" s="42" t="n">
        <f aca="false">SUM($C$5:C6)</f>
        <v>398062.5</v>
      </c>
      <c r="I6" s="42" t="n">
        <f aca="false">AVERAGE($C$5:C6)</f>
        <v>199031.25</v>
      </c>
      <c r="J6" s="46" t="n">
        <f aca="false">IFERROR(C6/AVERAGE($C$5:$C$16),0)</f>
        <v>1.18749811323139</v>
      </c>
      <c r="K6" s="47" t="n">
        <f aca="false">RANK(C6,$C$5:$C$16)</f>
        <v>2</v>
      </c>
      <c r="L6" s="44" t="n">
        <f aca="false">IFERROR(C6/$C$17,0)</f>
        <v>0.0989581761026159</v>
      </c>
    </row>
    <row r="7" customFormat="false" ht="15" hidden="false" customHeight="false" outlineLevel="0" collapsed="false">
      <c r="A7" s="40" t="n">
        <f aca="false">EDATE(A6,1)</f>
        <v>45992</v>
      </c>
      <c r="B7" s="43" t="str">
        <f aca="false">CHOOSE(MONTH(A7),"يناير","فبراير","مارس","أبريل","مايو","يونيو","يوليو","أغسطس","سبتمبر","أكتوبر","نوفمبر","ديسمبر")&amp;" "&amp;YEAR(A7)</f>
        <v>ديسمبر 2025</v>
      </c>
      <c r="C7" s="42" t="n">
        <f aca="false">SUMIFS(d_Rev,d_Period,$A7)</f>
        <v>183489.5</v>
      </c>
      <c r="D7" s="42" t="n">
        <f aca="false">SUMIFS(d_Profit,d_Period,$A7)</f>
        <v>66759.5</v>
      </c>
      <c r="E7" s="44" t="n">
        <f aca="false">IFERROR(D7/C7,0)</f>
        <v>0.36383280787184</v>
      </c>
      <c r="F7" s="42" t="n">
        <f aca="false">COUNTIFS(d_Period,$A7,d_Status,"مكتمل")</f>
        <v>134</v>
      </c>
      <c r="G7" s="45" t="n">
        <f aca="false">IFERROR(C7/C6-1,0)</f>
        <v>-0.132162434435495</v>
      </c>
      <c r="H7" s="42" t="n">
        <f aca="false">SUM($C$5:C7)</f>
        <v>581552</v>
      </c>
      <c r="I7" s="42" t="n">
        <f aca="false">AVERAGE(C5:C7)</f>
        <v>193850.666666667</v>
      </c>
      <c r="J7" s="46" t="n">
        <f aca="false">IFERROR(C7/AVERAGE($C$5:$C$16),0)</f>
        <v>1.03055547169917</v>
      </c>
      <c r="K7" s="47" t="n">
        <f aca="false">RANK(C7,$C$5:$C$16)</f>
        <v>5</v>
      </c>
      <c r="L7" s="44" t="n">
        <f aca="false">IFERROR(C7/$C$17,0)</f>
        <v>0.0858796226415977</v>
      </c>
    </row>
    <row r="8" customFormat="false" ht="15" hidden="false" customHeight="false" outlineLevel="0" collapsed="false">
      <c r="A8" s="40" t="n">
        <f aca="false">EDATE(A7,1)</f>
        <v>46023</v>
      </c>
      <c r="B8" s="43" t="str">
        <f aca="false">CHOOSE(MONTH(A8),"يناير","فبراير","مارس","أبريل","مايو","يونيو","يوليو","أغسطس","سبتمبر","أكتوبر","نوفمبر","ديسمبر")&amp;" "&amp;YEAR(A8)</f>
        <v>يناير 2026</v>
      </c>
      <c r="C8" s="42" t="n">
        <f aca="false">SUMIFS(d_Rev,d_Period,$A8)</f>
        <v>168383.5</v>
      </c>
      <c r="D8" s="42" t="n">
        <f aca="false">SUMIFS(d_Profit,d_Period,$A8)</f>
        <v>58283.5</v>
      </c>
      <c r="E8" s="44" t="n">
        <f aca="false">IFERROR(D8/C8,0)</f>
        <v>0.346135458640544</v>
      </c>
      <c r="F8" s="42" t="n">
        <f aca="false">COUNTIFS(d_Period,$A8,d_Status,"مكتمل")</f>
        <v>120</v>
      </c>
      <c r="G8" s="45" t="n">
        <f aca="false">IFERROR(C8/C7-1,0)</f>
        <v>-0.0823262366511436</v>
      </c>
      <c r="H8" s="42" t="n">
        <f aca="false">SUM($C$5:C8)</f>
        <v>749935.5</v>
      </c>
      <c r="I8" s="42" t="n">
        <f aca="false">AVERAGE(C6:C8)</f>
        <v>187768.666666667</v>
      </c>
      <c r="J8" s="46" t="n">
        <f aca="false">IFERROR(C8/AVERAGE($C$5:$C$16),0)</f>
        <v>0.945713718053936</v>
      </c>
      <c r="K8" s="47" t="n">
        <f aca="false">RANK(C8,$C$5:$C$16)</f>
        <v>7</v>
      </c>
      <c r="L8" s="44" t="n">
        <f aca="false">IFERROR(C8/$C$17,0)</f>
        <v>0.0788094765044947</v>
      </c>
    </row>
    <row r="9" customFormat="false" ht="15" hidden="false" customHeight="false" outlineLevel="0" collapsed="false">
      <c r="A9" s="40" t="n">
        <f aca="false">EDATE(A8,1)</f>
        <v>46054</v>
      </c>
      <c r="B9" s="43" t="str">
        <f aca="false">CHOOSE(MONTH(A9),"يناير","فبراير","مارس","أبريل","مايو","يونيو","يوليو","أغسطس","سبتمبر","أكتوبر","نوفمبر","ديسمبر")&amp;" "&amp;YEAR(A9)</f>
        <v>فبراير 2026</v>
      </c>
      <c r="C9" s="42" t="n">
        <f aca="false">SUMIFS(d_Rev,d_Period,$A9)</f>
        <v>221778.5</v>
      </c>
      <c r="D9" s="42" t="n">
        <f aca="false">SUMIFS(d_Profit,d_Period,$A9)</f>
        <v>77368.5</v>
      </c>
      <c r="E9" s="44" t="n">
        <f aca="false">IFERROR(D9/C9,0)</f>
        <v>0.348854825873563</v>
      </c>
      <c r="F9" s="42" t="n">
        <f aca="false">COUNTIFS(d_Period,$A9,d_Status,"مكتمل")</f>
        <v>117</v>
      </c>
      <c r="G9" s="45" t="n">
        <f aca="false">IFERROR(C9/C8-1,0)</f>
        <v>0.317103516674734</v>
      </c>
      <c r="H9" s="42" t="n">
        <f aca="false">SUM($C$5:C9)</f>
        <v>971714</v>
      </c>
      <c r="I9" s="42" t="n">
        <f aca="false">AVERAGE(C7:C9)</f>
        <v>191217.166666667</v>
      </c>
      <c r="J9" s="46" t="n">
        <f aca="false">IFERROR(C9/AVERAGE($C$5:$C$16),0)</f>
        <v>1.24560286381638</v>
      </c>
      <c r="K9" s="47" t="n">
        <f aca="false">RANK(C9,$C$5:$C$16)</f>
        <v>1</v>
      </c>
      <c r="L9" s="44" t="n">
        <f aca="false">IFERROR(C9/$C$17,0)</f>
        <v>0.103800238651365</v>
      </c>
    </row>
    <row r="10" customFormat="false" ht="15" hidden="false" customHeight="false" outlineLevel="0" collapsed="false">
      <c r="A10" s="40" t="n">
        <f aca="false">EDATE(A9,1)</f>
        <v>46082</v>
      </c>
      <c r="B10" s="43" t="str">
        <f aca="false">CHOOSE(MONTH(A10),"يناير","فبراير","مارس","أبريل","مايو","يونيو","يوليو","أغسطس","سبتمبر","أكتوبر","نوفمبر","ديسمبر")&amp;" "&amp;YEAR(A10)</f>
        <v>مارس 2026</v>
      </c>
      <c r="C10" s="42" t="n">
        <f aca="false">SUMIFS(d_Rev,d_Period,$A10)</f>
        <v>157027.5</v>
      </c>
      <c r="D10" s="42" t="n">
        <f aca="false">SUMIFS(d_Profit,d_Period,$A10)</f>
        <v>52987.5</v>
      </c>
      <c r="E10" s="44" t="n">
        <f aca="false">IFERROR(D10/C10,0)</f>
        <v>0.337440894110904</v>
      </c>
      <c r="F10" s="42" t="n">
        <f aca="false">COUNTIFS(d_Period,$A10,d_Status,"مكتمل")</f>
        <v>119</v>
      </c>
      <c r="G10" s="45" t="n">
        <f aca="false">IFERROR(C10/C9-1,0)</f>
        <v>-0.291962476074101</v>
      </c>
      <c r="H10" s="42" t="n">
        <f aca="false">SUM($C$5:C10)</f>
        <v>1128741.5</v>
      </c>
      <c r="I10" s="42" t="n">
        <f aca="false">AVERAGE(C8:C10)</f>
        <v>182396.5</v>
      </c>
      <c r="J10" s="46" t="n">
        <f aca="false">IFERROR(C10/AVERAGE($C$5:$C$16),0)</f>
        <v>0.881933567491556</v>
      </c>
      <c r="K10" s="47" t="n">
        <f aca="false">RANK(C10,$C$5:$C$16)</f>
        <v>10</v>
      </c>
      <c r="L10" s="44" t="n">
        <f aca="false">IFERROR(C10/$C$17,0)</f>
        <v>0.0734944639576297</v>
      </c>
    </row>
    <row r="11" customFormat="false" ht="15" hidden="false" customHeight="false" outlineLevel="0" collapsed="false">
      <c r="A11" s="40" t="n">
        <f aca="false">EDATE(A10,1)</f>
        <v>46113</v>
      </c>
      <c r="B11" s="43" t="str">
        <f aca="false">CHOOSE(MONTH(A11),"يناير","فبراير","مارس","أبريل","مايو","يونيو","يوليو","أغسطس","سبتمبر","أكتوبر","نوفمبر","ديسمبر")&amp;" "&amp;YEAR(A11)</f>
        <v>أبريل 2026</v>
      </c>
      <c r="C11" s="42" t="n">
        <f aca="false">SUMIFS(d_Rev,d_Period,$A11)</f>
        <v>166026.5</v>
      </c>
      <c r="D11" s="42" t="n">
        <f aca="false">SUMIFS(d_Profit,d_Period,$A11)</f>
        <v>51891.5</v>
      </c>
      <c r="E11" s="44" t="n">
        <f aca="false">IFERROR(D11/C11,0)</f>
        <v>0.312549502639639</v>
      </c>
      <c r="F11" s="42" t="n">
        <f aca="false">COUNTIFS(d_Period,$A11,d_Status,"مكتمل")</f>
        <v>104</v>
      </c>
      <c r="G11" s="45" t="n">
        <f aca="false">IFERROR(C11/C10-1,0)</f>
        <v>0.0573084332362166</v>
      </c>
      <c r="H11" s="42" t="n">
        <f aca="false">SUM($C$5:C11)</f>
        <v>1294768</v>
      </c>
      <c r="I11" s="42" t="n">
        <f aca="false">AVERAGE(C9:C11)</f>
        <v>181610.833333333</v>
      </c>
      <c r="J11" s="46" t="n">
        <f aca="false">IFERROR(C11/AVERAGE($C$5:$C$16),0)</f>
        <v>0.932475798462924</v>
      </c>
      <c r="K11" s="47" t="n">
        <f aca="false">RANK(C11,$C$5:$C$16)</f>
        <v>8</v>
      </c>
      <c r="L11" s="44" t="n">
        <f aca="false">IFERROR(C11/$C$17,0)</f>
        <v>0.077706316538577</v>
      </c>
    </row>
    <row r="12" customFormat="false" ht="15" hidden="false" customHeight="false" outlineLevel="0" collapsed="false">
      <c r="A12" s="40" t="n">
        <f aca="false">EDATE(A11,1)</f>
        <v>46143</v>
      </c>
      <c r="B12" s="43" t="str">
        <f aca="false">CHOOSE(MONTH(A12),"يناير","فبراير","مارس","أبريل","مايو","يونيو","يوليو","أغسطس","سبتمبر","أكتوبر","نوفمبر","ديسمبر")&amp;" "&amp;YEAR(A12)</f>
        <v>مايو 2026</v>
      </c>
      <c r="C12" s="42" t="n">
        <f aca="false">SUMIFS(d_Rev,d_Period,$A12)</f>
        <v>204552.5</v>
      </c>
      <c r="D12" s="42" t="n">
        <f aca="false">SUMIFS(d_Profit,d_Period,$A12)</f>
        <v>71347.5</v>
      </c>
      <c r="E12" s="44" t="n">
        <f aca="false">IFERROR(D12/C12,0)</f>
        <v>0.348797985847154</v>
      </c>
      <c r="F12" s="42" t="n">
        <f aca="false">COUNTIFS(d_Period,$A12,d_Status,"مكتمل")</f>
        <v>118</v>
      </c>
      <c r="G12" s="45" t="n">
        <f aca="false">IFERROR(C12/C11-1,0)</f>
        <v>0.232047293654929</v>
      </c>
      <c r="H12" s="42" t="n">
        <f aca="false">SUM($C$5:C12)</f>
        <v>1499320.5</v>
      </c>
      <c r="I12" s="42" t="n">
        <f aca="false">AVERAGE(C10:C12)</f>
        <v>175868.833333333</v>
      </c>
      <c r="J12" s="46" t="n">
        <f aca="false">IFERROR(C12/AVERAGE($C$5:$C$16),0)</f>
        <v>1.14885428389496</v>
      </c>
      <c r="K12" s="47" t="n">
        <f aca="false">RANK(C12,$C$5:$C$16)</f>
        <v>3</v>
      </c>
      <c r="L12" s="44" t="n">
        <f aca="false">IFERROR(C12/$C$17,0)</f>
        <v>0.095737856991247</v>
      </c>
    </row>
    <row r="13" customFormat="false" ht="15" hidden="false" customHeight="false" outlineLevel="0" collapsed="false">
      <c r="A13" s="40" t="n">
        <f aca="false">EDATE(A12,1)</f>
        <v>46174</v>
      </c>
      <c r="B13" s="43" t="str">
        <f aca="false">CHOOSE(MONTH(A13),"يناير","فبراير","مارس","أبريل","مايو","يونيو","يوليو","أغسطس","سبتمبر","أكتوبر","نوفمبر","ديسمبر")&amp;" "&amp;YEAR(A13)</f>
        <v>يونيو 2026</v>
      </c>
      <c r="C13" s="42" t="n">
        <f aca="false">SUMIFS(d_Rev,d_Period,$A13)</f>
        <v>165984</v>
      </c>
      <c r="D13" s="42" t="n">
        <f aca="false">SUMIFS(d_Profit,d_Period,$A13)</f>
        <v>51139</v>
      </c>
      <c r="E13" s="44" t="n">
        <f aca="false">IFERROR(D13/C13,0)</f>
        <v>0.308095961056487</v>
      </c>
      <c r="F13" s="42" t="n">
        <f aca="false">COUNTIFS(d_Period,$A13,d_Status,"مكتمل")</f>
        <v>116</v>
      </c>
      <c r="G13" s="45" t="n">
        <f aca="false">IFERROR(C13/C12-1,0)</f>
        <v>-0.188550616589873</v>
      </c>
      <c r="H13" s="42" t="n">
        <f aca="false">SUM($C$5:C13)</f>
        <v>1665304.5</v>
      </c>
      <c r="I13" s="42" t="n">
        <f aca="false">AVERAGE(C11:C13)</f>
        <v>178854.333333333</v>
      </c>
      <c r="J13" s="46" t="n">
        <f aca="false">IFERROR(C13/AVERAGE($C$5:$C$16),0)</f>
        <v>0.932237100294652</v>
      </c>
      <c r="K13" s="47" t="n">
        <f aca="false">RANK(C13,$C$5:$C$16)</f>
        <v>9</v>
      </c>
      <c r="L13" s="44" t="n">
        <f aca="false">IFERROR(C13/$C$17,0)</f>
        <v>0.0776864250245543</v>
      </c>
    </row>
    <row r="14" customFormat="false" ht="15" hidden="false" customHeight="false" outlineLevel="0" collapsed="false">
      <c r="A14" s="40" t="n">
        <f aca="false">EDATE(A13,1)</f>
        <v>46204</v>
      </c>
      <c r="B14" s="43" t="str">
        <f aca="false">CHOOSE(MONTH(A14),"يناير","فبراير","مارس","أبريل","مايو","يونيو","يوليو","أغسطس","سبتمبر","أكتوبر","نوفمبر","ديسمبر")&amp;" "&amp;YEAR(A14)</f>
        <v>يوليو 2026</v>
      </c>
      <c r="C14" s="42" t="n">
        <f aca="false">SUMIFS(d_Rev,d_Period,$A14)</f>
        <v>137862.5</v>
      </c>
      <c r="D14" s="42" t="n">
        <f aca="false">SUMIFS(d_Profit,d_Period,$A14)</f>
        <v>47002.5</v>
      </c>
      <c r="E14" s="44" t="n">
        <f aca="false">IFERROR(D14/C14,0)</f>
        <v>0.340937528334391</v>
      </c>
      <c r="F14" s="42" t="n">
        <f aca="false">COUNTIFS(d_Period,$A14,d_Status,"مكتمل")</f>
        <v>105</v>
      </c>
      <c r="G14" s="45" t="n">
        <f aca="false">IFERROR(C14/C13-1,0)</f>
        <v>-0.169422956429535</v>
      </c>
      <c r="H14" s="42" t="n">
        <f aca="false">SUM($C$5:C14)</f>
        <v>1803167</v>
      </c>
      <c r="I14" s="42" t="n">
        <f aca="false">AVERAGE(C12:C14)</f>
        <v>169466.333333333</v>
      </c>
      <c r="J14" s="46" t="n">
        <f aca="false">IFERROR(C14/AVERAGE($C$5:$C$16),0)</f>
        <v>0.774294734669435</v>
      </c>
      <c r="K14" s="47" t="n">
        <f aca="false">RANK(C14,$C$5:$C$16)</f>
        <v>12</v>
      </c>
      <c r="L14" s="44" t="n">
        <f aca="false">IFERROR(C14/$C$17,0)</f>
        <v>0.0645245612224529</v>
      </c>
    </row>
    <row r="15" customFormat="false" ht="15" hidden="false" customHeight="false" outlineLevel="0" collapsed="false">
      <c r="A15" s="40" t="n">
        <f aca="false">EDATE(A14,1)</f>
        <v>46235</v>
      </c>
      <c r="B15" s="43" t="str">
        <f aca="false">CHOOSE(MONTH(A15),"يناير","فبراير","مارس","أبريل","مايو","يونيو","يوليو","أغسطس","سبتمبر","أكتوبر","نوفمبر","ديسمبر")&amp;" "&amp;YEAR(A15)</f>
        <v>أغسطس 2026</v>
      </c>
      <c r="C15" s="42" t="n">
        <f aca="false">SUMIFS(d_Rev,d_Period,$A15)</f>
        <v>153928.5</v>
      </c>
      <c r="D15" s="42" t="n">
        <f aca="false">SUMIFS(d_Profit,d_Period,$A15)</f>
        <v>49338.5</v>
      </c>
      <c r="E15" s="44" t="n">
        <f aca="false">IFERROR(D15/C15,0)</f>
        <v>0.320528687020272</v>
      </c>
      <c r="F15" s="42" t="n">
        <f aca="false">COUNTIFS(d_Period,$A15,d_Status,"مكتمل")</f>
        <v>99</v>
      </c>
      <c r="G15" s="45" t="n">
        <f aca="false">IFERROR(C15/C14-1,0)</f>
        <v>0.11653640402575</v>
      </c>
      <c r="H15" s="42" t="n">
        <f aca="false">SUM($C$5:C15)</f>
        <v>1957095.5</v>
      </c>
      <c r="I15" s="42" t="n">
        <f aca="false">AVERAGE(C13:C15)</f>
        <v>152591.666666667</v>
      </c>
      <c r="J15" s="46" t="n">
        <f aca="false">IFERROR(C15/AVERAGE($C$5:$C$16),0)</f>
        <v>0.864528258703883</v>
      </c>
      <c r="K15" s="47" t="n">
        <f aca="false">RANK(C15,$C$5:$C$16)</f>
        <v>11</v>
      </c>
      <c r="L15" s="44" t="n">
        <f aca="false">IFERROR(C15/$C$17,0)</f>
        <v>0.0720440215586569</v>
      </c>
    </row>
    <row r="16" customFormat="false" ht="15" hidden="false" customHeight="false" outlineLevel="0" collapsed="false">
      <c r="A16" s="40" t="n">
        <f aca="false">EDATE(A15,1)</f>
        <v>46266</v>
      </c>
      <c r="B16" s="43" t="str">
        <f aca="false">CHOOSE(MONTH(A16),"يناير","فبراير","مارس","أبريل","مايو","يونيو","يوليو","أغسطس","سبتمبر","أكتوبر","نوفمبر","ديسمبر")&amp;" "&amp;YEAR(A16)</f>
        <v>سبتمبر 2026</v>
      </c>
      <c r="C16" s="42" t="n">
        <f aca="false">SUMIFS(d_Rev,d_Period,$A16)</f>
        <v>179494</v>
      </c>
      <c r="D16" s="42" t="n">
        <f aca="false">SUMIFS(d_Profit,d_Period,$A16)</f>
        <v>57009</v>
      </c>
      <c r="E16" s="44" t="n">
        <f aca="false">IFERROR(D16/C16,0)</f>
        <v>0.317609502267485</v>
      </c>
      <c r="F16" s="42" t="n">
        <f aca="false">COUNTIFS(d_Period,$A16,d_Status,"مكتمل")</f>
        <v>123</v>
      </c>
      <c r="G16" s="45" t="n">
        <f aca="false">IFERROR(C16/C15-1,0)</f>
        <v>0.16608685201246</v>
      </c>
      <c r="H16" s="42" t="n">
        <f aca="false">SUM($C$5:C16)</f>
        <v>2136589.5</v>
      </c>
      <c r="I16" s="42" t="n">
        <f aca="false">AVERAGE(C14:C16)</f>
        <v>157095</v>
      </c>
      <c r="J16" s="46" t="n">
        <f aca="false">IFERROR(C16/AVERAGE($C$5:$C$16),0)</f>
        <v>1.00811503566782</v>
      </c>
      <c r="K16" s="47" t="n">
        <f aca="false">RANK(C16,$C$5:$C$16)</f>
        <v>6</v>
      </c>
      <c r="L16" s="44" t="n">
        <f aca="false">IFERROR(C16/$C$17,0)</f>
        <v>0.0840095863056521</v>
      </c>
    </row>
    <row r="17" customFormat="false" ht="15" hidden="false" customHeight="false" outlineLevel="0" collapsed="false">
      <c r="A17" s="23" t="s">
        <v>122</v>
      </c>
      <c r="B17" s="23" t="s">
        <v>123</v>
      </c>
      <c r="C17" s="48" t="n">
        <f aca="false">SUM(C5:C16)</f>
        <v>2136589.5</v>
      </c>
      <c r="D17" s="48" t="n">
        <f aca="false">SUM(D5:D16)</f>
        <v>715514.5</v>
      </c>
      <c r="E17" s="49" t="n">
        <f aca="false">IFERROR(D17/C17,0)</f>
        <v>0.334886275533976</v>
      </c>
      <c r="F17" s="48" t="n">
        <f aca="false">SUM(F5:F16)</f>
        <v>1434</v>
      </c>
      <c r="G17" s="23"/>
      <c r="H17" s="23"/>
      <c r="I17" s="23"/>
      <c r="J17" s="23"/>
      <c r="K17" s="23"/>
      <c r="L17" s="49" t="n">
        <f aca="false">SUM(L5:L16)</f>
        <v>1</v>
      </c>
    </row>
    <row r="19" customFormat="false" ht="21.75" hidden="false" customHeight="true" outlineLevel="0" collapsed="false">
      <c r="A19" s="7" t="s">
        <v>124</v>
      </c>
      <c r="B19" s="8"/>
      <c r="C19" s="8"/>
      <c r="D19" s="8"/>
      <c r="E19" s="8"/>
      <c r="F19" s="8"/>
      <c r="H19" s="7" t="s">
        <v>125</v>
      </c>
      <c r="I19" s="8"/>
      <c r="J19" s="8"/>
      <c r="K19" s="8"/>
      <c r="L19" s="8"/>
    </row>
    <row r="20" customFormat="false" ht="36" hidden="false" customHeight="true" outlineLevel="0" collapsed="false">
      <c r="A20" s="9" t="s">
        <v>126</v>
      </c>
      <c r="B20" s="9" t="s">
        <v>113</v>
      </c>
      <c r="C20" s="9" t="s">
        <v>80</v>
      </c>
      <c r="D20" s="9" t="s">
        <v>114</v>
      </c>
      <c r="E20" s="9" t="s">
        <v>127</v>
      </c>
      <c r="F20" s="9" t="s">
        <v>128</v>
      </c>
      <c r="H20" s="9" t="s">
        <v>8</v>
      </c>
      <c r="I20" s="9" t="s">
        <v>129</v>
      </c>
      <c r="J20" s="9" t="s">
        <v>113</v>
      </c>
      <c r="K20" s="9" t="s">
        <v>130</v>
      </c>
      <c r="L20" s="9" t="s">
        <v>131</v>
      </c>
    </row>
    <row r="21" customFormat="false" ht="15" hidden="false" customHeight="false" outlineLevel="0" collapsed="false">
      <c r="A21" s="43" t="s">
        <v>132</v>
      </c>
      <c r="B21" s="42" t="n">
        <f aca="false">SUMIFS(d_Rev,d_Qtr,$A21)</f>
        <v>581552</v>
      </c>
      <c r="C21" s="42" t="n">
        <f aca="false">SUMIFS(d_Profit,d_Qtr,$A21)</f>
        <v>199147</v>
      </c>
      <c r="D21" s="44" t="n">
        <f aca="false">IFERROR(C21/B21,0)</f>
        <v>0.342440572812062</v>
      </c>
      <c r="E21" s="45" t="s">
        <v>121</v>
      </c>
      <c r="F21" s="44" t="n">
        <f aca="false">IFERROR(B21/$B$25,0)</f>
        <v>0.272187053245371</v>
      </c>
      <c r="H21" s="47" t="n">
        <v>1</v>
      </c>
      <c r="I21" s="43" t="s">
        <v>133</v>
      </c>
      <c r="J21" s="42" t="n">
        <f aca="false">SUMPRODUCT((WEEKDAY(d_Date)=$H21)*d_Rev)</f>
        <v>266123.5</v>
      </c>
      <c r="K21" s="42" t="n">
        <f aca="false">SUMPRODUCT((WEEKDAY(d_Date)=$H21)*(d_Status="مكتمل"))</f>
        <v>193</v>
      </c>
      <c r="L21" s="42" t="n">
        <f aca="false">IFERROR(J21/K21,0)</f>
        <v>1378.87823834197</v>
      </c>
    </row>
    <row r="22" customFormat="false" ht="15" hidden="false" customHeight="false" outlineLevel="0" collapsed="false">
      <c r="A22" s="43" t="s">
        <v>134</v>
      </c>
      <c r="B22" s="42" t="n">
        <f aca="false">SUMIFS(d_Rev,d_Qtr,$A22)</f>
        <v>547189.5</v>
      </c>
      <c r="C22" s="42" t="n">
        <f aca="false">SUMIFS(d_Profit,d_Qtr,$A22)</f>
        <v>188639.5</v>
      </c>
      <c r="D22" s="44" t="n">
        <f aca="false">IFERROR(C22/B22,0)</f>
        <v>0.344742543488133</v>
      </c>
      <c r="E22" s="45" t="n">
        <f aca="false">IFERROR(B22/B21-1,0)</f>
        <v>-0.059087579442595</v>
      </c>
      <c r="F22" s="44" t="n">
        <f aca="false">IFERROR(B22/$B$25,0)</f>
        <v>0.256104179113489</v>
      </c>
      <c r="H22" s="47" t="n">
        <v>2</v>
      </c>
      <c r="I22" s="43" t="s">
        <v>135</v>
      </c>
      <c r="J22" s="42" t="n">
        <f aca="false">SUMPRODUCT((WEEKDAY(d_Date)=$H22)*d_Rev)</f>
        <v>225578</v>
      </c>
      <c r="K22" s="42" t="n">
        <f aca="false">SUMPRODUCT((WEEKDAY(d_Date)=$H22)*(d_Status="مكتمل"))</f>
        <v>165</v>
      </c>
      <c r="L22" s="42" t="n">
        <f aca="false">IFERROR(J22/K22,0)</f>
        <v>1367.13939393939</v>
      </c>
    </row>
    <row r="23" customFormat="false" ht="15" hidden="false" customHeight="false" outlineLevel="0" collapsed="false">
      <c r="A23" s="43" t="s">
        <v>136</v>
      </c>
      <c r="B23" s="42" t="n">
        <f aca="false">SUMIFS(d_Rev,d_Qtr,$A23)</f>
        <v>536563</v>
      </c>
      <c r="C23" s="42" t="n">
        <f aca="false">SUMIFS(d_Profit,d_Qtr,$A23)</f>
        <v>174378</v>
      </c>
      <c r="D23" s="44" t="n">
        <f aca="false">IFERROR(C23/B23,0)</f>
        <v>0.324990728022618</v>
      </c>
      <c r="E23" s="45" t="n">
        <f aca="false">IFERROR(B23/B22-1,0)</f>
        <v>-0.019420146037159</v>
      </c>
      <c r="F23" s="44" t="n">
        <f aca="false">IFERROR(B23/$B$25,0)</f>
        <v>0.251130598554378</v>
      </c>
      <c r="H23" s="47" t="n">
        <v>3</v>
      </c>
      <c r="I23" s="43" t="s">
        <v>137</v>
      </c>
      <c r="J23" s="42" t="n">
        <f aca="false">SUMPRODUCT((WEEKDAY(d_Date)=$H23)*d_Rev)</f>
        <v>219683</v>
      </c>
      <c r="K23" s="42" t="n">
        <f aca="false">SUMPRODUCT((WEEKDAY(d_Date)=$H23)*(d_Status="مكتمل"))</f>
        <v>182</v>
      </c>
      <c r="L23" s="42" t="n">
        <f aca="false">IFERROR(J23/K23,0)</f>
        <v>1207.04945054945</v>
      </c>
    </row>
    <row r="24" customFormat="false" ht="15" hidden="false" customHeight="false" outlineLevel="0" collapsed="false">
      <c r="A24" s="43" t="s">
        <v>138</v>
      </c>
      <c r="B24" s="42" t="n">
        <f aca="false">SUMIFS(d_Rev,d_Qtr,$A24)</f>
        <v>471285</v>
      </c>
      <c r="C24" s="42" t="n">
        <f aca="false">SUMIFS(d_Profit,d_Qtr,$A24)</f>
        <v>153350</v>
      </c>
      <c r="D24" s="44" t="n">
        <f aca="false">IFERROR(C24/B24,0)</f>
        <v>0.325386973911752</v>
      </c>
      <c r="E24" s="45" t="n">
        <f aca="false">IFERROR(B24/B23-1,0)</f>
        <v>-0.121659525535678</v>
      </c>
      <c r="F24" s="44" t="n">
        <f aca="false">IFERROR(B24/$B$25,0)</f>
        <v>0.220578169086762</v>
      </c>
      <c r="H24" s="47" t="n">
        <v>4</v>
      </c>
      <c r="I24" s="43" t="s">
        <v>139</v>
      </c>
      <c r="J24" s="42" t="n">
        <f aca="false">SUMPRODUCT((WEEKDAY(d_Date)=$H24)*d_Rev)</f>
        <v>331729</v>
      </c>
      <c r="K24" s="42" t="n">
        <f aca="false">SUMPRODUCT((WEEKDAY(d_Date)=$H24)*(d_Status="مكتمل"))</f>
        <v>215</v>
      </c>
      <c r="L24" s="42" t="n">
        <f aca="false">IFERROR(J24/K24,0)</f>
        <v>1542.92558139535</v>
      </c>
    </row>
    <row r="25" customFormat="false" ht="15" hidden="false" customHeight="false" outlineLevel="0" collapsed="false">
      <c r="A25" s="23" t="s">
        <v>122</v>
      </c>
      <c r="B25" s="48" t="n">
        <f aca="false">SUM(B21:B24)</f>
        <v>2136589.5</v>
      </c>
      <c r="C25" s="48" t="n">
        <f aca="false">SUM(C21:C24)</f>
        <v>715514.5</v>
      </c>
      <c r="D25" s="49" t="n">
        <f aca="false">IFERROR(C25/B25,0)</f>
        <v>0.334886275533976</v>
      </c>
      <c r="E25" s="23"/>
      <c r="F25" s="49" t="n">
        <f aca="false">SUM(F21:F24)</f>
        <v>1</v>
      </c>
      <c r="H25" s="47" t="n">
        <v>5</v>
      </c>
      <c r="I25" s="43" t="s">
        <v>140</v>
      </c>
      <c r="J25" s="42" t="n">
        <f aca="false">SUMPRODUCT((WEEKDAY(d_Date)=$H25)*d_Rev)</f>
        <v>369972.5</v>
      </c>
      <c r="K25" s="42" t="n">
        <f aca="false">SUMPRODUCT((WEEKDAY(d_Date)=$H25)*(d_Status="مكتمل"))</f>
        <v>242</v>
      </c>
      <c r="L25" s="42" t="n">
        <f aca="false">IFERROR(J25/K25,0)</f>
        <v>1528.81198347107</v>
      </c>
    </row>
    <row r="26" customFormat="false" ht="15" hidden="false" customHeight="false" outlineLevel="0" collapsed="false">
      <c r="H26" s="47" t="n">
        <v>6</v>
      </c>
      <c r="I26" s="43" t="s">
        <v>141</v>
      </c>
      <c r="J26" s="42" t="n">
        <f aca="false">SUMPRODUCT((WEEKDAY(d_Date)=$H26)*d_Rev)</f>
        <v>394382.5</v>
      </c>
      <c r="K26" s="42" t="n">
        <f aca="false">SUMPRODUCT((WEEKDAY(d_Date)=$H26)*(d_Status="مكتمل"))</f>
        <v>249</v>
      </c>
      <c r="L26" s="42" t="n">
        <f aca="false">IFERROR(J26/K26,0)</f>
        <v>1583.86546184739</v>
      </c>
    </row>
    <row r="27" customFormat="false" ht="15" hidden="false" customHeight="false" outlineLevel="0" collapsed="false">
      <c r="H27" s="47" t="n">
        <v>7</v>
      </c>
      <c r="I27" s="43" t="s">
        <v>142</v>
      </c>
      <c r="J27" s="42" t="n">
        <f aca="false">SUMPRODUCT((WEEKDAY(d_Date)=$H27)*d_Rev)</f>
        <v>329121</v>
      </c>
      <c r="K27" s="42" t="n">
        <f aca="false">SUMPRODUCT((WEEKDAY(d_Date)=$H27)*(d_Status="مكتمل"))</f>
        <v>188</v>
      </c>
      <c r="L27" s="42" t="n">
        <f aca="false">IFERROR(J27/K27,0)</f>
        <v>1750.64361702128</v>
      </c>
    </row>
  </sheetData>
  <mergeCells count="2">
    <mergeCell ref="A1:L1"/>
    <mergeCell ref="B2:L2"/>
  </mergeCells>
  <conditionalFormatting sqref="C5:C16">
    <cfRule type="colorScale" priority="2">
      <colorScale>
        <cfvo type="min" val="0"/>
        <cfvo type="max" val="0"/>
        <color rgb="FFFFFFFF"/>
        <color rgb="FF7FD1C7"/>
      </colorScale>
    </cfRule>
  </conditionalFormatting>
  <conditionalFormatting sqref="G6:G16">
    <cfRule type="iconSet" priority="3">
      <iconSet iconSet="3Arrows">
        <cfvo type="num" val="-1000"/>
        <cfvo type="num" val="-0.0001"/>
        <cfvo type="num" val="0.0001"/>
      </iconSet>
    </cfRule>
  </conditionalFormatting>
  <conditionalFormatting sqref="J5:J16">
    <cfRule type="dataBar" priority="4">
      <dataBar showValue="1" minLength="10" maxLength="90">
        <cfvo type="num" val="0"/>
        <cfvo type="max" val="0"/>
        <color rgb="FFE9C46A"/>
      </dataBar>
      <extLst>
        <ext xmlns:x14="http://schemas.microsoft.com/office/spreadsheetml/2009/9/main" uri="{B025F937-C7B1-47D3-B67F-A62EFF666E3E}">
          <x14:id>{9D607FD3-71CA-401C-B8F4-781080A7B134}</x14:id>
        </ext>
      </extLst>
    </cfRule>
  </conditionalFormatting>
  <conditionalFormatting sqref="K5:K16">
    <cfRule type="cellIs" priority="5" operator="equal" aboveAverage="0" equalAverage="0" bottom="0" percent="0" rank="0" text="" dxfId="2">
      <formula>1</formula>
    </cfRule>
    <cfRule type="cellIs" priority="6" operator="equal" aboveAverage="0" equalAverage="0" bottom="0" percent="0" rank="0" text="" dxfId="3">
      <formula>12</formula>
    </cfRule>
  </conditionalFormatting>
  <conditionalFormatting sqref="E22:E24">
    <cfRule type="iconSet" priority="7">
      <iconSet iconSet="3Arrows">
        <cfvo type="num" val="-1000"/>
        <cfvo type="num" val="-0.0001"/>
        <cfvo type="num" val="0.0001"/>
      </iconSet>
    </cfRule>
  </conditionalFormatting>
  <conditionalFormatting sqref="J21:J27">
    <cfRule type="dataBar" priority="8">
      <dataBar showValue="1" minLength="10" maxLength="90">
        <cfvo type="num" val="0"/>
        <cfvo type="max" val="0"/>
        <color rgb="FF2A9D8F"/>
      </dataBar>
      <extLst>
        <ext xmlns:x14="http://schemas.microsoft.com/office/spreadsheetml/2009/9/main" uri="{B025F937-C7B1-47D3-B67F-A62EFF666E3E}">
          <x14:id>{308776DC-FEB9-45D4-A3D9-EB2E5C5BC9C4}</x14:id>
        </ext>
      </extLst>
    </cfRule>
  </conditionalFormatting>
  <hyperlinks>
    <hyperlink ref="A2" location="'الفهرس'!A1" display="↩ الفهرس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607FD3-71CA-401C-B8F4-781080A7B134}">
            <x14:dataBar minLength="10" maxLength="90" axisPosition="none" gradient="true">
              <x14:cfvo type="num">
                <xm:f>0</xm:f>
              </x14:cfvo>
              <x14:cfvo type="max"/>
              <x14:negativeFillColor rgb="FFE9C46A"/>
              <x14:axisColor rgb="FF000000"/>
            </x14:dataBar>
          </x14:cfRule>
          <xm:sqref>J5:J16</xm:sqref>
        </x14:conditionalFormatting>
        <x14:conditionalFormatting xmlns:xm="http://schemas.microsoft.com/office/excel/2006/main">
          <x14:cfRule type="dataBar" id="{308776DC-FEB9-45D4-A3D9-EB2E5C5BC9C4}">
            <x14:dataBar minLength="10" maxLength="90" axisPosition="none" gradient="true">
              <x14:cfvo type="num">
                <xm:f>0</xm:f>
              </x14:cfvo>
              <x14:cfvo type="max"/>
              <x14:negativeFillColor rgb="FF2A9D8F"/>
              <x14:axisColor rgb="FF000000"/>
            </x14:dataBar>
          </x14:cfRule>
          <xm:sqref>J21:J27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I4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9" min="2" style="0" width="15"/>
    <col collapsed="false" customWidth="true" hidden="false" outlineLevel="0" max="10" min="10" style="0" width="3"/>
  </cols>
  <sheetData>
    <row r="1" customFormat="false" ht="33.75" hidden="false" customHeight="true" outlineLevel="0" collapsed="false">
      <c r="A1" s="1" t="s">
        <v>143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3" t="s">
        <v>144</v>
      </c>
      <c r="C2" s="3"/>
      <c r="D2" s="3"/>
      <c r="E2" s="3"/>
      <c r="F2" s="3"/>
      <c r="G2" s="3"/>
      <c r="H2" s="3"/>
      <c r="I2" s="3"/>
    </row>
    <row r="4" customFormat="false" ht="21.75" hidden="false" customHeight="true" outlineLevel="0" collapsed="false">
      <c r="A4" s="7" t="s">
        <v>145</v>
      </c>
      <c r="B4" s="8"/>
      <c r="C4" s="8"/>
      <c r="D4" s="8"/>
      <c r="E4" s="8"/>
      <c r="F4" s="8"/>
      <c r="G4" s="8"/>
      <c r="H4" s="8"/>
      <c r="I4" s="8"/>
    </row>
    <row r="5" customFormat="false" ht="33.75" hidden="false" customHeight="true" outlineLevel="0" collapsed="false">
      <c r="A5" s="9" t="s">
        <v>77</v>
      </c>
      <c r="B5" s="9" t="s">
        <v>113</v>
      </c>
      <c r="C5" s="9" t="s">
        <v>128</v>
      </c>
      <c r="D5" s="9" t="s">
        <v>80</v>
      </c>
      <c r="E5" s="9" t="s">
        <v>114</v>
      </c>
      <c r="F5" s="9" t="s">
        <v>82</v>
      </c>
      <c r="G5" s="9" t="s">
        <v>146</v>
      </c>
      <c r="H5" s="9" t="s">
        <v>147</v>
      </c>
      <c r="I5" s="9" t="s">
        <v>148</v>
      </c>
    </row>
    <row r="6" customFormat="false" ht="15" hidden="false" customHeight="false" outlineLevel="0" collapsed="false">
      <c r="A6" s="43" t="s">
        <v>90</v>
      </c>
      <c r="B6" s="42" t="n">
        <f aca="false">SUMIFS(d_Rev,d_Cat,$A6)</f>
        <v>524652.5</v>
      </c>
      <c r="C6" s="44" t="n">
        <f aca="false">IFERROR(B6/B$12,0)</f>
        <v>0.24555606025397</v>
      </c>
      <c r="D6" s="42" t="n">
        <f aca="false">SUMIFS(d_Profit,d_Cat,$A6)</f>
        <v>123282.5</v>
      </c>
      <c r="E6" s="44" t="n">
        <f aca="false">IFERROR(D6/B6,0)</f>
        <v>0.234979343470202</v>
      </c>
      <c r="F6" s="42" t="n">
        <f aca="false">SUMIFS(d_Qty,d_Cat,$A6,d_Status,"مكتمل")</f>
        <v>445</v>
      </c>
      <c r="G6" s="44" t="n">
        <f aca="false">IFERROR(AVERAGEIFS(d_Disc,d_Cat,$A6),0)</f>
        <v>0.0641921397379913</v>
      </c>
      <c r="H6" s="47" t="n">
        <f aca="false">RANK(B6,$B$6:$B$11)</f>
        <v>2</v>
      </c>
      <c r="I6" s="44" t="n">
        <f aca="false">IFERROR(COUNTIFS(d_Cat,$A6,d_Status,"مرتجع")/COUNTIFS(d_Cat,$A6),0)</f>
        <v>0.0480349344978166</v>
      </c>
    </row>
    <row r="7" customFormat="false" ht="15" hidden="false" customHeight="false" outlineLevel="0" collapsed="false">
      <c r="A7" s="43" t="s">
        <v>92</v>
      </c>
      <c r="B7" s="42" t="n">
        <f aca="false">SUMIFS(d_Rev,d_Cat,$A7)</f>
        <v>260789</v>
      </c>
      <c r="C7" s="44" t="n">
        <f aca="false">IFERROR(B7/B$12,0)</f>
        <v>0.122058542363893</v>
      </c>
      <c r="D7" s="42" t="n">
        <f aca="false">SUMIFS(d_Profit,d_Cat,$A7)</f>
        <v>83319</v>
      </c>
      <c r="E7" s="44" t="n">
        <f aca="false">IFERROR(D7/B7,0)</f>
        <v>0.319488168596068</v>
      </c>
      <c r="F7" s="42" t="n">
        <f aca="false">SUMIFS(d_Qty,d_Cat,$A7,d_Status,"مكتمل")</f>
        <v>498</v>
      </c>
      <c r="G7" s="44" t="n">
        <f aca="false">IFERROR(AVERAGEIFS(d_Disc,d_Cat,$A7),0)</f>
        <v>0.0661637931034483</v>
      </c>
      <c r="H7" s="47" t="n">
        <f aca="false">RANK(B7,$B$6:$B$11)</f>
        <v>4</v>
      </c>
      <c r="I7" s="44" t="n">
        <f aca="false">IFERROR(COUNTIFS(d_Cat,$A7,d_Status,"مرتجع")/COUNTIFS(d_Cat,$A7),0)</f>
        <v>0.0431034482758621</v>
      </c>
    </row>
    <row r="8" customFormat="false" ht="15" hidden="false" customHeight="false" outlineLevel="0" collapsed="false">
      <c r="A8" s="43" t="s">
        <v>94</v>
      </c>
      <c r="B8" s="42" t="n">
        <f aca="false">SUMIFS(d_Rev,d_Cat,$A8)</f>
        <v>583692.5</v>
      </c>
      <c r="C8" s="44" t="n">
        <f aca="false">IFERROR(B8/B$12,0)</f>
        <v>0.273188883498679</v>
      </c>
      <c r="D8" s="42" t="n">
        <f aca="false">SUMIFS(d_Profit,d_Cat,$A8)</f>
        <v>219682.5</v>
      </c>
      <c r="E8" s="44" t="n">
        <f aca="false">IFERROR(D8/B8,0)</f>
        <v>0.376366836990367</v>
      </c>
      <c r="F8" s="42" t="n">
        <f aca="false">SUMIFS(d_Qty,d_Cat,$A8,d_Status,"مكتمل")</f>
        <v>844</v>
      </c>
      <c r="G8" s="44" t="n">
        <f aca="false">IFERROR(AVERAGEIFS(d_Disc,d_Cat,$A8),0)</f>
        <v>0.0735576923076923</v>
      </c>
      <c r="H8" s="47" t="n">
        <f aca="false">RANK(B8,$B$6:$B$11)</f>
        <v>1</v>
      </c>
      <c r="I8" s="44" t="n">
        <f aca="false">IFERROR(COUNTIFS(d_Cat,$A8,d_Status,"مرتجع")/COUNTIFS(d_Cat,$A8),0)</f>
        <v>0.0144230769230769</v>
      </c>
    </row>
    <row r="9" customFormat="false" ht="15" hidden="false" customHeight="false" outlineLevel="0" collapsed="false">
      <c r="A9" s="43" t="s">
        <v>96</v>
      </c>
      <c r="B9" s="42" t="n">
        <f aca="false">SUMIFS(d_Rev,d_Cat,$A9)</f>
        <v>333618.5</v>
      </c>
      <c r="C9" s="44" t="n">
        <f aca="false">IFERROR(B9/B$12,0)</f>
        <v>0.156145342846625</v>
      </c>
      <c r="D9" s="42" t="n">
        <f aca="false">SUMIFS(d_Profit,d_Cat,$A9)</f>
        <v>107613.5</v>
      </c>
      <c r="E9" s="44" t="n">
        <f aca="false">IFERROR(D9/B9,0)</f>
        <v>0.322564546030871</v>
      </c>
      <c r="F9" s="42" t="n">
        <f aca="false">SUMIFS(d_Qty,d_Cat,$A9,d_Status,"مكتمل")</f>
        <v>1346</v>
      </c>
      <c r="G9" s="44" t="n">
        <f aca="false">IFERROR(AVERAGEIFS(d_Disc,d_Cat,$A9),0)</f>
        <v>0.0682724252491694</v>
      </c>
      <c r="H9" s="47" t="n">
        <f aca="false">RANK(B9,$B$6:$B$11)</f>
        <v>3</v>
      </c>
      <c r="I9" s="44" t="n">
        <f aca="false">IFERROR(COUNTIFS(d_Cat,$A9,d_Status,"مرتجع")/COUNTIFS(d_Cat,$A9),0)</f>
        <v>0.0598006644518272</v>
      </c>
    </row>
    <row r="10" customFormat="false" ht="15" hidden="false" customHeight="false" outlineLevel="0" collapsed="false">
      <c r="A10" s="43" t="s">
        <v>97</v>
      </c>
      <c r="B10" s="42" t="n">
        <f aca="false">SUMIFS(d_Rev,d_Cat,$A10)</f>
        <v>187066</v>
      </c>
      <c r="C10" s="44" t="n">
        <f aca="false">IFERROR(B10/B$12,0)</f>
        <v>0.0875535520510608</v>
      </c>
      <c r="D10" s="42" t="n">
        <f aca="false">SUMIFS(d_Profit,d_Cat,$A10)</f>
        <v>64256</v>
      </c>
      <c r="E10" s="44" t="n">
        <f aca="false">IFERROR(D10/B10,0)</f>
        <v>0.343493740177264</v>
      </c>
      <c r="F10" s="42" t="n">
        <f aca="false">SUMIFS(d_Qty,d_Cat,$A10,d_Status,"مكتمل")</f>
        <v>386</v>
      </c>
      <c r="G10" s="44" t="n">
        <f aca="false">IFERROR(AVERAGEIFS(d_Disc,d_Cat,$A10),0)</f>
        <v>0.0578048780487805</v>
      </c>
      <c r="H10" s="47" t="n">
        <f aca="false">RANK(B10,$B$6:$B$11)</f>
        <v>6</v>
      </c>
      <c r="I10" s="44" t="n">
        <f aca="false">IFERROR(COUNTIFS(d_Cat,$A10,d_Status,"مرتجع")/COUNTIFS(d_Cat,$A10),0)</f>
        <v>0.0341463414634146</v>
      </c>
    </row>
    <row r="11" customFormat="false" ht="15" hidden="false" customHeight="false" outlineLevel="0" collapsed="false">
      <c r="A11" s="43" t="s">
        <v>98</v>
      </c>
      <c r="B11" s="42" t="n">
        <f aca="false">SUMIFS(d_Rev,d_Cat,$A11)</f>
        <v>246771</v>
      </c>
      <c r="C11" s="44" t="n">
        <f aca="false">IFERROR(B11/B$12,0)</f>
        <v>0.115497618985771</v>
      </c>
      <c r="D11" s="42" t="n">
        <f aca="false">SUMIFS(d_Profit,d_Cat,$A11)</f>
        <v>117361</v>
      </c>
      <c r="E11" s="44" t="n">
        <f aca="false">IFERROR(D11/B11,0)</f>
        <v>0.475586677526938</v>
      </c>
      <c r="F11" s="42" t="n">
        <f aca="false">SUMIFS(d_Qty,d_Cat,$A11,d_Status,"مكتمل")</f>
        <v>627</v>
      </c>
      <c r="G11" s="44" t="n">
        <f aca="false">IFERROR(AVERAGEIFS(d_Disc,d_Cat,$A11),0)</f>
        <v>0.0623076923076923</v>
      </c>
      <c r="H11" s="47" t="n">
        <f aca="false">RANK(B11,$B$6:$B$11)</f>
        <v>5</v>
      </c>
      <c r="I11" s="44" t="n">
        <f aca="false">IFERROR(COUNTIFS(d_Cat,$A11,d_Status,"مرتجع")/COUNTIFS(d_Cat,$A11),0)</f>
        <v>0.0523076923076923</v>
      </c>
    </row>
    <row r="12" customFormat="false" ht="15" hidden="false" customHeight="false" outlineLevel="0" collapsed="false">
      <c r="A12" s="23" t="s">
        <v>122</v>
      </c>
      <c r="B12" s="48" t="n">
        <f aca="false">SUM(B6:B11)</f>
        <v>2136589.5</v>
      </c>
      <c r="C12" s="49" t="n">
        <f aca="false">SUM(C6:C11)</f>
        <v>1</v>
      </c>
      <c r="D12" s="48" t="n">
        <f aca="false">SUM(D6:D11)</f>
        <v>715514.5</v>
      </c>
      <c r="E12" s="49" t="n">
        <f aca="false">IFERROR(D12/B12,0)</f>
        <v>0.334886275533976</v>
      </c>
      <c r="F12" s="48" t="n">
        <f aca="false">SUM(F6:F11)</f>
        <v>4146</v>
      </c>
      <c r="G12" s="49" t="n">
        <f aca="false">AVERAGE(d_Disc)</f>
        <v>0.0653333333333333</v>
      </c>
      <c r="H12" s="23"/>
      <c r="I12" s="49" t="n">
        <f aca="false">COUNTIF(d_Status,"مرتجع")/COUNTA(d_Status)</f>
        <v>0.044</v>
      </c>
    </row>
    <row r="14" customFormat="false" ht="21.75" hidden="false" customHeight="true" outlineLevel="0" collapsed="false">
      <c r="A14" s="7" t="s">
        <v>149</v>
      </c>
      <c r="B14" s="8"/>
      <c r="C14" s="8"/>
      <c r="D14" s="8"/>
      <c r="E14" s="8"/>
      <c r="F14" s="8"/>
      <c r="G14" s="8"/>
      <c r="H14" s="8"/>
      <c r="I14" s="8"/>
    </row>
    <row r="15" customFormat="false" ht="33.75" hidden="false" customHeight="true" outlineLevel="0" collapsed="false">
      <c r="A15" s="9" t="s">
        <v>75</v>
      </c>
      <c r="B15" s="9" t="s">
        <v>113</v>
      </c>
      <c r="C15" s="9" t="s">
        <v>128</v>
      </c>
      <c r="D15" s="9" t="s">
        <v>80</v>
      </c>
      <c r="E15" s="9" t="s">
        <v>114</v>
      </c>
      <c r="F15" s="9" t="s">
        <v>82</v>
      </c>
      <c r="G15" s="9" t="s">
        <v>146</v>
      </c>
      <c r="H15" s="9" t="s">
        <v>147</v>
      </c>
      <c r="I15" s="9" t="s">
        <v>148</v>
      </c>
    </row>
    <row r="16" customFormat="false" ht="15" hidden="false" customHeight="false" outlineLevel="0" collapsed="false">
      <c r="A16" s="43" t="s">
        <v>99</v>
      </c>
      <c r="B16" s="42" t="n">
        <f aca="false">SUMIFS(d_Rev,d_Region,$A16)</f>
        <v>692926.5</v>
      </c>
      <c r="C16" s="44" t="n">
        <f aca="false">IFERROR(B16/B$20,0)</f>
        <v>0.32431428685763</v>
      </c>
      <c r="D16" s="42" t="n">
        <f aca="false">SUMIFS(d_Profit,d_Region,$A16)</f>
        <v>228961.5</v>
      </c>
      <c r="E16" s="44" t="n">
        <f aca="false">IFERROR(D16/B16,0)</f>
        <v>0.33042682016058</v>
      </c>
      <c r="F16" s="42" t="n">
        <f aca="false">SUMIFS(d_Qty,d_Region,$A16,d_Status,"مكتمل")</f>
        <v>1389</v>
      </c>
      <c r="G16" s="44" t="n">
        <f aca="false">IFERROR(AVERAGEIFS(d_Disc,d_Region,$A16),0)</f>
        <v>0.0620857699805068</v>
      </c>
      <c r="H16" s="47" t="n">
        <f aca="false">RANK(B16,$B$16:$B$19)</f>
        <v>1</v>
      </c>
      <c r="I16" s="44" t="n">
        <f aca="false">IFERROR(COUNTIFS(d_Region,$A16,d_Status,"مرتجع")/COUNTIFS(d_Region,$A16),0)</f>
        <v>0.0389863547758285</v>
      </c>
    </row>
    <row r="17" customFormat="false" ht="15" hidden="false" customHeight="false" outlineLevel="0" collapsed="false">
      <c r="A17" s="43" t="s">
        <v>100</v>
      </c>
      <c r="B17" s="42" t="n">
        <f aca="false">SUMIFS(d_Rev,d_Region,$A17)</f>
        <v>565303</v>
      </c>
      <c r="C17" s="44" t="n">
        <f aca="false">IFERROR(B17/B$20,0)</f>
        <v>0.264581942389963</v>
      </c>
      <c r="D17" s="42" t="n">
        <f aca="false">SUMIFS(d_Profit,d_Region,$A17)</f>
        <v>186963</v>
      </c>
      <c r="E17" s="44" t="n">
        <f aca="false">IFERROR(D17/B17,0)</f>
        <v>0.3307305993423</v>
      </c>
      <c r="F17" s="42" t="n">
        <f aca="false">SUMIFS(d_Qty,d_Region,$A17,d_Status,"مكتمل")</f>
        <v>1044</v>
      </c>
      <c r="G17" s="44" t="n">
        <f aca="false">IFERROR(AVERAGEIFS(d_Disc,d_Region,$A17),0)</f>
        <v>0.0651351351351351</v>
      </c>
      <c r="H17" s="47" t="n">
        <f aca="false">RANK(B17,$B$16:$B$19)</f>
        <v>2</v>
      </c>
      <c r="I17" s="44" t="n">
        <f aca="false">IFERROR(COUNTIFS(d_Region,$A17,d_Status,"مرتجع")/COUNTIFS(d_Region,$A17),0)</f>
        <v>0.045945945945946</v>
      </c>
    </row>
    <row r="18" customFormat="false" ht="15" hidden="false" customHeight="false" outlineLevel="0" collapsed="false">
      <c r="A18" s="43" t="s">
        <v>101</v>
      </c>
      <c r="B18" s="42" t="n">
        <f aca="false">SUMIFS(d_Rev,d_Region,$A18)</f>
        <v>499447</v>
      </c>
      <c r="C18" s="44" t="n">
        <f aca="false">IFERROR(B18/B$20,0)</f>
        <v>0.233758988331638</v>
      </c>
      <c r="D18" s="42" t="n">
        <f aca="false">SUMIFS(d_Profit,d_Region,$A18)</f>
        <v>168442</v>
      </c>
      <c r="E18" s="44" t="n">
        <f aca="false">IFERROR(D18/B18,0)</f>
        <v>0.337257006248911</v>
      </c>
      <c r="F18" s="42" t="n">
        <f aca="false">SUMIFS(d_Qty,d_Region,$A18,d_Status,"مكتمل")</f>
        <v>907</v>
      </c>
      <c r="G18" s="44" t="n">
        <f aca="false">IFERROR(AVERAGEIFS(d_Disc,d_Region,$A18),0)</f>
        <v>0.0693704600484262</v>
      </c>
      <c r="H18" s="47" t="n">
        <f aca="false">RANK(B18,$B$16:$B$19)</f>
        <v>3</v>
      </c>
      <c r="I18" s="44" t="n">
        <f aca="false">IFERROR(COUNTIFS(d_Region,$A18,d_Status,"مرتجع")/COUNTIFS(d_Region,$A18),0)</f>
        <v>0.0556900726392252</v>
      </c>
    </row>
    <row r="19" customFormat="false" ht="15" hidden="false" customHeight="false" outlineLevel="0" collapsed="false">
      <c r="A19" s="43" t="s">
        <v>102</v>
      </c>
      <c r="B19" s="42" t="n">
        <f aca="false">SUMIFS(d_Rev,d_Region,$A19)</f>
        <v>378913</v>
      </c>
      <c r="C19" s="44" t="n">
        <f aca="false">IFERROR(B19/B$20,0)</f>
        <v>0.177344782420769</v>
      </c>
      <c r="D19" s="42" t="n">
        <f aca="false">SUMIFS(d_Profit,d_Region,$A19)</f>
        <v>131148</v>
      </c>
      <c r="E19" s="44" t="n">
        <f aca="false">IFERROR(D19/B19,0)</f>
        <v>0.34611639083378</v>
      </c>
      <c r="F19" s="42" t="n">
        <f aca="false">SUMIFS(d_Qty,d_Region,$A19,d_Status,"مكتمل")</f>
        <v>806</v>
      </c>
      <c r="G19" s="44" t="n">
        <f aca="false">IFERROR(AVERAGEIFS(d_Disc,d_Region,$A19),0)</f>
        <v>0.0656862745098039</v>
      </c>
      <c r="H19" s="47" t="n">
        <f aca="false">RANK(B19,$B$16:$B$19)</f>
        <v>4</v>
      </c>
      <c r="I19" s="44" t="n">
        <f aca="false">IFERROR(COUNTIFS(d_Region,$A19,d_Status,"مرتجع")/COUNTIFS(d_Region,$A19),0)</f>
        <v>0.0294117647058824</v>
      </c>
    </row>
    <row r="20" customFormat="false" ht="15" hidden="false" customHeight="false" outlineLevel="0" collapsed="false">
      <c r="A20" s="23" t="s">
        <v>122</v>
      </c>
      <c r="B20" s="48" t="n">
        <f aca="false">SUM(B16:B19)</f>
        <v>2136589.5</v>
      </c>
      <c r="C20" s="49" t="n">
        <f aca="false">SUM(C16:C19)</f>
        <v>1</v>
      </c>
      <c r="D20" s="48" t="n">
        <f aca="false">SUM(D16:D19)</f>
        <v>715514.5</v>
      </c>
      <c r="E20" s="49" t="n">
        <f aca="false">IFERROR(D20/B20,0)</f>
        <v>0.334886275533976</v>
      </c>
      <c r="F20" s="48" t="n">
        <f aca="false">SUM(F16:F19)</f>
        <v>4146</v>
      </c>
      <c r="G20" s="49" t="n">
        <f aca="false">AVERAGE(d_Disc)</f>
        <v>0.0653333333333333</v>
      </c>
      <c r="H20" s="23"/>
      <c r="I20" s="49" t="n">
        <f aca="false">COUNTIF(d_Status,"مرتجع")/COUNTA(d_Status)</f>
        <v>0.044</v>
      </c>
    </row>
    <row r="22" customFormat="false" ht="21.75" hidden="false" customHeight="true" outlineLevel="0" collapsed="false">
      <c r="A22" s="7" t="s">
        <v>150</v>
      </c>
      <c r="B22" s="8"/>
      <c r="C22" s="8"/>
      <c r="D22" s="8"/>
      <c r="E22" s="8"/>
      <c r="F22" s="8"/>
      <c r="G22" s="8"/>
      <c r="H22" s="8"/>
      <c r="I22" s="8"/>
    </row>
    <row r="23" customFormat="false" ht="33.75" hidden="false" customHeight="true" outlineLevel="0" collapsed="false">
      <c r="A23" s="9" t="s">
        <v>78</v>
      </c>
      <c r="B23" s="9" t="s">
        <v>113</v>
      </c>
      <c r="C23" s="9" t="s">
        <v>128</v>
      </c>
      <c r="D23" s="9" t="s">
        <v>80</v>
      </c>
      <c r="E23" s="9" t="s">
        <v>114</v>
      </c>
      <c r="F23" s="9" t="s">
        <v>82</v>
      </c>
      <c r="G23" s="9" t="s">
        <v>146</v>
      </c>
      <c r="H23" s="9" t="s">
        <v>147</v>
      </c>
      <c r="I23" s="9" t="s">
        <v>148</v>
      </c>
    </row>
    <row r="24" customFormat="false" ht="15" hidden="false" customHeight="false" outlineLevel="0" collapsed="false">
      <c r="A24" s="43" t="s">
        <v>91</v>
      </c>
      <c r="B24" s="42" t="n">
        <f aca="false">SUMIFS(d_Rev,d_Channel,$A24)</f>
        <v>844286.5</v>
      </c>
      <c r="C24" s="44" t="n">
        <f aca="false">IFERROR(B24/B$27,0)</f>
        <v>0.39515615891588</v>
      </c>
      <c r="D24" s="42" t="n">
        <f aca="false">SUMIFS(d_Profit,d_Channel,$A24)</f>
        <v>285611.5</v>
      </c>
      <c r="E24" s="44" t="n">
        <f aca="false">IFERROR(D24/B24,0)</f>
        <v>0.338287417837428</v>
      </c>
      <c r="F24" s="42" t="n">
        <f aca="false">SUMIFS(d_Qty,d_Channel,$A24,d_Status,"مكتمل")</f>
        <v>1533</v>
      </c>
      <c r="G24" s="44" t="n">
        <f aca="false">IFERROR(AVERAGEIFS(d_Disc,d_Channel,$A24),0)</f>
        <v>0.0589163237311386</v>
      </c>
      <c r="H24" s="47" t="n">
        <f aca="false">RANK(B24,$B$24:$B$26)</f>
        <v>1</v>
      </c>
      <c r="I24" s="44" t="n">
        <f aca="false">IFERROR(COUNTIFS(d_Channel,$A24,d_Status,"مرتجع")/COUNTIFS(d_Channel,$A24),0)</f>
        <v>0.0260631001371742</v>
      </c>
    </row>
    <row r="25" customFormat="false" ht="15" hidden="false" customHeight="false" outlineLevel="0" collapsed="false">
      <c r="A25" s="43" t="s">
        <v>93</v>
      </c>
      <c r="B25" s="42" t="n">
        <f aca="false">SUMIFS(d_Rev,d_Channel,$A25)</f>
        <v>830453.5</v>
      </c>
      <c r="C25" s="44" t="n">
        <f aca="false">IFERROR(B25/B$27,0)</f>
        <v>0.388681822128209</v>
      </c>
      <c r="D25" s="42" t="n">
        <f aca="false">SUMIFS(d_Profit,d_Channel,$A25)</f>
        <v>280143.5</v>
      </c>
      <c r="E25" s="44" t="n">
        <f aca="false">IFERROR(D25/B25,0)</f>
        <v>0.337337972565592</v>
      </c>
      <c r="F25" s="42" t="n">
        <f aca="false">SUMIFS(d_Qty,d_Channel,$A25,d_Status,"مكتمل")</f>
        <v>1543</v>
      </c>
      <c r="G25" s="44" t="n">
        <f aca="false">IFERROR(AVERAGEIFS(d_Disc,d_Channel,$A25),0)</f>
        <v>0.0653614457831325</v>
      </c>
      <c r="H25" s="47" t="n">
        <f aca="false">RANK(B25,$B$24:$B$26)</f>
        <v>2</v>
      </c>
      <c r="I25" s="44" t="n">
        <f aca="false">IFERROR(COUNTIFS(d_Channel,$A25,d_Status,"مرتجع")/COUNTIFS(d_Channel,$A25),0)</f>
        <v>0.0647590361445783</v>
      </c>
    </row>
    <row r="26" customFormat="false" ht="15" hidden="false" customHeight="false" outlineLevel="0" collapsed="false">
      <c r="A26" s="43" t="s">
        <v>95</v>
      </c>
      <c r="B26" s="42" t="n">
        <f aca="false">SUMIFS(d_Rev,d_Channel,$A26)</f>
        <v>461849.5</v>
      </c>
      <c r="C26" s="44" t="n">
        <f aca="false">IFERROR(B26/B$27,0)</f>
        <v>0.216162018955911</v>
      </c>
      <c r="D26" s="42" t="n">
        <f aca="false">SUMIFS(d_Profit,d_Channel,$A26)</f>
        <v>149759.5</v>
      </c>
      <c r="E26" s="44" t="n">
        <f aca="false">IFERROR(D26/B26,0)</f>
        <v>0.324260392184034</v>
      </c>
      <c r="F26" s="42" t="n">
        <f aca="false">SUMIFS(d_Qty,d_Channel,$A26,d_Status,"مكتمل")</f>
        <v>1070</v>
      </c>
      <c r="G26" s="44" t="n">
        <f aca="false">IFERROR(AVERAGEIFS(d_Disc,d_Channel,$A26),0)</f>
        <v>0.108878504672897</v>
      </c>
      <c r="H26" s="47" t="n">
        <f aca="false">RANK(B26,$B$24:$B$26)</f>
        <v>3</v>
      </c>
      <c r="I26" s="44" t="n">
        <f aca="false">IFERROR(COUNTIFS(d_Channel,$A26,d_Status,"مرتجع")/COUNTIFS(d_Channel,$A26),0)</f>
        <v>0.0373831775700935</v>
      </c>
    </row>
    <row r="27" customFormat="false" ht="15" hidden="false" customHeight="false" outlineLevel="0" collapsed="false">
      <c r="A27" s="23" t="s">
        <v>122</v>
      </c>
      <c r="B27" s="48" t="n">
        <f aca="false">SUM(B24:B26)</f>
        <v>2136589.5</v>
      </c>
      <c r="C27" s="49" t="n">
        <f aca="false">SUM(C24:C26)</f>
        <v>1</v>
      </c>
      <c r="D27" s="48" t="n">
        <f aca="false">SUM(D24:D26)</f>
        <v>715514.5</v>
      </c>
      <c r="E27" s="49" t="n">
        <f aca="false">IFERROR(D27/B27,0)</f>
        <v>0.334886275533976</v>
      </c>
      <c r="F27" s="48" t="n">
        <f aca="false">SUM(F24:F26)</f>
        <v>4146</v>
      </c>
      <c r="G27" s="49" t="n">
        <f aca="false">AVERAGE(d_Disc)</f>
        <v>0.0653333333333333</v>
      </c>
      <c r="H27" s="23"/>
      <c r="I27" s="49" t="n">
        <f aca="false">COUNTIF(d_Status,"مرتجع")/COUNTA(d_Status)</f>
        <v>0.044</v>
      </c>
    </row>
    <row r="29" customFormat="false" ht="21.75" hidden="false" customHeight="true" outlineLevel="0" collapsed="false">
      <c r="A29" s="7" t="s">
        <v>151</v>
      </c>
      <c r="B29" s="8"/>
      <c r="C29" s="8"/>
      <c r="D29" s="8"/>
      <c r="E29" s="8"/>
      <c r="F29" s="8"/>
      <c r="G29" s="8"/>
      <c r="H29" s="8"/>
      <c r="I29" s="8"/>
    </row>
    <row r="30" customFormat="false" ht="33.75" hidden="false" customHeight="true" outlineLevel="0" collapsed="false">
      <c r="A30" s="9" t="s">
        <v>75</v>
      </c>
      <c r="B30" s="9" t="s">
        <v>90</v>
      </c>
      <c r="C30" s="9" t="s">
        <v>92</v>
      </c>
      <c r="D30" s="9" t="s">
        <v>94</v>
      </c>
      <c r="E30" s="9" t="s">
        <v>96</v>
      </c>
      <c r="F30" s="9" t="s">
        <v>97</v>
      </c>
      <c r="G30" s="9" t="s">
        <v>98</v>
      </c>
      <c r="H30" s="9" t="s">
        <v>122</v>
      </c>
    </row>
    <row r="31" customFormat="false" ht="15" hidden="false" customHeight="false" outlineLevel="0" collapsed="false">
      <c r="A31" s="43" t="s">
        <v>99</v>
      </c>
      <c r="B31" s="42" t="n">
        <f aca="false">SUMIFS(d_Rev,d_Region,$A31,d_Cat,B$30)</f>
        <v>183490</v>
      </c>
      <c r="C31" s="42" t="n">
        <f aca="false">SUMIFS(d_Rev,d_Region,$A31,d_Cat,C$30)</f>
        <v>104532</v>
      </c>
      <c r="D31" s="42" t="n">
        <f aca="false">SUMIFS(d_Rev,d_Region,$A31,d_Cat,D$30)</f>
        <v>134040</v>
      </c>
      <c r="E31" s="42" t="n">
        <f aca="false">SUMIFS(d_Rev,d_Region,$A31,d_Cat,E$30)</f>
        <v>128393.5</v>
      </c>
      <c r="F31" s="42" t="n">
        <f aca="false">SUMIFS(d_Rev,d_Region,$A31,d_Cat,F$30)</f>
        <v>59532</v>
      </c>
      <c r="G31" s="42" t="n">
        <f aca="false">SUMIFS(d_Rev,d_Region,$A31,d_Cat,G$30)</f>
        <v>82939</v>
      </c>
      <c r="H31" s="42" t="n">
        <f aca="false">SUM(B31:G31)</f>
        <v>692926.5</v>
      </c>
    </row>
    <row r="32" customFormat="false" ht="15" hidden="false" customHeight="false" outlineLevel="0" collapsed="false">
      <c r="A32" s="43" t="s">
        <v>100</v>
      </c>
      <c r="B32" s="42" t="n">
        <f aca="false">SUMIFS(d_Rev,d_Region,$A32,d_Cat,B$30)</f>
        <v>148547.5</v>
      </c>
      <c r="C32" s="42" t="n">
        <f aca="false">SUMIFS(d_Rev,d_Region,$A32,d_Cat,C$30)</f>
        <v>53750.5</v>
      </c>
      <c r="D32" s="42" t="n">
        <f aca="false">SUMIFS(d_Rev,d_Region,$A32,d_Cat,D$30)</f>
        <v>160317.5</v>
      </c>
      <c r="E32" s="42" t="n">
        <f aca="false">SUMIFS(d_Rev,d_Region,$A32,d_Cat,E$30)</f>
        <v>81141.5</v>
      </c>
      <c r="F32" s="42" t="n">
        <f aca="false">SUMIFS(d_Rev,d_Region,$A32,d_Cat,F$30)</f>
        <v>58724</v>
      </c>
      <c r="G32" s="42" t="n">
        <f aca="false">SUMIFS(d_Rev,d_Region,$A32,d_Cat,G$30)</f>
        <v>62822</v>
      </c>
      <c r="H32" s="42" t="n">
        <f aca="false">SUM(B32:G32)</f>
        <v>565303</v>
      </c>
    </row>
    <row r="33" customFormat="false" ht="15" hidden="false" customHeight="false" outlineLevel="0" collapsed="false">
      <c r="A33" s="43" t="s">
        <v>101</v>
      </c>
      <c r="B33" s="42" t="n">
        <f aca="false">SUMIFS(d_Rev,d_Region,$A33,d_Cat,B$30)</f>
        <v>123372.5</v>
      </c>
      <c r="C33" s="42" t="n">
        <f aca="false">SUMIFS(d_Rev,d_Region,$A33,d_Cat,C$30)</f>
        <v>58860</v>
      </c>
      <c r="D33" s="42" t="n">
        <f aca="false">SUMIFS(d_Rev,d_Region,$A33,d_Cat,D$30)</f>
        <v>152025</v>
      </c>
      <c r="E33" s="42" t="n">
        <f aca="false">SUMIFS(d_Rev,d_Region,$A33,d_Cat,E$30)</f>
        <v>47357.5</v>
      </c>
      <c r="F33" s="42" t="n">
        <f aca="false">SUMIFS(d_Rev,d_Region,$A33,d_Cat,F$30)</f>
        <v>44036</v>
      </c>
      <c r="G33" s="42" t="n">
        <f aca="false">SUMIFS(d_Rev,d_Region,$A33,d_Cat,G$30)</f>
        <v>73796</v>
      </c>
      <c r="H33" s="42" t="n">
        <f aca="false">SUM(B33:G33)</f>
        <v>499447</v>
      </c>
    </row>
    <row r="34" customFormat="false" ht="15" hidden="false" customHeight="false" outlineLevel="0" collapsed="false">
      <c r="A34" s="43" t="s">
        <v>102</v>
      </c>
      <c r="B34" s="42" t="n">
        <f aca="false">SUMIFS(d_Rev,d_Region,$A34,d_Cat,B$30)</f>
        <v>69242.5</v>
      </c>
      <c r="C34" s="42" t="n">
        <f aca="false">SUMIFS(d_Rev,d_Region,$A34,d_Cat,C$30)</f>
        <v>43646.5</v>
      </c>
      <c r="D34" s="42" t="n">
        <f aca="false">SUMIFS(d_Rev,d_Region,$A34,d_Cat,D$30)</f>
        <v>137310</v>
      </c>
      <c r="E34" s="42" t="n">
        <f aca="false">SUMIFS(d_Rev,d_Region,$A34,d_Cat,E$30)</f>
        <v>76726</v>
      </c>
      <c r="F34" s="42" t="n">
        <f aca="false">SUMIFS(d_Rev,d_Region,$A34,d_Cat,F$30)</f>
        <v>24774</v>
      </c>
      <c r="G34" s="42" t="n">
        <f aca="false">SUMIFS(d_Rev,d_Region,$A34,d_Cat,G$30)</f>
        <v>27214</v>
      </c>
      <c r="H34" s="42" t="n">
        <f aca="false">SUM(B34:G34)</f>
        <v>378913</v>
      </c>
    </row>
    <row r="35" customFormat="false" ht="15" hidden="false" customHeight="false" outlineLevel="0" collapsed="false">
      <c r="A35" s="23" t="s">
        <v>122</v>
      </c>
      <c r="B35" s="48" t="n">
        <f aca="false">SUM(B31:B34)</f>
        <v>524652.5</v>
      </c>
      <c r="C35" s="48" t="n">
        <f aca="false">SUM(C31:C34)</f>
        <v>260789</v>
      </c>
      <c r="D35" s="48" t="n">
        <f aca="false">SUM(D31:D34)</f>
        <v>583692.5</v>
      </c>
      <c r="E35" s="48" t="n">
        <f aca="false">SUM(E31:E34)</f>
        <v>333618.5</v>
      </c>
      <c r="F35" s="48" t="n">
        <f aca="false">SUM(F31:F34)</f>
        <v>187066</v>
      </c>
      <c r="G35" s="48" t="n">
        <f aca="false">SUM(G31:G34)</f>
        <v>246771</v>
      </c>
      <c r="H35" s="48" t="n">
        <f aca="false">SUM(H31:H34)</f>
        <v>2136589.5</v>
      </c>
    </row>
    <row r="37" customFormat="false" ht="21.75" hidden="false" customHeight="true" outlineLevel="0" collapsed="false">
      <c r="A37" s="7" t="s">
        <v>152</v>
      </c>
      <c r="B37" s="8"/>
      <c r="C37" s="8"/>
      <c r="D37" s="8"/>
      <c r="E37" s="8"/>
      <c r="F37" s="8"/>
      <c r="G37" s="8"/>
      <c r="H37" s="8"/>
      <c r="I37" s="8"/>
    </row>
    <row r="38" customFormat="false" ht="33.75" hidden="false" customHeight="true" outlineLevel="0" collapsed="false">
      <c r="A38" s="9" t="s">
        <v>75</v>
      </c>
      <c r="B38" s="9" t="s">
        <v>90</v>
      </c>
      <c r="C38" s="9" t="s">
        <v>92</v>
      </c>
      <c r="D38" s="9" t="s">
        <v>94</v>
      </c>
      <c r="E38" s="9" t="s">
        <v>96</v>
      </c>
      <c r="F38" s="9" t="s">
        <v>97</v>
      </c>
      <c r="G38" s="9" t="s">
        <v>98</v>
      </c>
      <c r="H38" s="9" t="s">
        <v>122</v>
      </c>
    </row>
    <row r="39" customFormat="false" ht="15" hidden="false" customHeight="false" outlineLevel="0" collapsed="false">
      <c r="A39" s="43" t="s">
        <v>99</v>
      </c>
      <c r="B39" s="44" t="n">
        <f aca="false">IFERROR(SUMIFS(d_Profit,d_Region,$A39,d_Cat,B$38)/SUMIFS(d_Rev,d_Region,$A39,d_Cat,B$38),0)</f>
        <v>0.243882500408742</v>
      </c>
      <c r="C39" s="44" t="n">
        <f aca="false">IFERROR(SUMIFS(d_Profit,d_Region,$A39,d_Cat,C$38)/SUMIFS(d_Rev,d_Region,$A39,d_Cat,C$38),0)</f>
        <v>0.313176826235029</v>
      </c>
      <c r="D39" s="44" t="n">
        <f aca="false">IFERROR(SUMIFS(d_Profit,d_Region,$A39,d_Cat,D$38)/SUMIFS(d_Rev,d_Region,$A39,d_Cat,D$38),0)</f>
        <v>0.37354521038496</v>
      </c>
      <c r="E39" s="44" t="n">
        <f aca="false">IFERROR(SUMIFS(d_Profit,d_Region,$A39,d_Cat,E$38)/SUMIFS(d_Rev,d_Region,$A39,d_Cat,E$38),0)</f>
        <v>0.316476301370396</v>
      </c>
      <c r="F39" s="44" t="n">
        <f aca="false">IFERROR(SUMIFS(d_Profit,d_Region,$A39,d_Cat,F$38)/SUMIFS(d_Rev,d_Region,$A39,d_Cat,F$38),0)</f>
        <v>0.351273264798764</v>
      </c>
      <c r="G39" s="44" t="n">
        <f aca="false">IFERROR(SUMIFS(d_Profit,d_Region,$A39,d_Cat,G$38)/SUMIFS(d_Rev,d_Region,$A39,d_Cat,G$38),0)</f>
        <v>0.480582114566127</v>
      </c>
      <c r="H39" s="44" t="n">
        <f aca="false">IFERROR(SUMIFS(d_Profit,d_Region,$A39)/SUMIFS(d_Rev,d_Region,$A39),0)</f>
        <v>0.33042682016058</v>
      </c>
    </row>
    <row r="40" customFormat="false" ht="15" hidden="false" customHeight="false" outlineLevel="0" collapsed="false">
      <c r="A40" s="43" t="s">
        <v>100</v>
      </c>
      <c r="B40" s="44" t="n">
        <f aca="false">IFERROR(SUMIFS(d_Profit,d_Region,$A40,d_Cat,B$38)/SUMIFS(d_Rev,d_Region,$A40,d_Cat,B$38),0)</f>
        <v>0.23196284016897</v>
      </c>
      <c r="C40" s="44" t="n">
        <f aca="false">IFERROR(SUMIFS(d_Profit,d_Region,$A40,d_Cat,C$38)/SUMIFS(d_Rev,d_Region,$A40,d_Cat,C$38),0)</f>
        <v>0.337029422982112</v>
      </c>
      <c r="D40" s="44" t="n">
        <f aca="false">IFERROR(SUMIFS(d_Profit,d_Region,$A40,d_Cat,D$38)/SUMIFS(d_Rev,d_Region,$A40,d_Cat,D$38),0)</f>
        <v>0.379169460601619</v>
      </c>
      <c r="E40" s="44" t="n">
        <f aca="false">IFERROR(SUMIFS(d_Profit,d_Region,$A40,d_Cat,E$38)/SUMIFS(d_Rev,d_Region,$A40,d_Cat,E$38),0)</f>
        <v>0.310032474134691</v>
      </c>
      <c r="F40" s="44" t="n">
        <f aca="false">IFERROR(SUMIFS(d_Profit,d_Region,$A40,d_Cat,F$38)/SUMIFS(d_Rev,d_Region,$A40,d_Cat,F$38),0)</f>
        <v>0.331108235133846</v>
      </c>
      <c r="G40" s="44" t="n">
        <f aca="false">IFERROR(SUMIFS(d_Profit,d_Region,$A40,d_Cat,G$38)/SUMIFS(d_Rev,d_Region,$A40,d_Cat,G$38),0)</f>
        <v>0.461653560854478</v>
      </c>
      <c r="H40" s="44" t="n">
        <f aca="false">IFERROR(SUMIFS(d_Profit,d_Region,$A40)/SUMIFS(d_Rev,d_Region,$A40),0)</f>
        <v>0.3307305993423</v>
      </c>
    </row>
    <row r="41" customFormat="false" ht="15" hidden="false" customHeight="false" outlineLevel="0" collapsed="false">
      <c r="A41" s="43" t="s">
        <v>101</v>
      </c>
      <c r="B41" s="44" t="n">
        <f aca="false">IFERROR(SUMIFS(d_Profit,d_Region,$A41,d_Cat,B$38)/SUMIFS(d_Rev,d_Region,$A41,d_Cat,B$38),0)</f>
        <v>0.237836632961154</v>
      </c>
      <c r="C41" s="44" t="n">
        <f aca="false">IFERROR(SUMIFS(d_Profit,d_Region,$A41,d_Cat,C$38)/SUMIFS(d_Rev,d_Region,$A41,d_Cat,C$38),0)</f>
        <v>0.320506286102616</v>
      </c>
      <c r="D41" s="44" t="n">
        <f aca="false">IFERROR(SUMIFS(d_Profit,d_Region,$A41,d_Cat,D$38)/SUMIFS(d_Rev,d_Region,$A41,d_Cat,D$38),0)</f>
        <v>0.367143561914159</v>
      </c>
      <c r="E41" s="44" t="n">
        <f aca="false">IFERROR(SUMIFS(d_Profit,d_Region,$A41,d_Cat,E$38)/SUMIFS(d_Rev,d_Region,$A41,d_Cat,E$38),0)</f>
        <v>0.302539196536979</v>
      </c>
      <c r="F41" s="44" t="n">
        <f aca="false">IFERROR(SUMIFS(d_Profit,d_Region,$A41,d_Cat,F$38)/SUMIFS(d_Rev,d_Region,$A41,d_Cat,F$38),0)</f>
        <v>0.330093559814697</v>
      </c>
      <c r="G41" s="44" t="n">
        <f aca="false">IFERROR(SUMIFS(d_Profit,d_Region,$A41,d_Cat,G$38)/SUMIFS(d_Rev,d_Region,$A41,d_Cat,G$38),0)</f>
        <v>0.481814732505827</v>
      </c>
      <c r="H41" s="44" t="n">
        <f aca="false">IFERROR(SUMIFS(d_Profit,d_Region,$A41)/SUMIFS(d_Rev,d_Region,$A41),0)</f>
        <v>0.337257006248911</v>
      </c>
    </row>
    <row r="42" customFormat="false" ht="15" hidden="false" customHeight="false" outlineLevel="0" collapsed="false">
      <c r="A42" s="43" t="s">
        <v>102</v>
      </c>
      <c r="B42" s="44" t="n">
        <f aca="false">IFERROR(SUMIFS(d_Profit,d_Region,$A42,d_Cat,B$38)/SUMIFS(d_Rev,d_Region,$A42,d_Cat,B$38),0)</f>
        <v>0.212766725638156</v>
      </c>
      <c r="C42" s="44" t="n">
        <f aca="false">IFERROR(SUMIFS(d_Profit,d_Region,$A42,d_Cat,C$38)/SUMIFS(d_Rev,d_Region,$A42,d_Cat,C$38),0)</f>
        <v>0.311628652927497</v>
      </c>
      <c r="D42" s="44" t="n">
        <f aca="false">IFERROR(SUMIFS(d_Profit,d_Region,$A42,d_Cat,D$38)/SUMIFS(d_Rev,d_Region,$A42,d_Cat,D$38),0)</f>
        <v>0.386060738474984</v>
      </c>
      <c r="E42" s="44" t="n">
        <f aca="false">IFERROR(SUMIFS(d_Profit,d_Region,$A42,d_Cat,E$38)/SUMIFS(d_Rev,d_Region,$A42,d_Cat,E$38),0)</f>
        <v>0.358366134035399</v>
      </c>
      <c r="F42" s="44" t="n">
        <f aca="false">IFERROR(SUMIFS(d_Profit,d_Region,$A42,d_Cat,F$38)/SUMIFS(d_Rev,d_Region,$A42,d_Cat,F$38),0)</f>
        <v>0.377976911277953</v>
      </c>
      <c r="G42" s="44" t="n">
        <f aca="false">IFERROR(SUMIFS(d_Profit,d_Region,$A42,d_Cat,G$38)/SUMIFS(d_Rev,d_Region,$A42,d_Cat,G$38),0)</f>
        <v>0.475637539501727</v>
      </c>
      <c r="H42" s="44" t="n">
        <f aca="false">IFERROR(SUMIFS(d_Profit,d_Region,$A42)/SUMIFS(d_Rev,d_Region,$A42),0)</f>
        <v>0.34611639083378</v>
      </c>
    </row>
  </sheetData>
  <mergeCells count="2">
    <mergeCell ref="A1:I1"/>
    <mergeCell ref="B2:I2"/>
  </mergeCells>
  <conditionalFormatting sqref="B6:B11">
    <cfRule type="dataBar" priority="2">
      <dataBar showValue="1" minLength="10" maxLength="90">
        <cfvo type="num" val="0"/>
        <cfvo type="max" val="0"/>
        <color rgb="FF2A9D8F"/>
      </dataBar>
      <extLst>
        <ext xmlns:x14="http://schemas.microsoft.com/office/spreadsheetml/2009/9/main" uri="{B025F937-C7B1-47D3-B67F-A62EFF666E3E}">
          <x14:id>{ACCE7D3D-61C1-4FC4-97D0-2AD7CE723928}</x14:id>
        </ext>
      </extLst>
    </cfRule>
  </conditionalFormatting>
  <conditionalFormatting sqref="E6:E11">
    <cfRule type="colorScale" priority="3">
      <colorScale>
        <cfvo type="min" val="0"/>
        <cfvo type="percentile" val="50"/>
        <cfvo type="max" val="0"/>
        <color rgb="FFF8CBAD"/>
        <color rgb="FFFFFFFF"/>
        <color rgb="FFA9D18E"/>
      </colorScale>
    </cfRule>
  </conditionalFormatting>
  <conditionalFormatting sqref="I6:I11">
    <cfRule type="colorScale" priority="4">
      <colorScale>
        <cfvo type="min" val="0"/>
        <cfvo type="max" val="0"/>
        <color rgb="FFFFFFFF"/>
        <color rgb="FFF4A261"/>
      </colorScale>
    </cfRule>
  </conditionalFormatting>
  <conditionalFormatting sqref="B16:B19">
    <cfRule type="dataBar" priority="5">
      <dataBar showValue="1" minLength="10" maxLength="90">
        <cfvo type="num" val="0"/>
        <cfvo type="max" val="0"/>
        <color rgb="FF2A9D8F"/>
      </dataBar>
      <extLst>
        <ext xmlns:x14="http://schemas.microsoft.com/office/spreadsheetml/2009/9/main" uri="{B025F937-C7B1-47D3-B67F-A62EFF666E3E}">
          <x14:id>{707119A9-D3BD-4580-9849-6B714446A621}</x14:id>
        </ext>
      </extLst>
    </cfRule>
  </conditionalFormatting>
  <conditionalFormatting sqref="E16:E19">
    <cfRule type="colorScale" priority="6">
      <colorScale>
        <cfvo type="min" val="0"/>
        <cfvo type="percentile" val="50"/>
        <cfvo type="max" val="0"/>
        <color rgb="FFF8CBAD"/>
        <color rgb="FFFFFFFF"/>
        <color rgb="FFA9D18E"/>
      </colorScale>
    </cfRule>
  </conditionalFormatting>
  <conditionalFormatting sqref="I16:I19">
    <cfRule type="colorScale" priority="7">
      <colorScale>
        <cfvo type="min" val="0"/>
        <cfvo type="max" val="0"/>
        <color rgb="FFFFFFFF"/>
        <color rgb="FFF4A261"/>
      </colorScale>
    </cfRule>
  </conditionalFormatting>
  <conditionalFormatting sqref="B24:B26">
    <cfRule type="dataBar" priority="8">
      <dataBar showValue="1" minLength="10" maxLength="90">
        <cfvo type="num" val="0"/>
        <cfvo type="max" val="0"/>
        <color rgb="FF2A9D8F"/>
      </dataBar>
      <extLst>
        <ext xmlns:x14="http://schemas.microsoft.com/office/spreadsheetml/2009/9/main" uri="{B025F937-C7B1-47D3-B67F-A62EFF666E3E}">
          <x14:id>{8FD8BF7C-8C4A-48A4-AA19-C128C1486C24}</x14:id>
        </ext>
      </extLst>
    </cfRule>
  </conditionalFormatting>
  <conditionalFormatting sqref="E24:E26">
    <cfRule type="colorScale" priority="9">
      <colorScale>
        <cfvo type="min" val="0"/>
        <cfvo type="percentile" val="50"/>
        <cfvo type="max" val="0"/>
        <color rgb="FFF8CBAD"/>
        <color rgb="FFFFFFFF"/>
        <color rgb="FFA9D18E"/>
      </colorScale>
    </cfRule>
  </conditionalFormatting>
  <conditionalFormatting sqref="I24:I26">
    <cfRule type="colorScale" priority="10">
      <colorScale>
        <cfvo type="min" val="0"/>
        <cfvo type="max" val="0"/>
        <color rgb="FFFFFFFF"/>
        <color rgb="FFF4A261"/>
      </colorScale>
    </cfRule>
  </conditionalFormatting>
  <conditionalFormatting sqref="B31:G34">
    <cfRule type="colorScale" priority="11">
      <colorScale>
        <cfvo type="min" val="0"/>
        <cfvo type="percentile" val="50"/>
        <cfvo type="max" val="0"/>
        <color rgb="FFFFFFFF"/>
        <color rgb="FFFFE699"/>
        <color rgb="FFF4A261"/>
      </colorScale>
    </cfRule>
  </conditionalFormatting>
  <conditionalFormatting sqref="B39:G42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hyperlinks>
    <hyperlink ref="A2" location="'الفهرس'!A1" display="↩ الفهرس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CE7D3D-61C1-4FC4-97D0-2AD7CE723928}">
            <x14:dataBar minLength="10" maxLength="90" axisPosition="none" gradient="true">
              <x14:cfvo type="num">
                <xm:f>0</xm:f>
              </x14:cfvo>
              <x14:cfvo type="max"/>
              <x14:negativeFillColor rgb="FF2A9D8F"/>
              <x14:axisColor rgb="FF000000"/>
            </x14:dataBar>
          </x14:cfRule>
          <xm:sqref>B6:B11</xm:sqref>
        </x14:conditionalFormatting>
        <x14:conditionalFormatting xmlns:xm="http://schemas.microsoft.com/office/excel/2006/main">
          <x14:cfRule type="dataBar" id="{707119A9-D3BD-4580-9849-6B714446A621}">
            <x14:dataBar minLength="10" maxLength="90" axisPosition="none" gradient="true">
              <x14:cfvo type="num">
                <xm:f>0</xm:f>
              </x14:cfvo>
              <x14:cfvo type="max"/>
              <x14:negativeFillColor rgb="FF2A9D8F"/>
              <x14:axisColor rgb="FF000000"/>
            </x14:dataBar>
          </x14:cfRule>
          <xm:sqref>B16:B19</xm:sqref>
        </x14:conditionalFormatting>
        <x14:conditionalFormatting xmlns:xm="http://schemas.microsoft.com/office/excel/2006/main">
          <x14:cfRule type="dataBar" id="{8FD8BF7C-8C4A-48A4-AA19-C128C1486C24}">
            <x14:dataBar minLength="10" maxLength="90" axisPosition="none" gradient="true">
              <x14:cfvo type="num">
                <xm:f>0</xm:f>
              </x14:cfvo>
              <x14:cfvo type="max"/>
              <x14:negativeFillColor rgb="FF2A9D8F"/>
              <x14:axisColor rgb="FF000000"/>
            </x14:dataBar>
          </x14:cfRule>
          <xm:sqref>B24:B26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C46A"/>
    <pageSetUpPr fitToPage="true"/>
  </sheetPr>
  <dimension ref="A1:Q3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7"/>
    <col collapsed="false" customWidth="true" hidden="false" outlineLevel="0" max="10" min="10" style="0" width="3"/>
    <col collapsed="false" customWidth="true" hidden="false" outlineLevel="0" max="11" min="11" style="0" width="10"/>
    <col collapsed="false" customWidth="true" hidden="false" outlineLevel="0" max="12" min="12" style="0" width="20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6" min="15" style="0" width="11"/>
    <col collapsed="false" customWidth="true" hidden="false" outlineLevel="0" max="17" min="17" style="0" width="10"/>
  </cols>
  <sheetData>
    <row r="1" customFormat="false" ht="33.75" hidden="false" customHeight="true" outlineLevel="0" collapsed="false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A2" s="2" t="s">
        <v>1</v>
      </c>
      <c r="B2" s="3" t="s">
        <v>154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customFormat="false" ht="21.75" hidden="false" customHeight="true" outlineLevel="0" collapsed="false">
      <c r="A4" s="7" t="s">
        <v>155</v>
      </c>
      <c r="B4" s="8"/>
      <c r="C4" s="8"/>
      <c r="D4" s="8"/>
      <c r="E4" s="8"/>
      <c r="F4" s="8"/>
      <c r="G4" s="8"/>
      <c r="H4" s="8"/>
      <c r="I4" s="8"/>
      <c r="K4" s="7" t="s">
        <v>156</v>
      </c>
      <c r="L4" s="8"/>
      <c r="M4" s="8"/>
      <c r="N4" s="8"/>
      <c r="O4" s="8"/>
      <c r="P4" s="8"/>
      <c r="Q4" s="8"/>
    </row>
    <row r="5" customFormat="false" ht="33.75" hidden="false" customHeight="true" outlineLevel="0" collapsed="false">
      <c r="A5" s="9" t="s">
        <v>157</v>
      </c>
      <c r="B5" s="9" t="s">
        <v>158</v>
      </c>
      <c r="C5" s="9" t="s">
        <v>77</v>
      </c>
      <c r="D5" s="9" t="s">
        <v>159</v>
      </c>
      <c r="E5" s="9" t="s">
        <v>113</v>
      </c>
      <c r="F5" s="9" t="s">
        <v>80</v>
      </c>
      <c r="G5" s="9" t="s">
        <v>114</v>
      </c>
      <c r="H5" s="9" t="s">
        <v>147</v>
      </c>
      <c r="I5" s="9" t="s">
        <v>160</v>
      </c>
      <c r="K5" s="9" t="s">
        <v>147</v>
      </c>
      <c r="L5" s="9" t="s">
        <v>158</v>
      </c>
      <c r="M5" s="9" t="s">
        <v>113</v>
      </c>
      <c r="N5" s="9" t="s">
        <v>128</v>
      </c>
      <c r="O5" s="9" t="s">
        <v>161</v>
      </c>
      <c r="P5" s="9" t="s">
        <v>162</v>
      </c>
      <c r="Q5" s="9" t="s">
        <v>163</v>
      </c>
    </row>
    <row r="6" customFormat="false" ht="15" hidden="false" customHeight="false" outlineLevel="0" collapsed="false">
      <c r="A6" s="41" t="s">
        <v>164</v>
      </c>
      <c r="B6" s="43" t="str">
        <f aca="false">INDEX(p_Name,MATCH($A6,p_ID,0))</f>
        <v>هاتف ذكي</v>
      </c>
      <c r="C6" s="41" t="str">
        <f aca="false">INDEX(p_Cat,MATCH($A6,p_ID,0))</f>
        <v>إلكترونيات</v>
      </c>
      <c r="D6" s="42" t="n">
        <f aca="false">SUMIFS(d_Qty,d_PID,$A6,d_Status,"مكتمل")</f>
        <v>83</v>
      </c>
      <c r="E6" s="42" t="n">
        <f aca="false">SUMIFS(d_Rev,d_PID,$A6)</f>
        <v>186000</v>
      </c>
      <c r="F6" s="42" t="n">
        <f aca="false">SUMIFS(d_Profit,d_PID,$A6)</f>
        <v>40750</v>
      </c>
      <c r="G6" s="44" t="n">
        <f aca="false">IFERROR(F6/E6,0)</f>
        <v>0.219086021505376</v>
      </c>
      <c r="H6" s="47" t="n">
        <f aca="false">RANK(E6,$E$6:$E$29)+COUNTIF($E$6:E6,E6)-1</f>
        <v>2</v>
      </c>
      <c r="I6" s="41" t="str">
        <f aca="false">IF(E6&gt;=AVERAGE($E$6:$E$29),IF(G6&gt;=$G$30,"نجم","حجم بلا ربحية"),IF(G6&gt;=$G$30,"فرصة نمو","يحتاج مراجعة"))</f>
        <v>حجم بلا ربحية</v>
      </c>
      <c r="K6" s="47" t="n">
        <v>1</v>
      </c>
      <c r="L6" s="43" t="str">
        <f aca="false">INDEX($B$6:$B$29,MATCH($K6,$H$6:$H$29,0))</f>
        <v>مكتب عمل</v>
      </c>
      <c r="M6" s="42" t="n">
        <f aca="false">INDEX($E$6:$E$29,MATCH($K6,$H$6:$H$29,0))</f>
        <v>243780</v>
      </c>
      <c r="N6" s="44" t="n">
        <f aca="false">IFERROR(M6/$E$30,0)</f>
        <v>0.114097724434198</v>
      </c>
      <c r="O6" s="44" t="n">
        <f aca="false">SUM($N$6:N6)</f>
        <v>0.114097724434198</v>
      </c>
      <c r="P6" s="43" t="str">
        <f aca="false">IF(O6-N6&lt;0.8,"A",IF(O6-N6&lt;0.95,"B","C"))</f>
        <v>A</v>
      </c>
      <c r="Q6" s="44" t="n">
        <f aca="false">INDEX($G$6:$G$29,MATCH($K6,$H$6:$H$29,0))</f>
        <v>0.376897202395603</v>
      </c>
    </row>
    <row r="7" customFormat="false" ht="15" hidden="false" customHeight="false" outlineLevel="0" collapsed="false">
      <c r="A7" s="41" t="s">
        <v>165</v>
      </c>
      <c r="B7" s="43" t="str">
        <f aca="false">INDEX(p_Name,MATCH($A7,p_ID,0))</f>
        <v>حاسوب محمول</v>
      </c>
      <c r="C7" s="41" t="str">
        <f aca="false">INDEX(p_Cat,MATCH($A7,p_ID,0))</f>
        <v>إلكترونيات</v>
      </c>
      <c r="D7" s="42" t="n">
        <f aca="false">SUMIFS(d_Qty,d_PID,$A7,d_Status,"مكتمل")</f>
        <v>33</v>
      </c>
      <c r="E7" s="42" t="n">
        <f aca="false">SUMIFS(d_Rev,d_PID,$A7)</f>
        <v>117610</v>
      </c>
      <c r="F7" s="42" t="n">
        <f aca="false">SUMIFS(d_Profit,d_PID,$A7)</f>
        <v>21910</v>
      </c>
      <c r="G7" s="44" t="n">
        <f aca="false">IFERROR(F7/E7,0)</f>
        <v>0.186293682509991</v>
      </c>
      <c r="H7" s="47" t="n">
        <f aca="false">RANK(E7,$E$6:$E$29)+COUNTIF($E$6:E7,E7)-1</f>
        <v>5</v>
      </c>
      <c r="I7" s="41" t="str">
        <f aca="false">IF(E7&gt;=AVERAGE($E$6:$E$29),IF(G7&gt;=$G$30,"نجم","حجم بلا ربحية"),IF(G7&gt;=$G$30,"فرصة نمو","يحتاج مراجعة"))</f>
        <v>حجم بلا ربحية</v>
      </c>
      <c r="K7" s="47" t="n">
        <v>2</v>
      </c>
      <c r="L7" s="43" t="str">
        <f aca="false">INDEX($B$6:$B$29,MATCH($K7,$H$6:$H$29,0))</f>
        <v>هاتف ذكي</v>
      </c>
      <c r="M7" s="42" t="n">
        <f aca="false">INDEX($E$6:$E$29,MATCH($K7,$H$6:$H$29,0))</f>
        <v>186000</v>
      </c>
      <c r="N7" s="44" t="n">
        <f aca="false">IFERROR(M7/$E$30,0)</f>
        <v>0.0870546260758091</v>
      </c>
      <c r="O7" s="44" t="n">
        <f aca="false">SUM($N$6:N7)</f>
        <v>0.201152350510007</v>
      </c>
      <c r="P7" s="43" t="str">
        <f aca="false">IF(O7-N7&lt;0.8,"A",IF(O7-N7&lt;0.95,"B","C"))</f>
        <v>A</v>
      </c>
      <c r="Q7" s="44" t="n">
        <f aca="false">INDEX($G$6:$G$29,MATCH($K7,$H$6:$H$29,0))</f>
        <v>0.219086021505376</v>
      </c>
    </row>
    <row r="8" customFormat="false" ht="15" hidden="false" customHeight="false" outlineLevel="0" collapsed="false">
      <c r="A8" s="41" t="s">
        <v>166</v>
      </c>
      <c r="B8" s="43" t="str">
        <f aca="false">INDEX(p_Name,MATCH($A8,p_ID,0))</f>
        <v>سماعات لاسلكية</v>
      </c>
      <c r="C8" s="41" t="str">
        <f aca="false">INDEX(p_Cat,MATCH($A8,p_ID,0))</f>
        <v>إلكترونيات</v>
      </c>
      <c r="D8" s="42" t="n">
        <f aca="false">SUMIFS(d_Qty,d_PID,$A8,d_Status,"مكتمل")</f>
        <v>185</v>
      </c>
      <c r="E8" s="42" t="n">
        <f aca="false">SUMIFS(d_Rev,d_PID,$A8)</f>
        <v>77107.5</v>
      </c>
      <c r="F8" s="42" t="n">
        <f aca="false">SUMIFS(d_Profit,d_PID,$A8)</f>
        <v>29007.5</v>
      </c>
      <c r="G8" s="44" t="n">
        <f aca="false">IFERROR(F8/E8,0)</f>
        <v>0.376195571118244</v>
      </c>
      <c r="H8" s="47" t="n">
        <f aca="false">RANK(E8,$E$6:$E$29)+COUNTIF($E$6:E8,E8)-1</f>
        <v>10</v>
      </c>
      <c r="I8" s="41" t="str">
        <f aca="false">IF(E8&gt;=AVERAGE($E$6:$E$29),IF(G8&gt;=$G$30,"نجم","حجم بلا ربحية"),IF(G8&gt;=$G$30,"فرصة نمو","يحتاج مراجعة"))</f>
        <v>فرصة نمو</v>
      </c>
      <c r="K8" s="47" t="n">
        <v>3</v>
      </c>
      <c r="L8" s="43" t="str">
        <f aca="false">INDEX($B$6:$B$29,MATCH($K8,$H$6:$H$29,0))</f>
        <v>طابعة ليزر</v>
      </c>
      <c r="M8" s="42" t="n">
        <f aca="false">INDEX($E$6:$E$29,MATCH($K8,$H$6:$H$29,0))</f>
        <v>161915</v>
      </c>
      <c r="N8" s="44" t="n">
        <f aca="false">IFERROR(M8/$E$30,0)</f>
        <v>0.07578198807024</v>
      </c>
      <c r="O8" s="44" t="n">
        <f aca="false">SUM($N$6:N8)</f>
        <v>0.276934338580247</v>
      </c>
      <c r="P8" s="43" t="str">
        <f aca="false">IF(O8-N8&lt;0.8,"A",IF(O8-N8&lt;0.95,"B","C"))</f>
        <v>A</v>
      </c>
      <c r="Q8" s="44" t="n">
        <f aca="false">INDEX($G$6:$G$29,MATCH($K8,$H$6:$H$29,0))</f>
        <v>0.225519562733533</v>
      </c>
    </row>
    <row r="9" customFormat="false" ht="15" hidden="false" customHeight="false" outlineLevel="0" collapsed="false">
      <c r="A9" s="41" t="s">
        <v>167</v>
      </c>
      <c r="B9" s="43" t="str">
        <f aca="false">INDEX(p_Name,MATCH($A9,p_ID,0))</f>
        <v>شاشة 27 بوصة</v>
      </c>
      <c r="C9" s="41" t="str">
        <f aca="false">INDEX(p_Cat,MATCH($A9,p_ID,0))</f>
        <v>إلكترونيات</v>
      </c>
      <c r="D9" s="42" t="n">
        <f aca="false">SUMIFS(d_Qty,d_PID,$A9,d_Status,"مكتمل")</f>
        <v>144</v>
      </c>
      <c r="E9" s="42" t="n">
        <f aca="false">SUMIFS(d_Rev,d_PID,$A9)</f>
        <v>143935</v>
      </c>
      <c r="F9" s="42" t="n">
        <f aca="false">SUMIFS(d_Profit,d_PID,$A9)</f>
        <v>31615</v>
      </c>
      <c r="G9" s="44" t="n">
        <f aca="false">IFERROR(F9/E9,0)</f>
        <v>0.219647757668392</v>
      </c>
      <c r="H9" s="47" t="n">
        <f aca="false">RANK(E9,$E$6:$E$29)+COUNTIF($E$6:E9,E9)-1</f>
        <v>4</v>
      </c>
      <c r="I9" s="41" t="str">
        <f aca="false">IF(E9&gt;=AVERAGE($E$6:$E$29),IF(G9&gt;=$G$30,"نجم","حجم بلا ربحية"),IF(G9&gt;=$G$30,"فرصة نمو","يحتاج مراجعة"))</f>
        <v>حجم بلا ربحية</v>
      </c>
      <c r="K9" s="47" t="n">
        <v>4</v>
      </c>
      <c r="L9" s="43" t="str">
        <f aca="false">INDEX($B$6:$B$29,MATCH($K9,$H$6:$H$29,0))</f>
        <v>شاشة 27 بوصة</v>
      </c>
      <c r="M9" s="42" t="n">
        <f aca="false">INDEX($E$6:$E$29,MATCH($K9,$H$6:$H$29,0))</f>
        <v>143935</v>
      </c>
      <c r="N9" s="44" t="n">
        <f aca="false">IFERROR(M9/$E$30,0)</f>
        <v>0.0673667075495784</v>
      </c>
      <c r="O9" s="44" t="n">
        <f aca="false">SUM($N$6:N9)</f>
        <v>0.344301046129825</v>
      </c>
      <c r="P9" s="43" t="str">
        <f aca="false">IF(O9-N9&lt;0.8,"A",IF(O9-N9&lt;0.95,"B","C"))</f>
        <v>A</v>
      </c>
      <c r="Q9" s="44" t="n">
        <f aca="false">INDEX($G$6:$G$29,MATCH($K9,$H$6:$H$29,0))</f>
        <v>0.219647757668392</v>
      </c>
    </row>
    <row r="10" customFormat="false" ht="15" hidden="false" customHeight="false" outlineLevel="0" collapsed="false">
      <c r="A10" s="41" t="s">
        <v>168</v>
      </c>
      <c r="B10" s="43" t="str">
        <f aca="false">INDEX(p_Name,MATCH($A10,p_ID,0))</f>
        <v>مكنسة كهربائية</v>
      </c>
      <c r="C10" s="41" t="str">
        <f aca="false">INDEX(p_Cat,MATCH($A10,p_ID,0))</f>
        <v>أجهزة منزلية</v>
      </c>
      <c r="D10" s="42" t="n">
        <f aca="false">SUMIFS(d_Qty,d_PID,$A10,d_Status,"مكتمل")</f>
        <v>131</v>
      </c>
      <c r="E10" s="42" t="n">
        <f aca="false">SUMIFS(d_Rev,d_PID,$A10)</f>
        <v>79625</v>
      </c>
      <c r="F10" s="42" t="n">
        <f aca="false">SUMIFS(d_Profit,d_PID,$A10)</f>
        <v>24605</v>
      </c>
      <c r="G10" s="44" t="n">
        <f aca="false">IFERROR(F10/E10,0)</f>
        <v>0.309010989010989</v>
      </c>
      <c r="H10" s="47" t="n">
        <f aca="false">RANK(E10,$E$6:$E$29)+COUNTIF($E$6:E10,E10)-1</f>
        <v>9</v>
      </c>
      <c r="I10" s="41" t="str">
        <f aca="false">IF(E10&gt;=AVERAGE($E$6:$E$29),IF(G10&gt;=$G$30,"نجم","حجم بلا ربحية"),IF(G10&gt;=$G$30,"فرصة نمو","يحتاج مراجعة"))</f>
        <v>يحتاج مراجعة</v>
      </c>
      <c r="K10" s="47" t="n">
        <v>5</v>
      </c>
      <c r="L10" s="43" t="str">
        <f aca="false">INDEX($B$6:$B$29,MATCH($K10,$H$6:$H$29,0))</f>
        <v>حاسوب محمول</v>
      </c>
      <c r="M10" s="42" t="n">
        <f aca="false">INDEX($E$6:$E$29,MATCH($K10,$H$6:$H$29,0))</f>
        <v>117610</v>
      </c>
      <c r="N10" s="44" t="n">
        <f aca="false">IFERROR(M10/$E$30,0)</f>
        <v>0.0550456697461071</v>
      </c>
      <c r="O10" s="44" t="n">
        <f aca="false">SUM($N$6:N10)</f>
        <v>0.399346715875932</v>
      </c>
      <c r="P10" s="43" t="str">
        <f aca="false">IF(O10-N10&lt;0.8,"A",IF(O10-N10&lt;0.95,"B","C"))</f>
        <v>A</v>
      </c>
      <c r="Q10" s="44" t="n">
        <f aca="false">INDEX($G$6:$G$29,MATCH($K10,$H$6:$H$29,0))</f>
        <v>0.186293682509991</v>
      </c>
    </row>
    <row r="11" customFormat="false" ht="15" hidden="false" customHeight="false" outlineLevel="0" collapsed="false">
      <c r="A11" s="41" t="s">
        <v>169</v>
      </c>
      <c r="B11" s="43" t="str">
        <f aca="false">INDEX(p_Name,MATCH($A11,p_ID,0))</f>
        <v>خلاط</v>
      </c>
      <c r="C11" s="41" t="str">
        <f aca="false">INDEX(p_Cat,MATCH($A11,p_ID,0))</f>
        <v>أجهزة منزلية</v>
      </c>
      <c r="D11" s="42" t="n">
        <f aca="false">SUMIFS(d_Qty,d_PID,$A11,d_Status,"مكتمل")</f>
        <v>212</v>
      </c>
      <c r="E11" s="42" t="n">
        <f aca="false">SUMIFS(d_Rev,d_PID,$A11)</f>
        <v>59550</v>
      </c>
      <c r="F11" s="42" t="n">
        <f aca="false">SUMIFS(d_Profit,d_PID,$A11)</f>
        <v>22450</v>
      </c>
      <c r="G11" s="44" t="n">
        <f aca="false">IFERROR(F11/E11,0)</f>
        <v>0.376994122586062</v>
      </c>
      <c r="H11" s="47" t="n">
        <f aca="false">RANK(E11,$E$6:$E$29)+COUNTIF($E$6:E11,E11)-1</f>
        <v>16</v>
      </c>
      <c r="I11" s="41" t="str">
        <f aca="false">IF(E11&gt;=AVERAGE($E$6:$E$29),IF(G11&gt;=$G$30,"نجم","حجم بلا ربحية"),IF(G11&gt;=$G$30,"فرصة نمو","يحتاج مراجعة"))</f>
        <v>فرصة نمو</v>
      </c>
      <c r="K11" s="47" t="n">
        <v>6</v>
      </c>
      <c r="L11" s="43" t="str">
        <f aca="false">INDEX($B$6:$B$29,MATCH($K11,$H$6:$H$29,0))</f>
        <v>كرسي مريح</v>
      </c>
      <c r="M11" s="42" t="n">
        <f aca="false">INDEX($E$6:$E$29,MATCH($K11,$H$6:$H$29,0))</f>
        <v>116407.5</v>
      </c>
      <c r="N11" s="44" t="n">
        <f aca="false">IFERROR(M11/$E$30,0)</f>
        <v>0.0544828569081707</v>
      </c>
      <c r="O11" s="44" t="n">
        <f aca="false">SUM($N$6:N11)</f>
        <v>0.453829572784103</v>
      </c>
      <c r="P11" s="43" t="str">
        <f aca="false">IF(O11-N11&lt;0.8,"A",IF(O11-N11&lt;0.95,"B","C"))</f>
        <v>A</v>
      </c>
      <c r="Q11" s="44" t="n">
        <f aca="false">INDEX($G$6:$G$29,MATCH($K11,$H$6:$H$29,0))</f>
        <v>0.369112814895947</v>
      </c>
    </row>
    <row r="12" customFormat="false" ht="15" hidden="false" customHeight="false" outlineLevel="0" collapsed="false">
      <c r="A12" s="41" t="s">
        <v>170</v>
      </c>
      <c r="B12" s="43" t="str">
        <f aca="false">INDEX(p_Name,MATCH($A12,p_ID,0))</f>
        <v>مكيف نقال</v>
      </c>
      <c r="C12" s="41" t="str">
        <f aca="false">INDEX(p_Cat,MATCH($A12,p_ID,0))</f>
        <v>أجهزة منزلية</v>
      </c>
      <c r="D12" s="42" t="n">
        <f aca="false">SUMIFS(d_Qty,d_PID,$A12,d_Status,"مكتمل")</f>
        <v>37</v>
      </c>
      <c r="E12" s="42" t="n">
        <f aca="false">SUMIFS(d_Rev,d_PID,$A12)</f>
        <v>65740</v>
      </c>
      <c r="F12" s="42" t="n">
        <f aca="false">SUMIFS(d_Profit,d_PID,$A12)</f>
        <v>15790</v>
      </c>
      <c r="G12" s="44" t="n">
        <f aca="false">IFERROR(F12/E12,0)</f>
        <v>0.240188621843626</v>
      </c>
      <c r="H12" s="47" t="n">
        <f aca="false">RANK(E12,$E$6:$E$29)+COUNTIF($E$6:E12,E12)-1</f>
        <v>14</v>
      </c>
      <c r="I12" s="41" t="str">
        <f aca="false">IF(E12&gt;=AVERAGE($E$6:$E$29),IF(G12&gt;=$G$30,"نجم","حجم بلا ربحية"),IF(G12&gt;=$G$30,"فرصة نمو","يحتاج مراجعة"))</f>
        <v>يحتاج مراجعة</v>
      </c>
      <c r="K12" s="47" t="n">
        <v>7</v>
      </c>
      <c r="L12" s="43" t="str">
        <f aca="false">INDEX($B$6:$B$29,MATCH($K12,$H$6:$H$29,0))</f>
        <v>خزانة ملفات</v>
      </c>
      <c r="M12" s="42" t="n">
        <f aca="false">INDEX($E$6:$E$29,MATCH($K12,$H$6:$H$29,0))</f>
        <v>115885</v>
      </c>
      <c r="N12" s="44" t="n">
        <f aca="false">IFERROR(M12/$E$30,0)</f>
        <v>0.0542383082945975</v>
      </c>
      <c r="O12" s="44" t="n">
        <f aca="false">SUM($N$6:N12)</f>
        <v>0.5080678810787</v>
      </c>
      <c r="P12" s="43" t="str">
        <f aca="false">IF(O12-N12&lt;0.8,"A",IF(O12-N12&lt;0.95,"B","C"))</f>
        <v>A</v>
      </c>
      <c r="Q12" s="44" t="n">
        <f aca="false">INDEX($G$6:$G$29,MATCH($K12,$H$6:$H$29,0))</f>
        <v>0.35962376493938</v>
      </c>
    </row>
    <row r="13" customFormat="false" ht="15" hidden="false" customHeight="false" outlineLevel="0" collapsed="false">
      <c r="A13" s="41" t="s">
        <v>171</v>
      </c>
      <c r="B13" s="43" t="str">
        <f aca="false">INDEX(p_Name,MATCH($A13,p_ID,0))</f>
        <v>قلاية هوائية</v>
      </c>
      <c r="C13" s="41" t="str">
        <f aca="false">INDEX(p_Cat,MATCH($A13,p_ID,0))</f>
        <v>أجهزة منزلية</v>
      </c>
      <c r="D13" s="42" t="n">
        <f aca="false">SUMIFS(d_Qty,d_PID,$A13,d_Status,"مكتمل")</f>
        <v>118</v>
      </c>
      <c r="E13" s="42" t="n">
        <f aca="false">SUMIFS(d_Rev,d_PID,$A13)</f>
        <v>55874</v>
      </c>
      <c r="F13" s="42" t="n">
        <f aca="false">SUMIFS(d_Profit,d_PID,$A13)</f>
        <v>20474</v>
      </c>
      <c r="G13" s="44" t="n">
        <f aca="false">IFERROR(F13/E13,0)</f>
        <v>0.366431613988617</v>
      </c>
      <c r="H13" s="47" t="n">
        <f aca="false">RANK(E13,$E$6:$E$29)+COUNTIF($E$6:E13,E13)-1</f>
        <v>19</v>
      </c>
      <c r="I13" s="41" t="str">
        <f aca="false">IF(E13&gt;=AVERAGE($E$6:$E$29),IF(G13&gt;=$G$30,"نجم","حجم بلا ربحية"),IF(G13&gt;=$G$30,"فرصة نمو","يحتاج مراجعة"))</f>
        <v>فرصة نمو</v>
      </c>
      <c r="K13" s="47" t="n">
        <v>8</v>
      </c>
      <c r="L13" s="43" t="str">
        <f aca="false">INDEX($B$6:$B$29,MATCH($K13,$H$6:$H$29,0))</f>
        <v>رف كتب</v>
      </c>
      <c r="M13" s="42" t="n">
        <f aca="false">INDEX($E$6:$E$29,MATCH($K13,$H$6:$H$29,0))</f>
        <v>107620</v>
      </c>
      <c r="N13" s="44" t="n">
        <f aca="false">IFERROR(M13/$E$30,0)</f>
        <v>0.0503699938617128</v>
      </c>
      <c r="O13" s="44" t="n">
        <f aca="false">SUM($N$6:N13)</f>
        <v>0.558437874940413</v>
      </c>
      <c r="P13" s="43" t="str">
        <f aca="false">IF(O13-N13&lt;0.8,"A",IF(O13-N13&lt;0.95,"B","C"))</f>
        <v>A</v>
      </c>
      <c r="Q13" s="44" t="n">
        <f aca="false">INDEX($G$6:$G$29,MATCH($K13,$H$6:$H$29,0))</f>
        <v>0.401040698754878</v>
      </c>
    </row>
    <row r="14" customFormat="false" ht="15" hidden="false" customHeight="false" outlineLevel="0" collapsed="false">
      <c r="A14" s="41" t="s">
        <v>172</v>
      </c>
      <c r="B14" s="43" t="str">
        <f aca="false">INDEX(p_Name,MATCH($A14,p_ID,0))</f>
        <v>مكتب عمل</v>
      </c>
      <c r="C14" s="41" t="str">
        <f aca="false">INDEX(p_Cat,MATCH($A14,p_ID,0))</f>
        <v>أثاث</v>
      </c>
      <c r="D14" s="42" t="n">
        <f aca="false">SUMIFS(d_Qty,d_PID,$A14,d_Status,"مكتمل")</f>
        <v>217</v>
      </c>
      <c r="E14" s="42" t="n">
        <f aca="false">SUMIFS(d_Rev,d_PID,$A14)</f>
        <v>243780</v>
      </c>
      <c r="F14" s="42" t="n">
        <f aca="false">SUMIFS(d_Profit,d_PID,$A14)</f>
        <v>91880</v>
      </c>
      <c r="G14" s="44" t="n">
        <f aca="false">IFERROR(F14/E14,0)</f>
        <v>0.376897202395603</v>
      </c>
      <c r="H14" s="47" t="n">
        <f aca="false">RANK(E14,$E$6:$E$29)+COUNTIF($E$6:E14,E14)-1</f>
        <v>1</v>
      </c>
      <c r="I14" s="41" t="str">
        <f aca="false">IF(E14&gt;=AVERAGE($E$6:$E$29),IF(G14&gt;=$G$30,"نجم","حجم بلا ربحية"),IF(G14&gt;=$G$30,"فرصة نمو","يحتاج مراجعة"))</f>
        <v>نجم</v>
      </c>
      <c r="K14" s="47" t="n">
        <v>9</v>
      </c>
      <c r="L14" s="43" t="str">
        <f aca="false">INDEX($B$6:$B$29,MATCH($K14,$H$6:$H$29,0))</f>
        <v>مكنسة كهربائية</v>
      </c>
      <c r="M14" s="42" t="n">
        <f aca="false">INDEX($E$6:$E$29,MATCH($K14,$H$6:$H$29,0))</f>
        <v>79625</v>
      </c>
      <c r="N14" s="44" t="n">
        <f aca="false">IFERROR(M14/$E$30,0)</f>
        <v>0.0372673365660554</v>
      </c>
      <c r="O14" s="44" t="n">
        <f aca="false">SUM($N$6:N14)</f>
        <v>0.595705211506469</v>
      </c>
      <c r="P14" s="43" t="str">
        <f aca="false">IF(O14-N14&lt;0.8,"A",IF(O14-N14&lt;0.95,"B","C"))</f>
        <v>A</v>
      </c>
      <c r="Q14" s="44" t="n">
        <f aca="false">INDEX($G$6:$G$29,MATCH($K14,$H$6:$H$29,0))</f>
        <v>0.309010989010989</v>
      </c>
    </row>
    <row r="15" customFormat="false" ht="15" hidden="false" customHeight="false" outlineLevel="0" collapsed="false">
      <c r="A15" s="41" t="s">
        <v>173</v>
      </c>
      <c r="B15" s="43" t="str">
        <f aca="false">INDEX(p_Name,MATCH($A15,p_ID,0))</f>
        <v>كرسي مريح</v>
      </c>
      <c r="C15" s="41" t="str">
        <f aca="false">INDEX(p_Cat,MATCH($A15,p_ID,0))</f>
        <v>أثاث</v>
      </c>
      <c r="D15" s="42" t="n">
        <f aca="false">SUMIFS(d_Qty,d_PID,$A15,d_Status,"مكتمل")</f>
        <v>153</v>
      </c>
      <c r="E15" s="42" t="n">
        <f aca="false">SUMIFS(d_Rev,d_PID,$A15)</f>
        <v>116407.5</v>
      </c>
      <c r="F15" s="42" t="n">
        <f aca="false">SUMIFS(d_Profit,d_PID,$A15)</f>
        <v>42967.5</v>
      </c>
      <c r="G15" s="44" t="n">
        <f aca="false">IFERROR(F15/E15,0)</f>
        <v>0.369112814895947</v>
      </c>
      <c r="H15" s="47" t="n">
        <f aca="false">RANK(E15,$E$6:$E$29)+COUNTIF($E$6:E15,E15)-1</f>
        <v>6</v>
      </c>
      <c r="I15" s="41" t="str">
        <f aca="false">IF(E15&gt;=AVERAGE($E$6:$E$29),IF(G15&gt;=$G$30,"نجم","حجم بلا ربحية"),IF(G15&gt;=$G$30,"فرصة نمو","يحتاج مراجعة"))</f>
        <v>نجم</v>
      </c>
      <c r="K15" s="47" t="n">
        <v>10</v>
      </c>
      <c r="L15" s="43" t="str">
        <f aca="false">INDEX($B$6:$B$29,MATCH($K15,$H$6:$H$29,0))</f>
        <v>سماعات لاسلكية</v>
      </c>
      <c r="M15" s="42" t="n">
        <f aca="false">INDEX($E$6:$E$29,MATCH($K15,$H$6:$H$29,0))</f>
        <v>77107.5</v>
      </c>
      <c r="N15" s="44" t="n">
        <f aca="false">IFERROR(M15/$E$30,0)</f>
        <v>0.0360890568824756</v>
      </c>
      <c r="O15" s="44" t="n">
        <f aca="false">SUM($N$6:N15)</f>
        <v>0.631794268388944</v>
      </c>
      <c r="P15" s="43" t="str">
        <f aca="false">IF(O15-N15&lt;0.8,"A",IF(O15-N15&lt;0.95,"B","C"))</f>
        <v>A</v>
      </c>
      <c r="Q15" s="44" t="n">
        <f aca="false">INDEX($G$6:$G$29,MATCH($K15,$H$6:$H$29,0))</f>
        <v>0.376195571118244</v>
      </c>
    </row>
    <row r="16" customFormat="false" ht="15" hidden="false" customHeight="false" outlineLevel="0" collapsed="false">
      <c r="A16" s="41" t="s">
        <v>174</v>
      </c>
      <c r="B16" s="43" t="str">
        <f aca="false">INDEX(p_Name,MATCH($A16,p_ID,0))</f>
        <v>خزانة ملفات</v>
      </c>
      <c r="C16" s="41" t="str">
        <f aca="false">INDEX(p_Cat,MATCH($A16,p_ID,0))</f>
        <v>أثاث</v>
      </c>
      <c r="D16" s="42" t="n">
        <f aca="false">SUMIFS(d_Qty,d_PID,$A16,d_Status,"مكتمل")</f>
        <v>181</v>
      </c>
      <c r="E16" s="42" t="n">
        <f aca="false">SUMIFS(d_Rev,d_PID,$A16)</f>
        <v>115885</v>
      </c>
      <c r="F16" s="42" t="n">
        <f aca="false">SUMIFS(d_Profit,d_PID,$A16)</f>
        <v>41675</v>
      </c>
      <c r="G16" s="44" t="n">
        <f aca="false">IFERROR(F16/E16,0)</f>
        <v>0.35962376493938</v>
      </c>
      <c r="H16" s="47" t="n">
        <f aca="false">RANK(E16,$E$6:$E$29)+COUNTIF($E$6:E16,E16)-1</f>
        <v>7</v>
      </c>
      <c r="I16" s="41" t="str">
        <f aca="false">IF(E16&gt;=AVERAGE($E$6:$E$29),IF(G16&gt;=$G$30,"نجم","حجم بلا ربحية"),IF(G16&gt;=$G$30,"فرصة نمو","يحتاج مراجعة"))</f>
        <v>نجم</v>
      </c>
      <c r="K16" s="47" t="n">
        <v>11</v>
      </c>
      <c r="L16" s="43" t="str">
        <f aca="false">INDEX($B$6:$B$29,MATCH($K16,$H$6:$H$29,0))</f>
        <v>حقيبة لابتوب</v>
      </c>
      <c r="M16" s="42" t="n">
        <f aca="false">INDEX($E$6:$E$29,MATCH($K16,$H$6:$H$29,0))</f>
        <v>76765</v>
      </c>
      <c r="N16" s="44" t="n">
        <f aca="false">IFERROR(M16/$E$30,0)</f>
        <v>0.0359287546812338</v>
      </c>
      <c r="O16" s="44" t="n">
        <f aca="false">SUM($N$6:N16)</f>
        <v>0.667723023070178</v>
      </c>
      <c r="P16" s="43" t="str">
        <f aca="false">IF(O16-N16&lt;0.8,"A",IF(O16-N16&lt;0.95,"B","C"))</f>
        <v>A</v>
      </c>
      <c r="Q16" s="44" t="n">
        <f aca="false">INDEX($G$6:$G$29,MATCH($K16,$H$6:$H$29,0))</f>
        <v>0.501335243926269</v>
      </c>
    </row>
    <row r="17" customFormat="false" ht="15" hidden="false" customHeight="false" outlineLevel="0" collapsed="false">
      <c r="A17" s="41" t="s">
        <v>175</v>
      </c>
      <c r="B17" s="43" t="str">
        <f aca="false">INDEX(p_Name,MATCH($A17,p_ID,0))</f>
        <v>رف كتب</v>
      </c>
      <c r="C17" s="41" t="str">
        <f aca="false">INDEX(p_Cat,MATCH($A17,p_ID,0))</f>
        <v>أثاث</v>
      </c>
      <c r="D17" s="42" t="n">
        <f aca="false">SUMIFS(d_Qty,d_PID,$A17,d_Status,"مكتمل")</f>
        <v>293</v>
      </c>
      <c r="E17" s="42" t="n">
        <f aca="false">SUMIFS(d_Rev,d_PID,$A17)</f>
        <v>107620</v>
      </c>
      <c r="F17" s="42" t="n">
        <f aca="false">SUMIFS(d_Profit,d_PID,$A17)</f>
        <v>43160</v>
      </c>
      <c r="G17" s="44" t="n">
        <f aca="false">IFERROR(F17/E17,0)</f>
        <v>0.401040698754878</v>
      </c>
      <c r="H17" s="47" t="n">
        <f aca="false">RANK(E17,$E$6:$E$29)+COUNTIF($E$6:E17,E17)-1</f>
        <v>8</v>
      </c>
      <c r="I17" s="41" t="str">
        <f aca="false">IF(E17&gt;=AVERAGE($E$6:$E$29),IF(G17&gt;=$G$30,"نجم","حجم بلا ربحية"),IF(G17&gt;=$G$30,"فرصة نمو","يحتاج مراجعة"))</f>
        <v>نجم</v>
      </c>
      <c r="K17" s="47" t="n">
        <v>12</v>
      </c>
      <c r="L17" s="43" t="str">
        <f aca="false">INDEX($B$6:$B$29,MATCH($K17,$H$6:$H$29,0))</f>
        <v>جهاز تدليك</v>
      </c>
      <c r="M17" s="42" t="n">
        <f aca="false">INDEX($E$6:$E$29,MATCH($K17,$H$6:$H$29,0))</f>
        <v>75000</v>
      </c>
      <c r="N17" s="44" t="n">
        <f aca="false">IFERROR(M17/$E$30,0)</f>
        <v>0.0351026718047617</v>
      </c>
      <c r="O17" s="44" t="n">
        <f aca="false">SUM($N$6:N17)</f>
        <v>0.70282569487494</v>
      </c>
      <c r="P17" s="43" t="str">
        <f aca="false">IF(O17-N17&lt;0.8,"A",IF(O17-N17&lt;0.95,"B","C"))</f>
        <v>A</v>
      </c>
      <c r="Q17" s="44" t="n">
        <f aca="false">INDEX($G$6:$G$29,MATCH($K17,$H$6:$H$29,0))</f>
        <v>0.4016</v>
      </c>
    </row>
    <row r="18" customFormat="false" ht="15" hidden="false" customHeight="false" outlineLevel="0" collapsed="false">
      <c r="A18" s="41" t="s">
        <v>176</v>
      </c>
      <c r="B18" s="43" t="str">
        <f aca="false">INDEX(p_Name,MATCH($A18,p_ID,0))</f>
        <v>طابعة ليزر</v>
      </c>
      <c r="C18" s="41" t="str">
        <f aca="false">INDEX(p_Cat,MATCH($A18,p_ID,0))</f>
        <v>مستلزمات مكتبية</v>
      </c>
      <c r="D18" s="42" t="n">
        <f aca="false">SUMIFS(d_Qty,d_PID,$A18,d_Status,"مكتمل")</f>
        <v>132</v>
      </c>
      <c r="E18" s="42" t="n">
        <f aca="false">SUMIFS(d_Rev,d_PID,$A18)</f>
        <v>161915</v>
      </c>
      <c r="F18" s="42" t="n">
        <f aca="false">SUMIFS(d_Profit,d_PID,$A18)</f>
        <v>36515</v>
      </c>
      <c r="G18" s="44" t="n">
        <f aca="false">IFERROR(F18/E18,0)</f>
        <v>0.225519562733533</v>
      </c>
      <c r="H18" s="47" t="n">
        <f aca="false">RANK(E18,$E$6:$E$29)+COUNTIF($E$6:E18,E18)-1</f>
        <v>3</v>
      </c>
      <c r="I18" s="41" t="str">
        <f aca="false">IF(E18&gt;=AVERAGE($E$6:$E$29),IF(G18&gt;=$G$30,"نجم","حجم بلا ربحية"),IF(G18&gt;=$G$30,"فرصة نمو","يحتاج مراجعة"))</f>
        <v>حجم بلا ربحية</v>
      </c>
      <c r="K18" s="47" t="n">
        <v>13</v>
      </c>
      <c r="L18" s="43" t="str">
        <f aca="false">INDEX($B$6:$B$29,MATCH($K18,$H$6:$H$29,0))</f>
        <v>عطر فاخر</v>
      </c>
      <c r="M18" s="42" t="n">
        <f aca="false">INDEX($E$6:$E$29,MATCH($K18,$H$6:$H$29,0))</f>
        <v>72956</v>
      </c>
      <c r="N18" s="44" t="n">
        <f aca="false">IFERROR(M18/$E$30,0)</f>
        <v>0.034146006989176</v>
      </c>
      <c r="O18" s="44" t="n">
        <f aca="false">SUM($N$6:N18)</f>
        <v>0.736971701864116</v>
      </c>
      <c r="P18" s="43" t="str">
        <f aca="false">IF(O18-N18&lt;0.8,"A",IF(O18-N18&lt;0.95,"B","C"))</f>
        <v>A</v>
      </c>
      <c r="Q18" s="44" t="n">
        <f aca="false">INDEX($G$6:$G$29,MATCH($K18,$H$6:$H$29,0))</f>
        <v>0.5653544602226</v>
      </c>
    </row>
    <row r="19" customFormat="false" ht="15" hidden="false" customHeight="false" outlineLevel="0" collapsed="false">
      <c r="A19" s="41" t="s">
        <v>177</v>
      </c>
      <c r="B19" s="43" t="str">
        <f aca="false">INDEX(p_Name,MATCH($A19,p_ID,0))</f>
        <v>ورق A4 (صندوق)</v>
      </c>
      <c r="C19" s="41" t="str">
        <f aca="false">INDEX(p_Cat,MATCH($A19,p_ID,0))</f>
        <v>مستلزمات مكتبية</v>
      </c>
      <c r="D19" s="42" t="n">
        <f aca="false">SUMIFS(d_Qty,d_PID,$A19,d_Status,"مكتمل")</f>
        <v>441</v>
      </c>
      <c r="E19" s="42" t="n">
        <f aca="false">SUMIFS(d_Rev,d_PID,$A19)</f>
        <v>57512</v>
      </c>
      <c r="F19" s="42" t="n">
        <f aca="false">SUMIFS(d_Profit,d_PID,$A19)</f>
        <v>15617</v>
      </c>
      <c r="G19" s="44" t="n">
        <f aca="false">IFERROR(F19/E19,0)</f>
        <v>0.271543330087634</v>
      </c>
      <c r="H19" s="47" t="n">
        <f aca="false">RANK(E19,$E$6:$E$29)+COUNTIF($E$6:E19,E19)-1</f>
        <v>17</v>
      </c>
      <c r="I19" s="41" t="str">
        <f aca="false">IF(E19&gt;=AVERAGE($E$6:$E$29),IF(G19&gt;=$G$30,"نجم","حجم بلا ربحية"),IF(G19&gt;=$G$30,"فرصة نمو","يحتاج مراجعة"))</f>
        <v>يحتاج مراجعة</v>
      </c>
      <c r="K19" s="47" t="n">
        <v>14</v>
      </c>
      <c r="L19" s="43" t="str">
        <f aca="false">INDEX($B$6:$B$29,MATCH($K19,$H$6:$H$29,0))</f>
        <v>مكيف نقال</v>
      </c>
      <c r="M19" s="42" t="n">
        <f aca="false">INDEX($E$6:$E$29,MATCH($K19,$H$6:$H$29,0))</f>
        <v>65740</v>
      </c>
      <c r="N19" s="44" t="n">
        <f aca="false">IFERROR(M19/$E$30,0)</f>
        <v>0.0307686619259338</v>
      </c>
      <c r="O19" s="44" t="n">
        <f aca="false">SUM($N$6:N19)</f>
        <v>0.76774036379005</v>
      </c>
      <c r="P19" s="43" t="str">
        <f aca="false">IF(O19-N19&lt;0.8,"A",IF(O19-N19&lt;0.95,"B","C"))</f>
        <v>A</v>
      </c>
      <c r="Q19" s="44" t="n">
        <f aca="false">INDEX($G$6:$G$29,MATCH($K19,$H$6:$H$29,0))</f>
        <v>0.240188621843626</v>
      </c>
    </row>
    <row r="20" customFormat="false" ht="15" hidden="false" customHeight="false" outlineLevel="0" collapsed="false">
      <c r="A20" s="41" t="s">
        <v>178</v>
      </c>
      <c r="B20" s="43" t="str">
        <f aca="false">INDEX(p_Name,MATCH($A20,p_ID,0))</f>
        <v>حقيبة لابتوب</v>
      </c>
      <c r="C20" s="41" t="str">
        <f aca="false">INDEX(p_Cat,MATCH($A20,p_ID,0))</f>
        <v>مستلزمات مكتبية</v>
      </c>
      <c r="D20" s="42" t="n">
        <f aca="false">SUMIFS(d_Qty,d_PID,$A20,d_Status,"مكتمل")</f>
        <v>319</v>
      </c>
      <c r="E20" s="42" t="n">
        <f aca="false">SUMIFS(d_Rev,d_PID,$A20)</f>
        <v>76765</v>
      </c>
      <c r="F20" s="42" t="n">
        <f aca="false">SUMIFS(d_Profit,d_PID,$A20)</f>
        <v>38485</v>
      </c>
      <c r="G20" s="44" t="n">
        <f aca="false">IFERROR(F20/E20,0)</f>
        <v>0.501335243926269</v>
      </c>
      <c r="H20" s="47" t="n">
        <f aca="false">RANK(E20,$E$6:$E$29)+COUNTIF($E$6:E20,E20)-1</f>
        <v>11</v>
      </c>
      <c r="I20" s="41" t="str">
        <f aca="false">IF(E20&gt;=AVERAGE($E$6:$E$29),IF(G20&gt;=$G$30,"نجم","حجم بلا ربحية"),IF(G20&gt;=$G$30,"فرصة نمو","يحتاج مراجعة"))</f>
        <v>فرصة نمو</v>
      </c>
      <c r="K20" s="47" t="n">
        <v>15</v>
      </c>
      <c r="L20" s="43" t="str">
        <f aca="false">INDEX($B$6:$B$29,MATCH($K20,$H$6:$H$29,0))</f>
        <v>جهاز مشي</v>
      </c>
      <c r="M20" s="42" t="n">
        <f aca="false">INDEX($E$6:$E$29,MATCH($K20,$H$6:$H$29,0))</f>
        <v>59680</v>
      </c>
      <c r="N20" s="44" t="n">
        <f aca="false">IFERROR(M20/$E$30,0)</f>
        <v>0.0279323660441091</v>
      </c>
      <c r="O20" s="44" t="n">
        <f aca="false">SUM($N$6:N20)</f>
        <v>0.795672729834159</v>
      </c>
      <c r="P20" s="43" t="str">
        <f aca="false">IF(O20-N20&lt;0.8,"A",IF(O20-N20&lt;0.95,"B","C"))</f>
        <v>A</v>
      </c>
      <c r="Q20" s="44" t="n">
        <f aca="false">INDEX($G$6:$G$29,MATCH($K20,$H$6:$H$29,0))</f>
        <v>0.262734584450402</v>
      </c>
    </row>
    <row r="21" customFormat="false" ht="15" hidden="false" customHeight="false" outlineLevel="0" collapsed="false">
      <c r="A21" s="41" t="s">
        <v>179</v>
      </c>
      <c r="B21" s="43" t="str">
        <f aca="false">INDEX(p_Name,MATCH($A21,p_ID,0))</f>
        <v>طقم أدوات مكتبية</v>
      </c>
      <c r="C21" s="41" t="str">
        <f aca="false">INDEX(p_Cat,MATCH($A21,p_ID,0))</f>
        <v>مستلزمات مكتبية</v>
      </c>
      <c r="D21" s="42" t="n">
        <f aca="false">SUMIFS(d_Qty,d_PID,$A21,d_Status,"مكتمل")</f>
        <v>454</v>
      </c>
      <c r="E21" s="42" t="n">
        <f aca="false">SUMIFS(d_Rev,d_PID,$A21)</f>
        <v>37426.5</v>
      </c>
      <c r="F21" s="42" t="n">
        <f aca="false">SUMIFS(d_Profit,d_PID,$A21)</f>
        <v>16996.5</v>
      </c>
      <c r="G21" s="44" t="n">
        <f aca="false">IFERROR(F21/E21,0)</f>
        <v>0.454130094986173</v>
      </c>
      <c r="H21" s="47" t="n">
        <f aca="false">RANK(E21,$E$6:$E$29)+COUNTIF($E$6:E21,E21)-1</f>
        <v>23</v>
      </c>
      <c r="I21" s="41" t="str">
        <f aca="false">IF(E21&gt;=AVERAGE($E$6:$E$29),IF(G21&gt;=$G$30,"نجم","حجم بلا ربحية"),IF(G21&gt;=$G$30,"فرصة نمو","يحتاج مراجعة"))</f>
        <v>فرصة نمو</v>
      </c>
      <c r="K21" s="47" t="n">
        <v>16</v>
      </c>
      <c r="L21" s="43" t="str">
        <f aca="false">INDEX($B$6:$B$29,MATCH($K21,$H$6:$H$29,0))</f>
        <v>خلاط</v>
      </c>
      <c r="M21" s="42" t="n">
        <f aca="false">INDEX($E$6:$E$29,MATCH($K21,$H$6:$H$29,0))</f>
        <v>59550</v>
      </c>
      <c r="N21" s="44" t="n">
        <f aca="false">IFERROR(M21/$E$30,0)</f>
        <v>0.0278715214129808</v>
      </c>
      <c r="O21" s="44" t="n">
        <f aca="false">SUM($N$6:N21)</f>
        <v>0.823544251247139</v>
      </c>
      <c r="P21" s="43" t="str">
        <f aca="false">IF(O21-N21&lt;0.8,"A",IF(O21-N21&lt;0.95,"B","C"))</f>
        <v>A</v>
      </c>
      <c r="Q21" s="44" t="n">
        <f aca="false">INDEX($G$6:$G$29,MATCH($K21,$H$6:$H$29,0))</f>
        <v>0.376994122586062</v>
      </c>
    </row>
    <row r="22" customFormat="false" ht="15" hidden="false" customHeight="false" outlineLevel="0" collapsed="false">
      <c r="A22" s="41" t="s">
        <v>180</v>
      </c>
      <c r="B22" s="43" t="str">
        <f aca="false">INDEX(p_Name,MATCH($A22,p_ID,0))</f>
        <v>جهاز مشي</v>
      </c>
      <c r="C22" s="41" t="str">
        <f aca="false">INDEX(p_Cat,MATCH($A22,p_ID,0))</f>
        <v>رياضة</v>
      </c>
      <c r="D22" s="42" t="n">
        <f aca="false">SUMIFS(d_Qty,d_PID,$A22,d_Status,"مكتمل")</f>
        <v>20</v>
      </c>
      <c r="E22" s="42" t="n">
        <f aca="false">SUMIFS(d_Rev,d_PID,$A22)</f>
        <v>59680</v>
      </c>
      <c r="F22" s="42" t="n">
        <f aca="false">SUMIFS(d_Profit,d_PID,$A22)</f>
        <v>15680</v>
      </c>
      <c r="G22" s="44" t="n">
        <f aca="false">IFERROR(F22/E22,0)</f>
        <v>0.262734584450402</v>
      </c>
      <c r="H22" s="47" t="n">
        <f aca="false">RANK(E22,$E$6:$E$29)+COUNTIF($E$6:E22,E22)-1</f>
        <v>15</v>
      </c>
      <c r="I22" s="41" t="str">
        <f aca="false">IF(E22&gt;=AVERAGE($E$6:$E$29),IF(G22&gt;=$G$30,"نجم","حجم بلا ربحية"),IF(G22&gt;=$G$30,"فرصة نمو","يحتاج مراجعة"))</f>
        <v>يحتاج مراجعة</v>
      </c>
      <c r="K22" s="47" t="n">
        <v>17</v>
      </c>
      <c r="L22" s="43" t="str">
        <f aca="false">INDEX($B$6:$B$29,MATCH($K22,$H$6:$H$29,0))</f>
        <v>ورق A4 (صندوق)</v>
      </c>
      <c r="M22" s="42" t="n">
        <f aca="false">INDEX($E$6:$E$29,MATCH($K22,$H$6:$H$29,0))</f>
        <v>57512</v>
      </c>
      <c r="N22" s="44" t="n">
        <f aca="false">IFERROR(M22/$E$30,0)</f>
        <v>0.0269176648111394</v>
      </c>
      <c r="O22" s="44" t="n">
        <f aca="false">SUM($N$6:N22)</f>
        <v>0.850461916058279</v>
      </c>
      <c r="P22" s="43" t="str">
        <f aca="false">IF(O22-N22&lt;0.8,"A",IF(O22-N22&lt;0.95,"B","C"))</f>
        <v>B</v>
      </c>
      <c r="Q22" s="44" t="n">
        <f aca="false">INDEX($G$6:$G$29,MATCH($K22,$H$6:$H$29,0))</f>
        <v>0.271543330087634</v>
      </c>
    </row>
    <row r="23" customFormat="false" ht="15" hidden="false" customHeight="false" outlineLevel="0" collapsed="false">
      <c r="A23" s="41" t="s">
        <v>181</v>
      </c>
      <c r="B23" s="43" t="str">
        <f aca="false">INDEX(p_Name,MATCH($A23,p_ID,0))</f>
        <v>دراجة ثابتة</v>
      </c>
      <c r="C23" s="41" t="str">
        <f aca="false">INDEX(p_Cat,MATCH($A23,p_ID,0))</f>
        <v>رياضة</v>
      </c>
      <c r="D23" s="42" t="n">
        <f aca="false">SUMIFS(d_Qty,d_PID,$A23,d_Status,"مكتمل")</f>
        <v>33</v>
      </c>
      <c r="E23" s="42" t="n">
        <f aca="false">SUMIFS(d_Rev,d_PID,$A23)</f>
        <v>56160</v>
      </c>
      <c r="F23" s="42" t="n">
        <f aca="false">SUMIFS(d_Profit,d_PID,$A23)</f>
        <v>16560</v>
      </c>
      <c r="G23" s="44" t="n">
        <f aca="false">IFERROR(F23/E23,0)</f>
        <v>0.294871794871795</v>
      </c>
      <c r="H23" s="47" t="n">
        <f aca="false">RANK(E23,$E$6:$E$29)+COUNTIF($E$6:E23,E23)-1</f>
        <v>18</v>
      </c>
      <c r="I23" s="41" t="str">
        <f aca="false">IF(E23&gt;=AVERAGE($E$6:$E$29),IF(G23&gt;=$G$30,"نجم","حجم بلا ربحية"),IF(G23&gt;=$G$30,"فرصة نمو","يحتاج مراجعة"))</f>
        <v>يحتاج مراجعة</v>
      </c>
      <c r="K23" s="47" t="n">
        <v>18</v>
      </c>
      <c r="L23" s="43" t="str">
        <f aca="false">INDEX($B$6:$B$29,MATCH($K23,$H$6:$H$29,0))</f>
        <v>دراجة ثابتة</v>
      </c>
      <c r="M23" s="42" t="n">
        <f aca="false">INDEX($E$6:$E$29,MATCH($K23,$H$6:$H$29,0))</f>
        <v>56160</v>
      </c>
      <c r="N23" s="44" t="n">
        <f aca="false">IFERROR(M23/$E$30,0)</f>
        <v>0.0262848806474056</v>
      </c>
      <c r="O23" s="44" t="n">
        <f aca="false">SUM($N$6:N23)</f>
        <v>0.876746796705685</v>
      </c>
      <c r="P23" s="43" t="str">
        <f aca="false">IF(O23-N23&lt;0.8,"A",IF(O23-N23&lt;0.95,"B","C"))</f>
        <v>B</v>
      </c>
      <c r="Q23" s="44" t="n">
        <f aca="false">INDEX($G$6:$G$29,MATCH($K23,$H$6:$H$29,0))</f>
        <v>0.294871794871795</v>
      </c>
    </row>
    <row r="24" customFormat="false" ht="15" hidden="false" customHeight="false" outlineLevel="0" collapsed="false">
      <c r="A24" s="41" t="s">
        <v>182</v>
      </c>
      <c r="B24" s="43" t="str">
        <f aca="false">INDEX(p_Name,MATCH($A24,p_ID,0))</f>
        <v>طقم أوزان</v>
      </c>
      <c r="C24" s="41" t="str">
        <f aca="false">INDEX(p_Cat,MATCH($A24,p_ID,0))</f>
        <v>رياضة</v>
      </c>
      <c r="D24" s="42" t="n">
        <f aca="false">SUMIFS(d_Qty,d_PID,$A24,d_Status,"مكتمل")</f>
        <v>141</v>
      </c>
      <c r="E24" s="42" t="n">
        <f aca="false">SUMIFS(d_Rev,d_PID,$A24)</f>
        <v>49362</v>
      </c>
      <c r="F24" s="42" t="n">
        <f aca="false">SUMIFS(d_Profit,d_PID,$A24)</f>
        <v>19752</v>
      </c>
      <c r="G24" s="44" t="n">
        <f aca="false">IFERROR(F24/E24,0)</f>
        <v>0.400145861188769</v>
      </c>
      <c r="H24" s="47" t="n">
        <f aca="false">RANK(E24,$E$6:$E$29)+COUNTIF($E$6:E24,E24)-1</f>
        <v>21</v>
      </c>
      <c r="I24" s="41" t="str">
        <f aca="false">IF(E24&gt;=AVERAGE($E$6:$E$29),IF(G24&gt;=$G$30,"نجم","حجم بلا ربحية"),IF(G24&gt;=$G$30,"فرصة نمو","يحتاج مراجعة"))</f>
        <v>فرصة نمو</v>
      </c>
      <c r="K24" s="47" t="n">
        <v>19</v>
      </c>
      <c r="L24" s="43" t="str">
        <f aca="false">INDEX($B$6:$B$29,MATCH($K24,$H$6:$H$29,0))</f>
        <v>قلاية هوائية</v>
      </c>
      <c r="M24" s="42" t="n">
        <f aca="false">INDEX($E$6:$E$29,MATCH($K24,$H$6:$H$29,0))</f>
        <v>55874</v>
      </c>
      <c r="N24" s="44" t="n">
        <f aca="false">IFERROR(M24/$E$30,0)</f>
        <v>0.0261510224589234</v>
      </c>
      <c r="O24" s="44" t="n">
        <f aca="false">SUM($N$6:N24)</f>
        <v>0.902897819164608</v>
      </c>
      <c r="P24" s="43" t="str">
        <f aca="false">IF(O24-N24&lt;0.8,"A",IF(O24-N24&lt;0.95,"B","C"))</f>
        <v>B</v>
      </c>
      <c r="Q24" s="44" t="n">
        <f aca="false">INDEX($G$6:$G$29,MATCH($K24,$H$6:$H$29,0))</f>
        <v>0.366431613988617</v>
      </c>
    </row>
    <row r="25" customFormat="false" ht="15" hidden="false" customHeight="false" outlineLevel="0" collapsed="false">
      <c r="A25" s="41" t="s">
        <v>183</v>
      </c>
      <c r="B25" s="43" t="str">
        <f aca="false">INDEX(p_Name,MATCH($A25,p_ID,0))</f>
        <v>سجادة يوغا</v>
      </c>
      <c r="C25" s="41" t="str">
        <f aca="false">INDEX(p_Cat,MATCH($A25,p_ID,0))</f>
        <v>رياضة</v>
      </c>
      <c r="D25" s="42" t="n">
        <f aca="false">SUMIFS(d_Qty,d_PID,$A25,d_Status,"مكتمل")</f>
        <v>192</v>
      </c>
      <c r="E25" s="42" t="n">
        <f aca="false">SUMIFS(d_Rev,d_PID,$A25)</f>
        <v>21864</v>
      </c>
      <c r="F25" s="42" t="n">
        <f aca="false">SUMIFS(d_Profit,d_PID,$A25)</f>
        <v>12264</v>
      </c>
      <c r="G25" s="44" t="n">
        <f aca="false">IFERROR(F25/E25,0)</f>
        <v>0.560922063666301</v>
      </c>
      <c r="H25" s="47" t="n">
        <f aca="false">RANK(E25,$E$6:$E$29)+COUNTIF($E$6:E25,E25)-1</f>
        <v>24</v>
      </c>
      <c r="I25" s="41" t="str">
        <f aca="false">IF(E25&gt;=AVERAGE($E$6:$E$29),IF(G25&gt;=$G$30,"نجم","حجم بلا ربحية"),IF(G25&gt;=$G$30,"فرصة نمو","يحتاج مراجعة"))</f>
        <v>فرصة نمو</v>
      </c>
      <c r="K25" s="47" t="n">
        <v>20</v>
      </c>
      <c r="L25" s="43" t="str">
        <f aca="false">INDEX($B$6:$B$29,MATCH($K25,$H$6:$H$29,0))</f>
        <v>ماكينة حلاقة</v>
      </c>
      <c r="M25" s="42" t="n">
        <f aca="false">INDEX($E$6:$E$29,MATCH($K25,$H$6:$H$29,0))</f>
        <v>55233</v>
      </c>
      <c r="N25" s="44" t="n">
        <f aca="false">IFERROR(M25/$E$30,0)</f>
        <v>0.0258510116238987</v>
      </c>
      <c r="O25" s="44" t="n">
        <f aca="false">SUM($N$6:N25)</f>
        <v>0.928748830788507</v>
      </c>
      <c r="P25" s="43" t="str">
        <f aca="false">IF(O25-N25&lt;0.8,"A",IF(O25-N25&lt;0.95,"B","C"))</f>
        <v>B</v>
      </c>
      <c r="Q25" s="44" t="n">
        <f aca="false">INDEX($G$6:$G$29,MATCH($K25,$H$6:$H$29,0))</f>
        <v>0.464450600184672</v>
      </c>
    </row>
    <row r="26" customFormat="false" ht="15" hidden="false" customHeight="false" outlineLevel="0" collapsed="false">
      <c r="A26" s="41" t="s">
        <v>184</v>
      </c>
      <c r="B26" s="43" t="str">
        <f aca="false">INDEX(p_Name,MATCH($A26,p_ID,0))</f>
        <v>عطر فاخر</v>
      </c>
      <c r="C26" s="41" t="str">
        <f aca="false">INDEX(p_Cat,MATCH($A26,p_ID,0))</f>
        <v>عناية شخصية</v>
      </c>
      <c r="D26" s="42" t="n">
        <f aca="false">SUMIFS(d_Qty,d_PID,$A26,d_Status,"مكتمل")</f>
        <v>151</v>
      </c>
      <c r="E26" s="42" t="n">
        <f aca="false">SUMIFS(d_Rev,d_PID,$A26)</f>
        <v>72956</v>
      </c>
      <c r="F26" s="42" t="n">
        <f aca="false">SUMIFS(d_Profit,d_PID,$A26)</f>
        <v>41246</v>
      </c>
      <c r="G26" s="44" t="n">
        <f aca="false">IFERROR(F26/E26,0)</f>
        <v>0.5653544602226</v>
      </c>
      <c r="H26" s="47" t="n">
        <f aca="false">RANK(E26,$E$6:$E$29)+COUNTIF($E$6:E26,E26)-1</f>
        <v>13</v>
      </c>
      <c r="I26" s="41" t="str">
        <f aca="false">IF(E26&gt;=AVERAGE($E$6:$E$29),IF(G26&gt;=$G$30,"نجم","حجم بلا ربحية"),IF(G26&gt;=$G$30,"فرصة نمو","يحتاج مراجعة"))</f>
        <v>فرصة نمو</v>
      </c>
      <c r="K26" s="47" t="n">
        <v>21</v>
      </c>
      <c r="L26" s="43" t="str">
        <f aca="false">INDEX($B$6:$B$29,MATCH($K26,$H$6:$H$29,0))</f>
        <v>طقم أوزان</v>
      </c>
      <c r="M26" s="42" t="n">
        <f aca="false">INDEX($E$6:$E$29,MATCH($K26,$H$6:$H$29,0))</f>
        <v>49362</v>
      </c>
      <c r="N26" s="44" t="n">
        <f aca="false">IFERROR(M26/$E$30,0)</f>
        <v>0.023103174475022</v>
      </c>
      <c r="O26" s="44" t="n">
        <f aca="false">SUM($N$6:N26)</f>
        <v>0.951852005263529</v>
      </c>
      <c r="P26" s="43" t="str">
        <f aca="false">IF(O26-N26&lt;0.8,"A",IF(O26-N26&lt;0.95,"B","C"))</f>
        <v>B</v>
      </c>
      <c r="Q26" s="44" t="n">
        <f aca="false">INDEX($G$6:$G$29,MATCH($K26,$H$6:$H$29,0))</f>
        <v>0.400145861188769</v>
      </c>
    </row>
    <row r="27" customFormat="false" ht="15" hidden="false" customHeight="false" outlineLevel="0" collapsed="false">
      <c r="A27" s="41" t="s">
        <v>185</v>
      </c>
      <c r="B27" s="43" t="str">
        <f aca="false">INDEX(p_Name,MATCH($A27,p_ID,0))</f>
        <v>ماكينة حلاقة</v>
      </c>
      <c r="C27" s="41" t="str">
        <f aca="false">INDEX(p_Cat,MATCH($A27,p_ID,0))</f>
        <v>عناية شخصية</v>
      </c>
      <c r="D27" s="42" t="n">
        <f aca="false">SUMIFS(d_Qty,d_PID,$A27,d_Status,"مكتمل")</f>
        <v>174</v>
      </c>
      <c r="E27" s="42" t="n">
        <f aca="false">SUMIFS(d_Rev,d_PID,$A27)</f>
        <v>55233</v>
      </c>
      <c r="F27" s="42" t="n">
        <f aca="false">SUMIFS(d_Profit,d_PID,$A27)</f>
        <v>25653</v>
      </c>
      <c r="G27" s="44" t="n">
        <f aca="false">IFERROR(F27/E27,0)</f>
        <v>0.464450600184672</v>
      </c>
      <c r="H27" s="47" t="n">
        <f aca="false">RANK(E27,$E$6:$E$29)+COUNTIF($E$6:E27,E27)-1</f>
        <v>20</v>
      </c>
      <c r="I27" s="41" t="str">
        <f aca="false">IF(E27&gt;=AVERAGE($E$6:$E$29),IF(G27&gt;=$G$30,"نجم","حجم بلا ربحية"),IF(G27&gt;=$G$30,"فرصة نمو","يحتاج مراجعة"))</f>
        <v>فرصة نمو</v>
      </c>
      <c r="K27" s="47" t="n">
        <v>22</v>
      </c>
      <c r="L27" s="43" t="str">
        <f aca="false">INDEX($B$6:$B$29,MATCH($K27,$H$6:$H$29,0))</f>
        <v>مجفف شعر</v>
      </c>
      <c r="M27" s="42" t="n">
        <f aca="false">INDEX($E$6:$E$29,MATCH($K27,$H$6:$H$29,0))</f>
        <v>43582</v>
      </c>
      <c r="N27" s="44" t="n">
        <f aca="false">IFERROR(M27/$E$30,0)</f>
        <v>0.020397928567935</v>
      </c>
      <c r="O27" s="44" t="n">
        <f aca="false">SUM($N$6:N27)</f>
        <v>0.972249933831464</v>
      </c>
      <c r="P27" s="43" t="str">
        <f aca="false">IF(O27-N27&lt;0.8,"A",IF(O27-N27&lt;0.95,"B","C"))</f>
        <v>C</v>
      </c>
      <c r="Q27" s="44" t="n">
        <f aca="false">INDEX($G$6:$G$29,MATCH($K27,$H$6:$H$29,0))</f>
        <v>0.466752328943142</v>
      </c>
    </row>
    <row r="28" customFormat="false" ht="15" hidden="false" customHeight="false" outlineLevel="0" collapsed="false">
      <c r="A28" s="41" t="s">
        <v>186</v>
      </c>
      <c r="B28" s="43" t="str">
        <f aca="false">INDEX(p_Name,MATCH($A28,p_ID,0))</f>
        <v>مجفف شعر</v>
      </c>
      <c r="C28" s="41" t="str">
        <f aca="false">INDEX(p_Cat,MATCH($A28,p_ID,0))</f>
        <v>عناية شخصية</v>
      </c>
      <c r="D28" s="42" t="n">
        <f aca="false">SUMIFS(d_Qty,d_PID,$A28,d_Status,"مكتمل")</f>
        <v>166</v>
      </c>
      <c r="E28" s="42" t="n">
        <f aca="false">SUMIFS(d_Rev,d_PID,$A28)</f>
        <v>43582</v>
      </c>
      <c r="F28" s="42" t="n">
        <f aca="false">SUMIFS(d_Profit,d_PID,$A28)</f>
        <v>20342</v>
      </c>
      <c r="G28" s="44" t="n">
        <f aca="false">IFERROR(F28/E28,0)</f>
        <v>0.466752328943142</v>
      </c>
      <c r="H28" s="47" t="n">
        <f aca="false">RANK(E28,$E$6:$E$29)+COUNTIF($E$6:E28,E28)-1</f>
        <v>22</v>
      </c>
      <c r="I28" s="41" t="str">
        <f aca="false">IF(E28&gt;=AVERAGE($E$6:$E$29),IF(G28&gt;=$G$30,"نجم","حجم بلا ربحية"),IF(G28&gt;=$G$30,"فرصة نمو","يحتاج مراجعة"))</f>
        <v>فرصة نمو</v>
      </c>
      <c r="K28" s="47" t="n">
        <v>23</v>
      </c>
      <c r="L28" s="43" t="str">
        <f aca="false">INDEX($B$6:$B$29,MATCH($K28,$H$6:$H$29,0))</f>
        <v>طقم أدوات مكتبية</v>
      </c>
      <c r="M28" s="42" t="n">
        <f aca="false">INDEX($E$6:$E$29,MATCH($K28,$H$6:$H$29,0))</f>
        <v>37426.5</v>
      </c>
      <c r="N28" s="44" t="n">
        <f aca="false">IFERROR(M28/$E$30,0)</f>
        <v>0.0175169352840122</v>
      </c>
      <c r="O28" s="44" t="n">
        <f aca="false">SUM($N$6:N28)</f>
        <v>0.989766869115476</v>
      </c>
      <c r="P28" s="43" t="str">
        <f aca="false">IF(O28-N28&lt;0.8,"A",IF(O28-N28&lt;0.95,"B","C"))</f>
        <v>C</v>
      </c>
      <c r="Q28" s="44" t="n">
        <f aca="false">INDEX($G$6:$G$29,MATCH($K28,$H$6:$H$29,0))</f>
        <v>0.454130094986173</v>
      </c>
    </row>
    <row r="29" customFormat="false" ht="15" hidden="false" customHeight="false" outlineLevel="0" collapsed="false">
      <c r="A29" s="41" t="s">
        <v>187</v>
      </c>
      <c r="B29" s="43" t="str">
        <f aca="false">INDEX(p_Name,MATCH($A29,p_ID,0))</f>
        <v>جهاز تدليك</v>
      </c>
      <c r="C29" s="41" t="str">
        <f aca="false">INDEX(p_Cat,MATCH($A29,p_ID,0))</f>
        <v>عناية شخصية</v>
      </c>
      <c r="D29" s="42" t="n">
        <f aca="false">SUMIFS(d_Qty,d_PID,$A29,d_Status,"مكتمل")</f>
        <v>136</v>
      </c>
      <c r="E29" s="42" t="n">
        <f aca="false">SUMIFS(d_Rev,d_PID,$A29)</f>
        <v>75000</v>
      </c>
      <c r="F29" s="42" t="n">
        <f aca="false">SUMIFS(d_Profit,d_PID,$A29)</f>
        <v>30120</v>
      </c>
      <c r="G29" s="44" t="n">
        <f aca="false">IFERROR(F29/E29,0)</f>
        <v>0.4016</v>
      </c>
      <c r="H29" s="47" t="n">
        <f aca="false">RANK(E29,$E$6:$E$29)+COUNTIF($E$6:E29,E29)-1</f>
        <v>12</v>
      </c>
      <c r="I29" s="41" t="str">
        <f aca="false">IF(E29&gt;=AVERAGE($E$6:$E$29),IF(G29&gt;=$G$30,"نجم","حجم بلا ربحية"),IF(G29&gt;=$G$30,"فرصة نمو","يحتاج مراجعة"))</f>
        <v>فرصة نمو</v>
      </c>
      <c r="K29" s="47" t="n">
        <v>24</v>
      </c>
      <c r="L29" s="43" t="str">
        <f aca="false">INDEX($B$6:$B$29,MATCH($K29,$H$6:$H$29,0))</f>
        <v>سجادة يوغا</v>
      </c>
      <c r="M29" s="42" t="n">
        <f aca="false">INDEX($E$6:$E$29,MATCH($K29,$H$6:$H$29,0))</f>
        <v>21864</v>
      </c>
      <c r="N29" s="44" t="n">
        <f aca="false">IFERROR(M29/$E$30,0)</f>
        <v>0.0102331308845241</v>
      </c>
      <c r="O29" s="44" t="n">
        <f aca="false">SUM($N$6:N29)</f>
        <v>1</v>
      </c>
      <c r="P29" s="43" t="str">
        <f aca="false">IF(O29-N29&lt;0.8,"A",IF(O29-N29&lt;0.95,"B","C"))</f>
        <v>C</v>
      </c>
      <c r="Q29" s="44" t="n">
        <f aca="false">INDEX($G$6:$G$29,MATCH($K29,$H$6:$H$29,0))</f>
        <v>0.560922063666301</v>
      </c>
    </row>
    <row r="30" customFormat="false" ht="15" hidden="false" customHeight="false" outlineLevel="0" collapsed="false">
      <c r="A30" s="23" t="s">
        <v>122</v>
      </c>
      <c r="B30" s="23"/>
      <c r="C30" s="23"/>
      <c r="D30" s="48" t="n">
        <f aca="false">SUM(D6:D29)</f>
        <v>4146</v>
      </c>
      <c r="E30" s="48" t="n">
        <f aca="false">SUM(E6:E29)</f>
        <v>2136589.5</v>
      </c>
      <c r="F30" s="48" t="n">
        <f aca="false">SUM(F6:F29)</f>
        <v>715514.5</v>
      </c>
      <c r="G30" s="49" t="n">
        <f aca="false">IFERROR(F30/E30,0)</f>
        <v>0.334886275533976</v>
      </c>
      <c r="H30" s="23"/>
      <c r="I30" s="23"/>
    </row>
    <row r="31" customFormat="false" ht="21.75" hidden="false" customHeight="true" outlineLevel="0" collapsed="false">
      <c r="K31" s="7" t="s">
        <v>188</v>
      </c>
      <c r="L31" s="8"/>
      <c r="M31" s="8"/>
      <c r="N31" s="8"/>
      <c r="O31" s="8"/>
      <c r="P31" s="8"/>
      <c r="Q31" s="8"/>
    </row>
    <row r="32" customFormat="false" ht="24" hidden="false" customHeight="true" outlineLevel="0" collapsed="false">
      <c r="K32" s="9" t="s">
        <v>189</v>
      </c>
      <c r="L32" s="9" t="s">
        <v>190</v>
      </c>
      <c r="M32" s="9" t="s">
        <v>113</v>
      </c>
      <c r="N32" s="9" t="s">
        <v>128</v>
      </c>
    </row>
    <row r="33" customFormat="false" ht="15" hidden="false" customHeight="false" outlineLevel="0" collapsed="false">
      <c r="K33" s="43" t="s">
        <v>191</v>
      </c>
      <c r="L33" s="47" t="n">
        <f aca="false">COUNTIF($P$6:$P$29,K33)</f>
        <v>16</v>
      </c>
      <c r="M33" s="42" t="n">
        <f aca="false">SUMIF($P$6:$P$29,K33,$M$6:$M$29)</f>
        <v>1759576</v>
      </c>
      <c r="N33" s="44" t="n">
        <f aca="false">IFERROR(M33/$E$30,0)</f>
        <v>0.823544251247139</v>
      </c>
    </row>
    <row r="34" customFormat="false" ht="15" hidden="false" customHeight="false" outlineLevel="0" collapsed="false">
      <c r="K34" s="43" t="s">
        <v>192</v>
      </c>
      <c r="L34" s="47" t="n">
        <f aca="false">COUNTIF($P$6:$P$29,K34)</f>
        <v>5</v>
      </c>
      <c r="M34" s="42" t="n">
        <f aca="false">SUMIF($P$6:$P$29,K34,$M$6:$M$29)</f>
        <v>274141</v>
      </c>
      <c r="N34" s="44" t="n">
        <f aca="false">IFERROR(M34/$E$30,0)</f>
        <v>0.128307754016389</v>
      </c>
    </row>
    <row r="35" customFormat="false" ht="15" hidden="false" customHeight="false" outlineLevel="0" collapsed="false">
      <c r="K35" s="43" t="s">
        <v>193</v>
      </c>
      <c r="L35" s="47" t="n">
        <f aca="false">COUNTIF($P$6:$P$29,K35)</f>
        <v>3</v>
      </c>
      <c r="M35" s="42" t="n">
        <f aca="false">SUMIF($P$6:$P$29,K35,$M$6:$M$29)</f>
        <v>102872.5</v>
      </c>
      <c r="N35" s="44" t="n">
        <f aca="false">IFERROR(M35/$E$30,0)</f>
        <v>0.0481479947364714</v>
      </c>
    </row>
  </sheetData>
  <mergeCells count="2">
    <mergeCell ref="A1:Q1"/>
    <mergeCell ref="B2:Q2"/>
  </mergeCells>
  <conditionalFormatting sqref="E6:E29">
    <cfRule type="dataBar" priority="2">
      <dataBar showValue="1" minLength="10" maxLength="90">
        <cfvo type="num" val="0"/>
        <cfvo type="max" val="0"/>
        <color rgb="FF2A9D8F"/>
      </dataBar>
      <extLst>
        <ext xmlns:x14="http://schemas.microsoft.com/office/spreadsheetml/2009/9/main" uri="{B025F937-C7B1-47D3-B67F-A62EFF666E3E}">
          <x14:id>{22CA7CB0-56A3-4F96-8F12-49C0D5AA731B}</x14:id>
        </ext>
      </extLst>
    </cfRule>
  </conditionalFormatting>
  <conditionalFormatting sqref="G6:G29">
    <cfRule type="colorScale" priority="3">
      <colorScale>
        <cfvo type="min" val="0"/>
        <cfvo type="max" val="0"/>
        <color rgb="FFF8CBAD"/>
        <color rgb="FFA9D18E"/>
      </colorScale>
    </cfRule>
  </conditionalFormatting>
  <conditionalFormatting sqref="I6:I29">
    <cfRule type="cellIs" priority="4" operator="equal" aboveAverage="0" equalAverage="0" bottom="0" percent="0" rank="0" text="" dxfId="4">
      <formula>"نجم"</formula>
    </cfRule>
    <cfRule type="cellIs" priority="5" operator="equal" aboveAverage="0" equalAverage="0" bottom="0" percent="0" rank="0" text="" dxfId="5">
      <formula>"حجم بلا ربحية"</formula>
    </cfRule>
    <cfRule type="cellIs" priority="6" operator="equal" aboveAverage="0" equalAverage="0" bottom="0" percent="0" rank="0" text="" dxfId="6">
      <formula>"فرصة نمو"</formula>
    </cfRule>
    <cfRule type="cellIs" priority="7" operator="equal" aboveAverage="0" equalAverage="0" bottom="0" percent="0" rank="0" text="" dxfId="7">
      <formula>"يحتاج مراجعة"</formula>
    </cfRule>
  </conditionalFormatting>
  <conditionalFormatting sqref="P6:P29">
    <cfRule type="cellIs" priority="8" operator="equal" aboveAverage="0" equalAverage="0" bottom="0" percent="0" rank="0" text="" dxfId="4">
      <formula>"A"</formula>
    </cfRule>
    <cfRule type="cellIs" priority="9" operator="equal" aboveAverage="0" equalAverage="0" bottom="0" percent="0" rank="0" text="" dxfId="5">
      <formula>"B"</formula>
    </cfRule>
    <cfRule type="cellIs" priority="10" operator="equal" aboveAverage="0" equalAverage="0" bottom="0" percent="0" rank="0" text="" dxfId="7">
      <formula>"C"</formula>
    </cfRule>
  </conditionalFormatting>
  <hyperlinks>
    <hyperlink ref="A2" location="'الفهرس'!A1" display="↩ الفهرس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CA7CB0-56A3-4F96-8F12-49C0D5AA731B}">
            <x14:dataBar minLength="10" maxLength="90" axisPosition="none" gradient="true">
              <x14:cfvo type="num">
                <xm:f>0</xm:f>
              </x14:cfvo>
              <x14:cfvo type="max"/>
              <x14:negativeFillColor rgb="FF2A9D8F"/>
              <x14:axisColor rgb="FF000000"/>
            </x14:dataBar>
          </x14:cfRule>
          <xm:sqref>E6:E29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6F51"/>
    <pageSetUpPr fitToPage="true"/>
  </sheetPr>
  <dimension ref="A1:O22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3"/>
  </cols>
  <sheetData>
    <row r="1" customFormat="false" ht="33.75" hidden="false" customHeight="true" outlineLevel="0" collapsed="false">
      <c r="A1" s="1" t="s">
        <v>194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A2" s="2" t="s">
        <v>1</v>
      </c>
      <c r="B2" s="3" t="s">
        <v>195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false" outlineLevel="0" collapsed="false">
      <c r="A3" s="50" t="s">
        <v>196</v>
      </c>
      <c r="B3" s="51" t="n">
        <f aca="false">MAX(d_Date)+1</f>
        <v>46296</v>
      </c>
    </row>
    <row r="4" customFormat="false" ht="21.75" hidden="false" customHeight="true" outlineLevel="0" collapsed="false">
      <c r="A4" s="7" t="s">
        <v>197</v>
      </c>
      <c r="B4" s="8"/>
      <c r="C4" s="8"/>
      <c r="D4" s="8"/>
      <c r="G4" s="7" t="s">
        <v>198</v>
      </c>
      <c r="H4" s="8"/>
      <c r="I4" s="8"/>
      <c r="J4" s="8"/>
      <c r="K4" s="8"/>
      <c r="M4" s="7" t="s">
        <v>199</v>
      </c>
      <c r="N4" s="8"/>
      <c r="O4" s="8"/>
    </row>
    <row r="5" customFormat="false" ht="30" hidden="false" customHeight="true" outlineLevel="0" collapsed="false">
      <c r="A5" s="9" t="s">
        <v>200</v>
      </c>
      <c r="B5" s="9" t="s">
        <v>201</v>
      </c>
      <c r="C5" s="9" t="s">
        <v>202</v>
      </c>
      <c r="D5" s="9" t="s">
        <v>203</v>
      </c>
      <c r="G5" s="9" t="s">
        <v>8</v>
      </c>
      <c r="H5" s="9" t="s">
        <v>204</v>
      </c>
      <c r="I5" s="9" t="s">
        <v>205</v>
      </c>
      <c r="J5" s="9" t="s">
        <v>113</v>
      </c>
      <c r="K5" s="9" t="s">
        <v>128</v>
      </c>
      <c r="M5" s="9" t="s">
        <v>206</v>
      </c>
      <c r="N5" s="9" t="s">
        <v>207</v>
      </c>
      <c r="O5" s="9" t="s">
        <v>113</v>
      </c>
    </row>
    <row r="6" customFormat="false" ht="15" hidden="false" customHeight="false" outlineLevel="0" collapsed="false">
      <c r="A6" s="43" t="s">
        <v>208</v>
      </c>
      <c r="B6" s="47" t="n">
        <f aca="false">QUARTILE($I$21:$I$220,1)</f>
        <v>17.75</v>
      </c>
      <c r="C6" s="47" t="n">
        <f aca="false">QUARTILE($I$21:$I$220,2)</f>
        <v>47</v>
      </c>
      <c r="D6" s="47" t="n">
        <f aca="false">QUARTILE($I$21:$I$220,3)</f>
        <v>119.25</v>
      </c>
      <c r="G6" s="47" t="n">
        <v>1</v>
      </c>
      <c r="H6" s="43" t="str">
        <f aca="false">INDEX($B$21:$B$220,MATCH($G6,$O$21:$O$220,0))</f>
        <v>خالد البلوي</v>
      </c>
      <c r="I6" s="41" t="str">
        <f aca="false">INDEX($N$21:$N$220,MATCH($G6,$O$21:$O$220,0))</f>
        <v>أبطال</v>
      </c>
      <c r="J6" s="42" t="n">
        <f aca="false">INDEX($F$21:$F$220,MATCH($G6,$O$21:$O$220,0))</f>
        <v>147382</v>
      </c>
      <c r="K6" s="44" t="n">
        <f aca="false">IFERROR(J6/SUM(d_Rev),0)</f>
        <v>0.0689800263457253</v>
      </c>
      <c r="M6" s="43" t="s">
        <v>209</v>
      </c>
      <c r="N6" s="42" t="n">
        <f aca="false">COUNTIF(c_Seg,$M6)</f>
        <v>143</v>
      </c>
      <c r="O6" s="42" t="n">
        <f aca="false">SUMIF($C$21:$C$220,$M6,$F$21:$F$220)</f>
        <v>1033844</v>
      </c>
    </row>
    <row r="7" customFormat="false" ht="15" hidden="false" customHeight="false" outlineLevel="0" collapsed="false">
      <c r="A7" s="43" t="s">
        <v>210</v>
      </c>
      <c r="B7" s="47" t="n">
        <f aca="false">QUARTILE($E$21:$E$220,1)</f>
        <v>3</v>
      </c>
      <c r="C7" s="47" t="n">
        <f aca="false">QUARTILE($E$21:$E$220,2)</f>
        <v>5</v>
      </c>
      <c r="D7" s="47" t="n">
        <f aca="false">QUARTILE($E$21:$E$220,3)</f>
        <v>10</v>
      </c>
      <c r="G7" s="47" t="n">
        <v>2</v>
      </c>
      <c r="H7" s="43" t="str">
        <f aca="false">INDEX($B$21:$B$220,MATCH($G7,$O$21:$O$220,0))</f>
        <v>خالد السبيعي</v>
      </c>
      <c r="I7" s="41" t="str">
        <f aca="false">INDEX($N$21:$N$220,MATCH($G7,$O$21:$O$220,0))</f>
        <v>أبطال</v>
      </c>
      <c r="J7" s="42" t="n">
        <f aca="false">INDEX($F$21:$F$220,MATCH($G7,$O$21:$O$220,0))</f>
        <v>76998.5</v>
      </c>
      <c r="K7" s="44" t="n">
        <f aca="false">IFERROR(J7/SUM(d_Rev),0)</f>
        <v>0.0360380409994526</v>
      </c>
      <c r="M7" s="43" t="s">
        <v>211</v>
      </c>
      <c r="N7" s="42" t="n">
        <f aca="false">COUNTIF(c_Seg,$M7)</f>
        <v>45</v>
      </c>
      <c r="O7" s="42" t="n">
        <f aca="false">SUMIF($C$21:$C$220,$M7,$F$21:$F$220)</f>
        <v>489296.5</v>
      </c>
    </row>
    <row r="8" customFormat="false" ht="15" hidden="false" customHeight="false" outlineLevel="0" collapsed="false">
      <c r="A8" s="43" t="s">
        <v>212</v>
      </c>
      <c r="B8" s="42" t="n">
        <f aca="false">QUARTILE($F$21:$F$220,1)</f>
        <v>2307</v>
      </c>
      <c r="C8" s="42" t="n">
        <f aca="false">QUARTILE($F$21:$F$220,2)</f>
        <v>5908.25</v>
      </c>
      <c r="D8" s="42" t="n">
        <f aca="false">QUARTILE($F$21:$F$220,3)</f>
        <v>13055</v>
      </c>
      <c r="G8" s="47" t="n">
        <v>3</v>
      </c>
      <c r="H8" s="43" t="str">
        <f aca="false">INDEX($B$21:$B$220,MATCH($G8,$O$21:$O$220,0))</f>
        <v>أحمد الحربي</v>
      </c>
      <c r="I8" s="41" t="str">
        <f aca="false">INDEX($N$21:$N$220,MATCH($G8,$O$21:$O$220,0))</f>
        <v>أبطال</v>
      </c>
      <c r="J8" s="42" t="n">
        <f aca="false">INDEX($F$21:$F$220,MATCH($G8,$O$21:$O$220,0))</f>
        <v>72854</v>
      </c>
      <c r="K8" s="44" t="n">
        <f aca="false">IFERROR(J8/SUM(d_Rev),0)</f>
        <v>0.0340982673555215</v>
      </c>
      <c r="M8" s="43" t="s">
        <v>213</v>
      </c>
      <c r="N8" s="42" t="n">
        <f aca="false">COUNTIF(c_Seg,$M8)</f>
        <v>12</v>
      </c>
      <c r="O8" s="42" t="n">
        <f aca="false">SUMIF($C$21:$C$220,$M8,$F$21:$F$220)</f>
        <v>613449</v>
      </c>
    </row>
    <row r="9" customFormat="false" ht="15" hidden="false" customHeight="false" outlineLevel="0" collapsed="false">
      <c r="G9" s="47" t="n">
        <v>4</v>
      </c>
      <c r="H9" s="43" t="str">
        <f aca="false">INDEX($B$21:$B$220,MATCH($G9,$O$21:$O$220,0))</f>
        <v>نورة الشهري</v>
      </c>
      <c r="I9" s="41" t="str">
        <f aca="false">INDEX($N$21:$N$220,MATCH($G9,$O$21:$O$220,0))</f>
        <v>أبطال</v>
      </c>
      <c r="J9" s="42" t="n">
        <f aca="false">INDEX($F$21:$F$220,MATCH($G9,$O$21:$O$220,0))</f>
        <v>68718</v>
      </c>
      <c r="K9" s="44" t="n">
        <f aca="false">IFERROR(J9/SUM(d_Rev),0)</f>
        <v>0.0321624720143949</v>
      </c>
    </row>
    <row r="10" customFormat="false" ht="21.75" hidden="false" customHeight="true" outlineLevel="0" collapsed="false">
      <c r="A10" s="7" t="s">
        <v>214</v>
      </c>
      <c r="B10" s="8"/>
      <c r="C10" s="8"/>
      <c r="D10" s="8"/>
      <c r="E10" s="8"/>
      <c r="G10" s="47" t="n">
        <v>5</v>
      </c>
      <c r="H10" s="43" t="str">
        <f aca="false">INDEX($B$21:$B$220,MATCH($G10,$O$21:$O$220,0))</f>
        <v>سعد التميمي</v>
      </c>
      <c r="I10" s="41" t="str">
        <f aca="false">INDEX($N$21:$N$220,MATCH($G10,$O$21:$O$220,0))</f>
        <v>أوفياء</v>
      </c>
      <c r="J10" s="42" t="n">
        <f aca="false">INDEX($F$21:$F$220,MATCH($G10,$O$21:$O$220,0))</f>
        <v>63222</v>
      </c>
      <c r="K10" s="44" t="n">
        <f aca="false">IFERROR(J10/SUM(d_Rev),0)</f>
        <v>0.029590148224542</v>
      </c>
    </row>
    <row r="11" customFormat="false" ht="30" hidden="false" customHeight="true" outlineLevel="0" collapsed="false">
      <c r="A11" s="9" t="s">
        <v>205</v>
      </c>
      <c r="B11" s="9" t="s">
        <v>207</v>
      </c>
      <c r="C11" s="9" t="s">
        <v>113</v>
      </c>
      <c r="D11" s="9" t="s">
        <v>215</v>
      </c>
      <c r="E11" s="9" t="s">
        <v>216</v>
      </c>
      <c r="G11" s="47" t="n">
        <v>6</v>
      </c>
      <c r="H11" s="43" t="str">
        <f aca="false">INDEX($B$21:$B$220,MATCH($G11,$O$21:$O$220,0))</f>
        <v>دانة العتيبي</v>
      </c>
      <c r="I11" s="41" t="str">
        <f aca="false">INDEX($N$21:$N$220,MATCH($G11,$O$21:$O$220,0))</f>
        <v>أبطال</v>
      </c>
      <c r="J11" s="42" t="n">
        <f aca="false">INDEX($F$21:$F$220,MATCH($G11,$O$21:$O$220,0))</f>
        <v>56386.5</v>
      </c>
      <c r="K11" s="44" t="n">
        <f aca="false">IFERROR(J11/SUM(d_Rev),0)</f>
        <v>0.026390890716256</v>
      </c>
    </row>
    <row r="12" customFormat="false" ht="15" hidden="false" customHeight="false" outlineLevel="0" collapsed="false">
      <c r="A12" s="43" t="s">
        <v>217</v>
      </c>
      <c r="B12" s="42" t="n">
        <f aca="false">COUNTIF($N$21:$N$220,$A12)</f>
        <v>61</v>
      </c>
      <c r="C12" s="42" t="n">
        <f aca="false">SUMIF($N$21:$N$220,$A12,$F$21:$F$220)</f>
        <v>1415872.5</v>
      </c>
      <c r="D12" s="44" t="n">
        <f aca="false">IFERROR(C12/$C$17,0)</f>
        <v>0.662678769131834</v>
      </c>
      <c r="E12" s="42" t="n">
        <f aca="false">IFERROR(C12/B12,0)</f>
        <v>23211.0245901639</v>
      </c>
      <c r="G12" s="47" t="n">
        <v>7</v>
      </c>
      <c r="H12" s="43" t="str">
        <f aca="false">INDEX($B$21:$B$220,MATCH($G12,$O$21:$O$220,0))</f>
        <v>أحمد القحطاني</v>
      </c>
      <c r="I12" s="41" t="str">
        <f aca="false">INDEX($N$21:$N$220,MATCH($G12,$O$21:$O$220,0))</f>
        <v>أبطال</v>
      </c>
      <c r="J12" s="42" t="n">
        <f aca="false">INDEX($F$21:$F$220,MATCH($G12,$O$21:$O$220,0))</f>
        <v>47116.5</v>
      </c>
      <c r="K12" s="44" t="n">
        <f aca="false">IFERROR(J12/SUM(d_Rev),0)</f>
        <v>0.0220522004811874</v>
      </c>
    </row>
    <row r="13" customFormat="false" ht="15" hidden="false" customHeight="false" outlineLevel="0" collapsed="false">
      <c r="A13" s="43" t="s">
        <v>218</v>
      </c>
      <c r="B13" s="42" t="n">
        <f aca="false">COUNTIF($N$21:$N$220,$A13)</f>
        <v>42</v>
      </c>
      <c r="C13" s="42" t="n">
        <f aca="false">SUMIF($N$21:$N$220,$A13,$F$21:$F$220)</f>
        <v>446213</v>
      </c>
      <c r="D13" s="44" t="n">
        <f aca="false">IFERROR(C13/$C$17,0)</f>
        <v>0.208843579920242</v>
      </c>
      <c r="E13" s="42" t="n">
        <f aca="false">IFERROR(C13/B13,0)</f>
        <v>10624.119047619</v>
      </c>
      <c r="G13" s="47" t="n">
        <v>8</v>
      </c>
      <c r="H13" s="43" t="str">
        <f aca="false">INDEX($B$21:$B$220,MATCH($G13,$O$21:$O$220,0))</f>
        <v>عبدالله الحسيني</v>
      </c>
      <c r="I13" s="41" t="str">
        <f aca="false">INDEX($N$21:$N$220,MATCH($G13,$O$21:$O$220,0))</f>
        <v>أبطال</v>
      </c>
      <c r="J13" s="42" t="n">
        <f aca="false">INDEX($F$21:$F$220,MATCH($G13,$O$21:$O$220,0))</f>
        <v>41249.5</v>
      </c>
      <c r="K13" s="44" t="n">
        <f aca="false">IFERROR(J13/SUM(d_Rev),0)</f>
        <v>0.0193062354748069</v>
      </c>
    </row>
    <row r="14" customFormat="false" ht="15" hidden="false" customHeight="false" outlineLevel="0" collapsed="false">
      <c r="A14" s="43" t="s">
        <v>219</v>
      </c>
      <c r="B14" s="42" t="n">
        <f aca="false">COUNTIF($N$21:$N$220,$A14)</f>
        <v>42</v>
      </c>
      <c r="C14" s="42" t="n">
        <f aca="false">SUMIF($N$21:$N$220,$A14,$F$21:$F$220)</f>
        <v>179904.5</v>
      </c>
      <c r="D14" s="44" t="n">
        <f aca="false">IFERROR(C14/$C$17,0)</f>
        <v>0.0842017149293301</v>
      </c>
      <c r="E14" s="42" t="n">
        <f aca="false">IFERROR(C14/B14,0)</f>
        <v>4283.44047619048</v>
      </c>
      <c r="G14" s="47" t="n">
        <v>9</v>
      </c>
      <c r="H14" s="43" t="str">
        <f aca="false">INDEX($B$21:$B$220,MATCH($G14,$O$21:$O$220,0))</f>
        <v>عبير القحطاني</v>
      </c>
      <c r="I14" s="41" t="str">
        <f aca="false">INDEX($N$21:$N$220,MATCH($G14,$O$21:$O$220,0))</f>
        <v>أبطال</v>
      </c>
      <c r="J14" s="42" t="n">
        <f aca="false">INDEX($F$21:$F$220,MATCH($G14,$O$21:$O$220,0))</f>
        <v>37584</v>
      </c>
      <c r="K14" s="44" t="n">
        <f aca="false">IFERROR(J14/SUM(d_Rev),0)</f>
        <v>0.0175906508948022</v>
      </c>
    </row>
    <row r="15" customFormat="false" ht="15" hidden="false" customHeight="false" outlineLevel="0" collapsed="false">
      <c r="A15" s="43" t="s">
        <v>220</v>
      </c>
      <c r="B15" s="42" t="n">
        <f aca="false">COUNTIF($N$21:$N$220,$A15)</f>
        <v>28</v>
      </c>
      <c r="C15" s="42" t="n">
        <f aca="false">SUMIF($N$21:$N$220,$A15,$F$21:$F$220)</f>
        <v>74294</v>
      </c>
      <c r="D15" s="44" t="n">
        <f aca="false">IFERROR(C15/$C$17,0)</f>
        <v>0.0347722386541729</v>
      </c>
      <c r="E15" s="42" t="n">
        <f aca="false">IFERROR(C15/B15,0)</f>
        <v>2653.35714285714</v>
      </c>
      <c r="G15" s="47" t="n">
        <v>10</v>
      </c>
      <c r="H15" s="43" t="str">
        <f aca="false">INDEX($B$21:$B$220,MATCH($G15,$O$21:$O$220,0))</f>
        <v>طارق الشمري</v>
      </c>
      <c r="I15" s="41" t="str">
        <f aca="false">INDEX($N$21:$N$220,MATCH($G15,$O$21:$O$220,0))</f>
        <v>أوفياء</v>
      </c>
      <c r="J15" s="42" t="n">
        <f aca="false">INDEX($F$21:$F$220,MATCH($G15,$O$21:$O$220,0))</f>
        <v>36980.5</v>
      </c>
      <c r="K15" s="44" t="n">
        <f aca="false">IFERROR(J15/SUM(d_Rev),0)</f>
        <v>0.0173081913956799</v>
      </c>
    </row>
    <row r="16" customFormat="false" ht="15" hidden="false" customHeight="false" outlineLevel="0" collapsed="false">
      <c r="A16" s="43" t="s">
        <v>221</v>
      </c>
      <c r="B16" s="42" t="n">
        <f aca="false">COUNTIF($N$21:$N$220,$A16)</f>
        <v>27</v>
      </c>
      <c r="C16" s="42" t="n">
        <f aca="false">SUMIF($N$21:$N$220,$A16,$F$21:$F$220)</f>
        <v>20305.5</v>
      </c>
      <c r="D16" s="44" t="n">
        <f aca="false">IFERROR(C16/$C$17,0)</f>
        <v>0.0095036973644212</v>
      </c>
      <c r="E16" s="42" t="n">
        <f aca="false">IFERROR(C16/B16,0)</f>
        <v>752.055555555556</v>
      </c>
    </row>
    <row r="17" customFormat="false" ht="15" hidden="false" customHeight="false" outlineLevel="0" collapsed="false">
      <c r="A17" s="23" t="s">
        <v>122</v>
      </c>
      <c r="B17" s="48" t="n">
        <f aca="false">SUM(B12:B16)</f>
        <v>200</v>
      </c>
      <c r="C17" s="48" t="n">
        <f aca="false">SUM(C12:C16)</f>
        <v>2136589.5</v>
      </c>
      <c r="D17" s="49" t="n">
        <f aca="false">SUM(D12:D16)</f>
        <v>1</v>
      </c>
      <c r="E17" s="48" t="n">
        <f aca="false">IFERROR(C17/B17,0)</f>
        <v>10682.9475</v>
      </c>
    </row>
    <row r="19" customFormat="false" ht="21.75" hidden="false" customHeight="true" outlineLevel="0" collapsed="false">
      <c r="A19" s="7" t="s">
        <v>222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customFormat="false" ht="33.75" hidden="false" customHeight="true" outlineLevel="0" collapsed="false">
      <c r="A20" s="9" t="s">
        <v>223</v>
      </c>
      <c r="B20" s="9" t="s">
        <v>224</v>
      </c>
      <c r="C20" s="9" t="s">
        <v>206</v>
      </c>
      <c r="D20" s="9" t="s">
        <v>75</v>
      </c>
      <c r="E20" s="9" t="s">
        <v>130</v>
      </c>
      <c r="F20" s="9" t="s">
        <v>113</v>
      </c>
      <c r="G20" s="9" t="s">
        <v>80</v>
      </c>
      <c r="H20" s="9" t="s">
        <v>225</v>
      </c>
      <c r="I20" s="9" t="s">
        <v>226</v>
      </c>
      <c r="J20" s="9" t="s">
        <v>227</v>
      </c>
      <c r="K20" s="9" t="s">
        <v>228</v>
      </c>
      <c r="L20" s="9" t="s">
        <v>229</v>
      </c>
      <c r="M20" s="9" t="s">
        <v>230</v>
      </c>
      <c r="N20" s="9" t="s">
        <v>205</v>
      </c>
      <c r="O20" s="9" t="s">
        <v>231</v>
      </c>
    </row>
    <row r="21" customFormat="false" ht="15" hidden="false" customHeight="false" outlineLevel="0" collapsed="false">
      <c r="A21" s="41" t="s">
        <v>232</v>
      </c>
      <c r="B21" s="41" t="str">
        <f aca="false">INDEX(c_Name,MATCH($A21,c_ID,0))</f>
        <v>محمد الدوسري</v>
      </c>
      <c r="C21" s="41" t="str">
        <f aca="false">INDEX(c_Seg,MATCH($A21,c_ID,0))</f>
        <v>أفراد</v>
      </c>
      <c r="D21" s="41" t="str">
        <f aca="false">INDEX(c_Region,MATCH($A21,c_ID,0))</f>
        <v>الشرقية</v>
      </c>
      <c r="E21" s="47" t="n">
        <f aca="false">COUNTIFS(d_Cust,$A21,d_Status,"مكتمل")</f>
        <v>1</v>
      </c>
      <c r="F21" s="42" t="n">
        <f aca="false">SUMIFS(d_Rev,d_Cust,$A21)</f>
        <v>1710</v>
      </c>
      <c r="G21" s="42" t="n">
        <f aca="false">SUMIFS(d_Profit,d_Cust,$A21)</f>
        <v>360</v>
      </c>
      <c r="H21" s="52" t="n">
        <f aca="false">IF(COUNTIF(d_Cust,$A21)=0,"",SUMPRODUCT(MAX((d_Cust=$A21)*d_Date)))</f>
        <v>46295</v>
      </c>
      <c r="I21" s="47" t="n">
        <f aca="false">IF(H21="",$B$3-MIN(d_Date),$B$3-H21)</f>
        <v>1</v>
      </c>
      <c r="J21" s="47" t="n">
        <f aca="false">IF(I21&lt;=$B$6,4,IF(I21&lt;=$C$6,3,IF(I21&lt;=$D$6,2,1)))</f>
        <v>4</v>
      </c>
      <c r="K21" s="47" t="n">
        <f aca="false">IF(E21&gt;=$D$7,4,IF(E21&gt;=$C$7,3,IF(E21&gt;=$B$7,2,1)))</f>
        <v>1</v>
      </c>
      <c r="L21" s="47" t="n">
        <f aca="false">IF(F21&gt;=$D$8,4,IF(F21&gt;=$C$8,3,IF(F21&gt;=$B$8,2,1)))</f>
        <v>1</v>
      </c>
      <c r="M21" s="53" t="n">
        <f aca="false">J21+K21+L21</f>
        <v>6</v>
      </c>
      <c r="N21" s="41" t="str">
        <f aca="false">IF(M21&gt;=10,"أبطال",IF(M21&gt;=8,"أوفياء",IF(M21&gt;=6,"واعدون",IF(M21&gt;=4,"معرضون للفقد","نائمون"))))</f>
        <v>واعدون</v>
      </c>
      <c r="O21" s="47" t="n">
        <f aca="false">RANK(F21,$F$21:$F$220)+COUNTIF($F$21:F21,F21)-1</f>
        <v>164</v>
      </c>
    </row>
    <row r="22" customFormat="false" ht="15" hidden="false" customHeight="false" outlineLevel="0" collapsed="false">
      <c r="A22" s="41" t="s">
        <v>233</v>
      </c>
      <c r="B22" s="41" t="str">
        <f aca="false">INDEX(c_Name,MATCH($A22,c_ID,0))</f>
        <v>سلمان الخالدي</v>
      </c>
      <c r="C22" s="41" t="str">
        <f aca="false">INDEX(c_Seg,MATCH($A22,c_ID,0))</f>
        <v>شركات صغيرة</v>
      </c>
      <c r="D22" s="41" t="str">
        <f aca="false">INDEX(c_Region,MATCH($A22,c_ID,0))</f>
        <v>الشرقية</v>
      </c>
      <c r="E22" s="47" t="n">
        <f aca="false">COUNTIFS(d_Cust,$A22,d_Status,"مكتمل")</f>
        <v>6</v>
      </c>
      <c r="F22" s="42" t="n">
        <f aca="false">SUMIFS(d_Rev,d_Cust,$A22)</f>
        <v>7279</v>
      </c>
      <c r="G22" s="42" t="n">
        <f aca="false">SUMIFS(d_Profit,d_Cust,$A22)</f>
        <v>1764</v>
      </c>
      <c r="H22" s="52" t="n">
        <f aca="false">IF(COUNTIF(d_Cust,$A22)=0,"",SUMPRODUCT(MAX((d_Cust=$A22)*d_Date)))</f>
        <v>46282</v>
      </c>
      <c r="I22" s="47" t="n">
        <f aca="false">IF(H22="",$B$3-MIN(d_Date),$B$3-H22)</f>
        <v>14</v>
      </c>
      <c r="J22" s="47" t="n">
        <f aca="false">IF(I22&lt;=$B$6,4,IF(I22&lt;=$C$6,3,IF(I22&lt;=$D$6,2,1)))</f>
        <v>4</v>
      </c>
      <c r="K22" s="47" t="n">
        <f aca="false">IF(E22&gt;=$D$7,4,IF(E22&gt;=$C$7,3,IF(E22&gt;=$B$7,2,1)))</f>
        <v>3</v>
      </c>
      <c r="L22" s="47" t="n">
        <f aca="false">IF(F22&gt;=$D$8,4,IF(F22&gt;=$C$8,3,IF(F22&gt;=$B$8,2,1)))</f>
        <v>3</v>
      </c>
      <c r="M22" s="53" t="n">
        <f aca="false">J22+K22+L22</f>
        <v>10</v>
      </c>
      <c r="N22" s="41" t="str">
        <f aca="false">IF(M22&gt;=10,"أبطال",IF(M22&gt;=8,"أوفياء",IF(M22&gt;=6,"واعدون",IF(M22&gt;=4,"معرضون للفقد","نائمون"))))</f>
        <v>أبطال</v>
      </c>
      <c r="O22" s="47" t="n">
        <f aca="false">RANK(F22,$F$21:$F$220)+COUNTIF($F$21:F22,F22)-1</f>
        <v>88</v>
      </c>
    </row>
    <row r="23" customFormat="false" ht="15" hidden="false" customHeight="false" outlineLevel="0" collapsed="false">
      <c r="A23" s="41" t="s">
        <v>234</v>
      </c>
      <c r="B23" s="41" t="str">
        <f aca="false">INDEX(c_Name,MATCH($A23,c_ID,0))</f>
        <v>هند الخالدي</v>
      </c>
      <c r="C23" s="41" t="str">
        <f aca="false">INDEX(c_Seg,MATCH($A23,c_ID,0))</f>
        <v>أفراد</v>
      </c>
      <c r="D23" s="41" t="str">
        <f aca="false">INDEX(c_Region,MATCH($A23,c_ID,0))</f>
        <v>الوسطى</v>
      </c>
      <c r="E23" s="47" t="n">
        <f aca="false">COUNTIFS(d_Cust,$A23,d_Status,"مكتمل")</f>
        <v>14</v>
      </c>
      <c r="F23" s="42" t="n">
        <f aca="false">SUMIFS(d_Rev,d_Cust,$A23)</f>
        <v>13075.5</v>
      </c>
      <c r="G23" s="42" t="n">
        <f aca="false">SUMIFS(d_Profit,d_Cust,$A23)</f>
        <v>4195.5</v>
      </c>
      <c r="H23" s="52" t="n">
        <f aca="false">IF(COUNTIF(d_Cust,$A23)=0,"",SUMPRODUCT(MAX((d_Cust=$A23)*d_Date)))</f>
        <v>46251</v>
      </c>
      <c r="I23" s="47" t="n">
        <f aca="false">IF(H23="",$B$3-MIN(d_Date),$B$3-H23)</f>
        <v>45</v>
      </c>
      <c r="J23" s="47" t="n">
        <f aca="false">IF(I23&lt;=$B$6,4,IF(I23&lt;=$C$6,3,IF(I23&lt;=$D$6,2,1)))</f>
        <v>3</v>
      </c>
      <c r="K23" s="47" t="n">
        <f aca="false">IF(E23&gt;=$D$7,4,IF(E23&gt;=$C$7,3,IF(E23&gt;=$B$7,2,1)))</f>
        <v>4</v>
      </c>
      <c r="L23" s="47" t="n">
        <f aca="false">IF(F23&gt;=$D$8,4,IF(F23&gt;=$C$8,3,IF(F23&gt;=$B$8,2,1)))</f>
        <v>4</v>
      </c>
      <c r="M23" s="53" t="n">
        <f aca="false">J23+K23+L23</f>
        <v>11</v>
      </c>
      <c r="N23" s="41" t="str">
        <f aca="false">IF(M23&gt;=10,"أبطال",IF(M23&gt;=8,"أوفياء",IF(M23&gt;=6,"واعدون",IF(M23&gt;=4,"معرضون للفقد","نائمون"))))</f>
        <v>أبطال</v>
      </c>
      <c r="O23" s="47" t="n">
        <f aca="false">RANK(F23,$F$21:$F$220)+COUNTIF($F$21:F23,F23)-1</f>
        <v>49</v>
      </c>
    </row>
    <row r="24" customFormat="false" ht="15" hidden="false" customHeight="false" outlineLevel="0" collapsed="false">
      <c r="A24" s="41" t="s">
        <v>235</v>
      </c>
      <c r="B24" s="41" t="str">
        <f aca="false">INDEX(c_Name,MATCH($A24,c_ID,0))</f>
        <v>ليلى الزهراني</v>
      </c>
      <c r="C24" s="41" t="str">
        <f aca="false">INDEX(c_Seg,MATCH($A24,c_ID,0))</f>
        <v>أفراد</v>
      </c>
      <c r="D24" s="41" t="str">
        <f aca="false">INDEX(c_Region,MATCH($A24,c_ID,0))</f>
        <v>الشرقية</v>
      </c>
      <c r="E24" s="47" t="n">
        <f aca="false">COUNTIFS(d_Cust,$A24,d_Status,"مكتمل")</f>
        <v>12</v>
      </c>
      <c r="F24" s="42" t="n">
        <f aca="false">SUMIFS(d_Rev,d_Cust,$A24)</f>
        <v>12512</v>
      </c>
      <c r="G24" s="42" t="n">
        <f aca="false">SUMIFS(d_Profit,d_Cust,$A24)</f>
        <v>3982</v>
      </c>
      <c r="H24" s="52" t="n">
        <f aca="false">IF(COUNTIF(d_Cust,$A24)=0,"",SUMPRODUCT(MAX((d_Cust=$A24)*d_Date)))</f>
        <v>46286</v>
      </c>
      <c r="I24" s="47" t="n">
        <f aca="false">IF(H24="",$B$3-MIN(d_Date),$B$3-H24)</f>
        <v>10</v>
      </c>
      <c r="J24" s="47" t="n">
        <f aca="false">IF(I24&lt;=$B$6,4,IF(I24&lt;=$C$6,3,IF(I24&lt;=$D$6,2,1)))</f>
        <v>4</v>
      </c>
      <c r="K24" s="47" t="n">
        <f aca="false">IF(E24&gt;=$D$7,4,IF(E24&gt;=$C$7,3,IF(E24&gt;=$B$7,2,1)))</f>
        <v>4</v>
      </c>
      <c r="L24" s="47" t="n">
        <f aca="false">IF(F24&gt;=$D$8,4,IF(F24&gt;=$C$8,3,IF(F24&gt;=$B$8,2,1)))</f>
        <v>3</v>
      </c>
      <c r="M24" s="53" t="n">
        <f aca="false">J24+K24+L24</f>
        <v>11</v>
      </c>
      <c r="N24" s="41" t="str">
        <f aca="false">IF(M24&gt;=10,"أبطال",IF(M24&gt;=8,"أوفياء",IF(M24&gt;=6,"واعدون",IF(M24&gt;=4,"معرضون للفقد","نائمون"))))</f>
        <v>أبطال</v>
      </c>
      <c r="O24" s="47" t="n">
        <f aca="false">RANK(F24,$F$21:$F$220)+COUNTIF($F$21:F24,F24)-1</f>
        <v>53</v>
      </c>
    </row>
    <row r="25" customFormat="false" ht="15" hidden="false" customHeight="false" outlineLevel="0" collapsed="false">
      <c r="A25" s="41" t="s">
        <v>236</v>
      </c>
      <c r="B25" s="41" t="str">
        <f aca="false">INDEX(c_Name,MATCH($A25,c_ID,0))</f>
        <v>ناصر البلوي</v>
      </c>
      <c r="C25" s="41" t="str">
        <f aca="false">INDEX(c_Seg,MATCH($A25,c_ID,0))</f>
        <v>أفراد</v>
      </c>
      <c r="D25" s="41" t="str">
        <f aca="false">INDEX(c_Region,MATCH($A25,c_ID,0))</f>
        <v>الوسطى</v>
      </c>
      <c r="E25" s="47" t="n">
        <f aca="false">COUNTIFS(d_Cust,$A25,d_Status,"مكتمل")</f>
        <v>6</v>
      </c>
      <c r="F25" s="42" t="n">
        <f aca="false">SUMIFS(d_Rev,d_Cust,$A25)</f>
        <v>4423</v>
      </c>
      <c r="G25" s="42" t="n">
        <f aca="false">SUMIFS(d_Profit,d_Cust,$A25)</f>
        <v>2208</v>
      </c>
      <c r="H25" s="52" t="n">
        <f aca="false">IF(COUNTIF(d_Cust,$A25)=0,"",SUMPRODUCT(MAX((d_Cust=$A25)*d_Date)))</f>
        <v>46237</v>
      </c>
      <c r="I25" s="47" t="n">
        <f aca="false">IF(H25="",$B$3-MIN(d_Date),$B$3-H25)</f>
        <v>59</v>
      </c>
      <c r="J25" s="47" t="n">
        <f aca="false">IF(I25&lt;=$B$6,4,IF(I25&lt;=$C$6,3,IF(I25&lt;=$D$6,2,1)))</f>
        <v>2</v>
      </c>
      <c r="K25" s="47" t="n">
        <f aca="false">IF(E25&gt;=$D$7,4,IF(E25&gt;=$C$7,3,IF(E25&gt;=$B$7,2,1)))</f>
        <v>3</v>
      </c>
      <c r="L25" s="47" t="n">
        <f aca="false">IF(F25&gt;=$D$8,4,IF(F25&gt;=$C$8,3,IF(F25&gt;=$B$8,2,1)))</f>
        <v>2</v>
      </c>
      <c r="M25" s="53" t="n">
        <f aca="false">J25+K25+L25</f>
        <v>7</v>
      </c>
      <c r="N25" s="41" t="str">
        <f aca="false">IF(M25&gt;=10,"أبطال",IF(M25&gt;=8,"أوفياء",IF(M25&gt;=6,"واعدون",IF(M25&gt;=4,"معرضون للفقد","نائمون"))))</f>
        <v>واعدون</v>
      </c>
      <c r="O25" s="47" t="n">
        <f aca="false">RANK(F25,$F$21:$F$220)+COUNTIF($F$21:F25,F25)-1</f>
        <v>116</v>
      </c>
    </row>
    <row r="26" customFormat="false" ht="15" hidden="false" customHeight="false" outlineLevel="0" collapsed="false">
      <c r="A26" s="41" t="s">
        <v>237</v>
      </c>
      <c r="B26" s="41" t="str">
        <f aca="false">INDEX(c_Name,MATCH($A26,c_ID,0))</f>
        <v>محمد البلوي</v>
      </c>
      <c r="C26" s="41" t="str">
        <f aca="false">INDEX(c_Seg,MATCH($A26,c_ID,0))</f>
        <v>أفراد</v>
      </c>
      <c r="D26" s="41" t="str">
        <f aca="false">INDEX(c_Region,MATCH($A26,c_ID,0))</f>
        <v>الوسطى</v>
      </c>
      <c r="E26" s="47" t="n">
        <f aca="false">COUNTIFS(d_Cust,$A26,d_Status,"مكتمل")</f>
        <v>8</v>
      </c>
      <c r="F26" s="42" t="n">
        <f aca="false">SUMIFS(d_Rev,d_Cust,$A26)</f>
        <v>5958.5</v>
      </c>
      <c r="G26" s="42" t="n">
        <f aca="false">SUMIFS(d_Profit,d_Cust,$A26)</f>
        <v>2308.5</v>
      </c>
      <c r="H26" s="52" t="n">
        <f aca="false">IF(COUNTIF(d_Cust,$A26)=0,"",SUMPRODUCT(MAX((d_Cust=$A26)*d_Date)))</f>
        <v>46171</v>
      </c>
      <c r="I26" s="47" t="n">
        <f aca="false">IF(H26="",$B$3-MIN(d_Date),$B$3-H26)</f>
        <v>125</v>
      </c>
      <c r="J26" s="47" t="n">
        <f aca="false">IF(I26&lt;=$B$6,4,IF(I26&lt;=$C$6,3,IF(I26&lt;=$D$6,2,1)))</f>
        <v>1</v>
      </c>
      <c r="K26" s="47" t="n">
        <f aca="false">IF(E26&gt;=$D$7,4,IF(E26&gt;=$C$7,3,IF(E26&gt;=$B$7,2,1)))</f>
        <v>3</v>
      </c>
      <c r="L26" s="47" t="n">
        <f aca="false">IF(F26&gt;=$D$8,4,IF(F26&gt;=$C$8,3,IF(F26&gt;=$B$8,2,1)))</f>
        <v>3</v>
      </c>
      <c r="M26" s="53" t="n">
        <f aca="false">J26+K26+L26</f>
        <v>7</v>
      </c>
      <c r="N26" s="41" t="str">
        <f aca="false">IF(M26&gt;=10,"أبطال",IF(M26&gt;=8,"أوفياء",IF(M26&gt;=6,"واعدون",IF(M26&gt;=4,"معرضون للفقد","نائمون"))))</f>
        <v>واعدون</v>
      </c>
      <c r="O26" s="47" t="n">
        <f aca="false">RANK(F26,$F$21:$F$220)+COUNTIF($F$21:F26,F26)-1</f>
        <v>100</v>
      </c>
    </row>
    <row r="27" customFormat="false" ht="15" hidden="false" customHeight="false" outlineLevel="0" collapsed="false">
      <c r="A27" s="41" t="s">
        <v>238</v>
      </c>
      <c r="B27" s="41" t="str">
        <f aca="false">INDEX(c_Name,MATCH($A27,c_ID,0))</f>
        <v>سارة البلوي</v>
      </c>
      <c r="C27" s="41" t="str">
        <f aca="false">INDEX(c_Seg,MATCH($A27,c_ID,0))</f>
        <v>أفراد</v>
      </c>
      <c r="D27" s="41" t="str">
        <f aca="false">INDEX(c_Region,MATCH($A27,c_ID,0))</f>
        <v>الغربية</v>
      </c>
      <c r="E27" s="47" t="n">
        <f aca="false">COUNTIFS(d_Cust,$A27,d_Status,"مكتمل")</f>
        <v>10</v>
      </c>
      <c r="F27" s="42" t="n">
        <f aca="false">SUMIFS(d_Rev,d_Cust,$A27)</f>
        <v>8941</v>
      </c>
      <c r="G27" s="42" t="n">
        <f aca="false">SUMIFS(d_Profit,d_Cust,$A27)</f>
        <v>3046</v>
      </c>
      <c r="H27" s="52" t="n">
        <f aca="false">IF(COUNTIF(d_Cust,$A27)=0,"",SUMPRODUCT(MAX((d_Cust=$A27)*d_Date)))</f>
        <v>46276</v>
      </c>
      <c r="I27" s="47" t="n">
        <f aca="false">IF(H27="",$B$3-MIN(d_Date),$B$3-H27)</f>
        <v>20</v>
      </c>
      <c r="J27" s="47" t="n">
        <f aca="false">IF(I27&lt;=$B$6,4,IF(I27&lt;=$C$6,3,IF(I27&lt;=$D$6,2,1)))</f>
        <v>3</v>
      </c>
      <c r="K27" s="47" t="n">
        <f aca="false">IF(E27&gt;=$D$7,4,IF(E27&gt;=$C$7,3,IF(E27&gt;=$B$7,2,1)))</f>
        <v>4</v>
      </c>
      <c r="L27" s="47" t="n">
        <f aca="false">IF(F27&gt;=$D$8,4,IF(F27&gt;=$C$8,3,IF(F27&gt;=$B$8,2,1)))</f>
        <v>3</v>
      </c>
      <c r="M27" s="53" t="n">
        <f aca="false">J27+K27+L27</f>
        <v>10</v>
      </c>
      <c r="N27" s="41" t="str">
        <f aca="false">IF(M27&gt;=10,"أبطال",IF(M27&gt;=8,"أوفياء",IF(M27&gt;=6,"واعدون",IF(M27&gt;=4,"معرضون للفقد","نائمون"))))</f>
        <v>أبطال</v>
      </c>
      <c r="O27" s="47" t="n">
        <f aca="false">RANK(F27,$F$21:$F$220)+COUNTIF($F$21:F27,F27)-1</f>
        <v>74</v>
      </c>
    </row>
    <row r="28" customFormat="false" ht="15" hidden="false" customHeight="false" outlineLevel="0" collapsed="false">
      <c r="A28" s="41" t="s">
        <v>239</v>
      </c>
      <c r="B28" s="41" t="str">
        <f aca="false">INDEX(c_Name,MATCH($A28,c_ID,0))</f>
        <v>سلمان الحربي</v>
      </c>
      <c r="C28" s="41" t="str">
        <f aca="false">INDEX(c_Seg,MATCH($A28,c_ID,0))</f>
        <v>أفراد</v>
      </c>
      <c r="D28" s="41" t="str">
        <f aca="false">INDEX(c_Region,MATCH($A28,c_ID,0))</f>
        <v>الغربية</v>
      </c>
      <c r="E28" s="47" t="n">
        <f aca="false">COUNTIFS(d_Cust,$A28,d_Status,"مكتمل")</f>
        <v>3</v>
      </c>
      <c r="F28" s="42" t="n">
        <f aca="false">SUMIFS(d_Rev,d_Cust,$A28)</f>
        <v>8627.5</v>
      </c>
      <c r="G28" s="42" t="n">
        <f aca="false">SUMIFS(d_Profit,d_Cust,$A28)</f>
        <v>3487.5</v>
      </c>
      <c r="H28" s="52" t="n">
        <f aca="false">IF(COUNTIF(d_Cust,$A28)=0,"",SUMPRODUCT(MAX((d_Cust=$A28)*d_Date)))</f>
        <v>46172</v>
      </c>
      <c r="I28" s="47" t="n">
        <f aca="false">IF(H28="",$B$3-MIN(d_Date),$B$3-H28)</f>
        <v>124</v>
      </c>
      <c r="J28" s="47" t="n">
        <f aca="false">IF(I28&lt;=$B$6,4,IF(I28&lt;=$C$6,3,IF(I28&lt;=$D$6,2,1)))</f>
        <v>1</v>
      </c>
      <c r="K28" s="47" t="n">
        <f aca="false">IF(E28&gt;=$D$7,4,IF(E28&gt;=$C$7,3,IF(E28&gt;=$B$7,2,1)))</f>
        <v>2</v>
      </c>
      <c r="L28" s="47" t="n">
        <f aca="false">IF(F28&gt;=$D$8,4,IF(F28&gt;=$C$8,3,IF(F28&gt;=$B$8,2,1)))</f>
        <v>3</v>
      </c>
      <c r="M28" s="53" t="n">
        <f aca="false">J28+K28+L28</f>
        <v>6</v>
      </c>
      <c r="N28" s="41" t="str">
        <f aca="false">IF(M28&gt;=10,"أبطال",IF(M28&gt;=8,"أوفياء",IF(M28&gt;=6,"واعدون",IF(M28&gt;=4,"معرضون للفقد","نائمون"))))</f>
        <v>واعدون</v>
      </c>
      <c r="O28" s="47" t="n">
        <f aca="false">RANK(F28,$F$21:$F$220)+COUNTIF($F$21:F28,F28)-1</f>
        <v>76</v>
      </c>
    </row>
    <row r="29" customFormat="false" ht="15" hidden="false" customHeight="false" outlineLevel="0" collapsed="false">
      <c r="A29" s="41" t="s">
        <v>240</v>
      </c>
      <c r="B29" s="41" t="str">
        <f aca="false">INDEX(c_Name,MATCH($A29,c_ID,0))</f>
        <v>سارة العنزي</v>
      </c>
      <c r="C29" s="41" t="str">
        <f aca="false">INDEX(c_Seg,MATCH($A29,c_ID,0))</f>
        <v>أفراد</v>
      </c>
      <c r="D29" s="41" t="str">
        <f aca="false">INDEX(c_Region,MATCH($A29,c_ID,0))</f>
        <v>الغربية</v>
      </c>
      <c r="E29" s="47" t="n">
        <f aca="false">COUNTIFS(d_Cust,$A29,d_Status,"مكتمل")</f>
        <v>5</v>
      </c>
      <c r="F29" s="42" t="n">
        <f aca="false">SUMIFS(d_Rev,d_Cust,$A29)</f>
        <v>4455</v>
      </c>
      <c r="G29" s="42" t="n">
        <f aca="false">SUMIFS(d_Profit,d_Cust,$A29)</f>
        <v>1625</v>
      </c>
      <c r="H29" s="52" t="n">
        <f aca="false">IF(COUNTIF(d_Cust,$A29)=0,"",SUMPRODUCT(MAX((d_Cust=$A29)*d_Date)))</f>
        <v>46215</v>
      </c>
      <c r="I29" s="47" t="n">
        <f aca="false">IF(H29="",$B$3-MIN(d_Date),$B$3-H29)</f>
        <v>81</v>
      </c>
      <c r="J29" s="47" t="n">
        <f aca="false">IF(I29&lt;=$B$6,4,IF(I29&lt;=$C$6,3,IF(I29&lt;=$D$6,2,1)))</f>
        <v>2</v>
      </c>
      <c r="K29" s="47" t="n">
        <f aca="false">IF(E29&gt;=$D$7,4,IF(E29&gt;=$C$7,3,IF(E29&gt;=$B$7,2,1)))</f>
        <v>3</v>
      </c>
      <c r="L29" s="47" t="n">
        <f aca="false">IF(F29&gt;=$D$8,4,IF(F29&gt;=$C$8,3,IF(F29&gt;=$B$8,2,1)))</f>
        <v>2</v>
      </c>
      <c r="M29" s="53" t="n">
        <f aca="false">J29+K29+L29</f>
        <v>7</v>
      </c>
      <c r="N29" s="41" t="str">
        <f aca="false">IF(M29&gt;=10,"أبطال",IF(M29&gt;=8,"أوفياء",IF(M29&gt;=6,"واعدون",IF(M29&gt;=4,"معرضون للفقد","نائمون"))))</f>
        <v>واعدون</v>
      </c>
      <c r="O29" s="47" t="n">
        <f aca="false">RANK(F29,$F$21:$F$220)+COUNTIF($F$21:F29,F29)-1</f>
        <v>115</v>
      </c>
    </row>
    <row r="30" customFormat="false" ht="15" hidden="false" customHeight="false" outlineLevel="0" collapsed="false">
      <c r="A30" s="41" t="s">
        <v>241</v>
      </c>
      <c r="B30" s="41" t="str">
        <f aca="false">INDEX(c_Name,MATCH($A30,c_ID,0))</f>
        <v>فهد الزهراني</v>
      </c>
      <c r="C30" s="41" t="str">
        <f aca="false">INDEX(c_Seg,MATCH($A30,c_ID,0))</f>
        <v>أفراد</v>
      </c>
      <c r="D30" s="41" t="str">
        <f aca="false">INDEX(c_Region,MATCH($A30,c_ID,0))</f>
        <v>الجنوبية</v>
      </c>
      <c r="E30" s="47" t="n">
        <f aca="false">COUNTIFS(d_Cust,$A30,d_Status,"مكتمل")</f>
        <v>6</v>
      </c>
      <c r="F30" s="42" t="n">
        <f aca="false">SUMIFS(d_Rev,d_Cust,$A30)</f>
        <v>7997</v>
      </c>
      <c r="G30" s="42" t="n">
        <f aca="false">SUMIFS(d_Profit,d_Cust,$A30)</f>
        <v>2807</v>
      </c>
      <c r="H30" s="52" t="n">
        <f aca="false">IF(COUNTIF(d_Cust,$A30)=0,"",SUMPRODUCT(MAX((d_Cust=$A30)*d_Date)))</f>
        <v>46234</v>
      </c>
      <c r="I30" s="47" t="n">
        <f aca="false">IF(H30="",$B$3-MIN(d_Date),$B$3-H30)</f>
        <v>62</v>
      </c>
      <c r="J30" s="47" t="n">
        <f aca="false">IF(I30&lt;=$B$6,4,IF(I30&lt;=$C$6,3,IF(I30&lt;=$D$6,2,1)))</f>
        <v>2</v>
      </c>
      <c r="K30" s="47" t="n">
        <f aca="false">IF(E30&gt;=$D$7,4,IF(E30&gt;=$C$7,3,IF(E30&gt;=$B$7,2,1)))</f>
        <v>3</v>
      </c>
      <c r="L30" s="47" t="n">
        <f aca="false">IF(F30&gt;=$D$8,4,IF(F30&gt;=$C$8,3,IF(F30&gt;=$B$8,2,1)))</f>
        <v>3</v>
      </c>
      <c r="M30" s="53" t="n">
        <f aca="false">J30+K30+L30</f>
        <v>8</v>
      </c>
      <c r="N30" s="41" t="str">
        <f aca="false">IF(M30&gt;=10,"أبطال",IF(M30&gt;=8,"أوفياء",IF(M30&gt;=6,"واعدون",IF(M30&gt;=4,"معرضون للفقد","نائمون"))))</f>
        <v>أوفياء</v>
      </c>
      <c r="O30" s="47" t="n">
        <f aca="false">RANK(F30,$F$21:$F$220)+COUNTIF($F$21:F30,F30)-1</f>
        <v>79</v>
      </c>
    </row>
    <row r="31" customFormat="false" ht="15" hidden="false" customHeight="false" outlineLevel="0" collapsed="false">
      <c r="A31" s="41" t="s">
        <v>242</v>
      </c>
      <c r="B31" s="41" t="str">
        <f aca="false">INDEX(c_Name,MATCH($A31,c_ID,0))</f>
        <v>ياسر الغامدي</v>
      </c>
      <c r="C31" s="41" t="str">
        <f aca="false">INDEX(c_Seg,MATCH($A31,c_ID,0))</f>
        <v>أفراد</v>
      </c>
      <c r="D31" s="41" t="str">
        <f aca="false">INDEX(c_Region,MATCH($A31,c_ID,0))</f>
        <v>الوسطى</v>
      </c>
      <c r="E31" s="47" t="n">
        <f aca="false">COUNTIFS(d_Cust,$A31,d_Status,"مكتمل")</f>
        <v>8</v>
      </c>
      <c r="F31" s="42" t="n">
        <f aca="false">SUMIFS(d_Rev,d_Cust,$A31)</f>
        <v>2582.5</v>
      </c>
      <c r="G31" s="42" t="n">
        <f aca="false">SUMIFS(d_Profit,d_Cust,$A31)</f>
        <v>992.5</v>
      </c>
      <c r="H31" s="52" t="n">
        <f aca="false">IF(COUNTIF(d_Cust,$A31)=0,"",SUMPRODUCT(MAX((d_Cust=$A31)*d_Date)))</f>
        <v>46199</v>
      </c>
      <c r="I31" s="47" t="n">
        <f aca="false">IF(H31="",$B$3-MIN(d_Date),$B$3-H31)</f>
        <v>97</v>
      </c>
      <c r="J31" s="47" t="n">
        <f aca="false">IF(I31&lt;=$B$6,4,IF(I31&lt;=$C$6,3,IF(I31&lt;=$D$6,2,1)))</f>
        <v>2</v>
      </c>
      <c r="K31" s="47" t="n">
        <f aca="false">IF(E31&gt;=$D$7,4,IF(E31&gt;=$C$7,3,IF(E31&gt;=$B$7,2,1)))</f>
        <v>3</v>
      </c>
      <c r="L31" s="47" t="n">
        <f aca="false">IF(F31&gt;=$D$8,4,IF(F31&gt;=$C$8,3,IF(F31&gt;=$B$8,2,1)))</f>
        <v>2</v>
      </c>
      <c r="M31" s="53" t="n">
        <f aca="false">J31+K31+L31</f>
        <v>7</v>
      </c>
      <c r="N31" s="41" t="str">
        <f aca="false">IF(M31&gt;=10,"أبطال",IF(M31&gt;=8,"أوفياء",IF(M31&gt;=6,"واعدون",IF(M31&gt;=4,"معرضون للفقد","نائمون"))))</f>
        <v>واعدون</v>
      </c>
      <c r="O31" s="47" t="n">
        <f aca="false">RANK(F31,$F$21:$F$220)+COUNTIF($F$21:F31,F31)-1</f>
        <v>145</v>
      </c>
    </row>
    <row r="32" customFormat="false" ht="15" hidden="false" customHeight="false" outlineLevel="0" collapsed="false">
      <c r="A32" s="41" t="s">
        <v>243</v>
      </c>
      <c r="B32" s="41" t="str">
        <f aca="false">INDEX(c_Name,MATCH($A32,c_ID,0))</f>
        <v>محمد الحربي</v>
      </c>
      <c r="C32" s="41" t="str">
        <f aca="false">INDEX(c_Seg,MATCH($A32,c_ID,0))</f>
        <v>أفراد</v>
      </c>
      <c r="D32" s="41" t="str">
        <f aca="false">INDEX(c_Region,MATCH($A32,c_ID,0))</f>
        <v>الغربية</v>
      </c>
      <c r="E32" s="47" t="n">
        <f aca="false">COUNTIFS(d_Cust,$A32,d_Status,"مكتمل")</f>
        <v>6</v>
      </c>
      <c r="F32" s="42" t="n">
        <f aca="false">SUMIFS(d_Rev,d_Cust,$A32)</f>
        <v>7712</v>
      </c>
      <c r="G32" s="42" t="n">
        <f aca="false">SUMIFS(d_Profit,d_Cust,$A32)</f>
        <v>2982</v>
      </c>
      <c r="H32" s="52" t="n">
        <f aca="false">IF(COUNTIF(d_Cust,$A32)=0,"",SUMPRODUCT(MAX((d_Cust=$A32)*d_Date)))</f>
        <v>46290</v>
      </c>
      <c r="I32" s="47" t="n">
        <f aca="false">IF(H32="",$B$3-MIN(d_Date),$B$3-H32)</f>
        <v>6</v>
      </c>
      <c r="J32" s="47" t="n">
        <f aca="false">IF(I32&lt;=$B$6,4,IF(I32&lt;=$C$6,3,IF(I32&lt;=$D$6,2,1)))</f>
        <v>4</v>
      </c>
      <c r="K32" s="47" t="n">
        <f aca="false">IF(E32&gt;=$D$7,4,IF(E32&gt;=$C$7,3,IF(E32&gt;=$B$7,2,1)))</f>
        <v>3</v>
      </c>
      <c r="L32" s="47" t="n">
        <f aca="false">IF(F32&gt;=$D$8,4,IF(F32&gt;=$C$8,3,IF(F32&gt;=$B$8,2,1)))</f>
        <v>3</v>
      </c>
      <c r="M32" s="53" t="n">
        <f aca="false">J32+K32+L32</f>
        <v>10</v>
      </c>
      <c r="N32" s="41" t="str">
        <f aca="false">IF(M32&gt;=10,"أبطال",IF(M32&gt;=8,"أوفياء",IF(M32&gt;=6,"واعدون",IF(M32&gt;=4,"معرضون للفقد","نائمون"))))</f>
        <v>أبطال</v>
      </c>
      <c r="O32" s="47" t="n">
        <f aca="false">RANK(F32,$F$21:$F$220)+COUNTIF($F$21:F32,F32)-1</f>
        <v>82</v>
      </c>
    </row>
    <row r="33" customFormat="false" ht="15" hidden="false" customHeight="false" outlineLevel="0" collapsed="false">
      <c r="A33" s="41" t="s">
        <v>244</v>
      </c>
      <c r="B33" s="41" t="str">
        <f aca="false">INDEX(c_Name,MATCH($A33,c_ID,0))</f>
        <v>طارق الشهري</v>
      </c>
      <c r="C33" s="41" t="str">
        <f aca="false">INDEX(c_Seg,MATCH($A33,c_ID,0))</f>
        <v>أفراد</v>
      </c>
      <c r="D33" s="41" t="str">
        <f aca="false">INDEX(c_Region,MATCH($A33,c_ID,0))</f>
        <v>الوسطى</v>
      </c>
      <c r="E33" s="47" t="n">
        <f aca="false">COUNTIFS(d_Cust,$A33,d_Status,"مكتمل")</f>
        <v>12</v>
      </c>
      <c r="F33" s="42" t="n">
        <f aca="false">SUMIFS(d_Rev,d_Cust,$A33)</f>
        <v>6436</v>
      </c>
      <c r="G33" s="42" t="n">
        <f aca="false">SUMIFS(d_Profit,d_Cust,$A33)</f>
        <v>3161</v>
      </c>
      <c r="H33" s="52" t="n">
        <f aca="false">IF(COUNTIF(d_Cust,$A33)=0,"",SUMPRODUCT(MAX((d_Cust=$A33)*d_Date)))</f>
        <v>46260</v>
      </c>
      <c r="I33" s="47" t="n">
        <f aca="false">IF(H33="",$B$3-MIN(d_Date),$B$3-H33)</f>
        <v>36</v>
      </c>
      <c r="J33" s="47" t="n">
        <f aca="false">IF(I33&lt;=$B$6,4,IF(I33&lt;=$C$6,3,IF(I33&lt;=$D$6,2,1)))</f>
        <v>3</v>
      </c>
      <c r="K33" s="47" t="n">
        <f aca="false">IF(E33&gt;=$D$7,4,IF(E33&gt;=$C$7,3,IF(E33&gt;=$B$7,2,1)))</f>
        <v>4</v>
      </c>
      <c r="L33" s="47" t="n">
        <f aca="false">IF(F33&gt;=$D$8,4,IF(F33&gt;=$C$8,3,IF(F33&gt;=$B$8,2,1)))</f>
        <v>3</v>
      </c>
      <c r="M33" s="53" t="n">
        <f aca="false">J33+K33+L33</f>
        <v>10</v>
      </c>
      <c r="N33" s="41" t="str">
        <f aca="false">IF(M33&gt;=10,"أبطال",IF(M33&gt;=8,"أوفياء",IF(M33&gt;=6,"واعدون",IF(M33&gt;=4,"معرضون للفقد","نائمون"))))</f>
        <v>أبطال</v>
      </c>
      <c r="O33" s="47" t="n">
        <f aca="false">RANK(F33,$F$21:$F$220)+COUNTIF($F$21:F33,F33)-1</f>
        <v>93</v>
      </c>
    </row>
    <row r="34" customFormat="false" ht="15" hidden="false" customHeight="false" outlineLevel="0" collapsed="false">
      <c r="A34" s="41" t="s">
        <v>245</v>
      </c>
      <c r="B34" s="41" t="str">
        <f aca="false">INDEX(c_Name,MATCH($A34,c_ID,0))</f>
        <v>ريم الشمري</v>
      </c>
      <c r="C34" s="41" t="str">
        <f aca="false">INDEX(c_Seg,MATCH($A34,c_ID,0))</f>
        <v>شركات صغيرة</v>
      </c>
      <c r="D34" s="41" t="str">
        <f aca="false">INDEX(c_Region,MATCH($A34,c_ID,0))</f>
        <v>الغربية</v>
      </c>
      <c r="E34" s="47" t="n">
        <f aca="false">COUNTIFS(d_Cust,$A34,d_Status,"مكتمل")</f>
        <v>2</v>
      </c>
      <c r="F34" s="42" t="n">
        <f aca="false">SUMIFS(d_Rev,d_Cust,$A34)</f>
        <v>4020</v>
      </c>
      <c r="G34" s="42" t="n">
        <f aca="false">SUMIFS(d_Profit,d_Cust,$A34)</f>
        <v>895</v>
      </c>
      <c r="H34" s="52" t="n">
        <f aca="false">IF(COUNTIF(d_Cust,$A34)=0,"",SUMPRODUCT(MAX((d_Cust=$A34)*d_Date)))</f>
        <v>46216</v>
      </c>
      <c r="I34" s="47" t="n">
        <f aca="false">IF(H34="",$B$3-MIN(d_Date),$B$3-H34)</f>
        <v>80</v>
      </c>
      <c r="J34" s="47" t="n">
        <f aca="false">IF(I34&lt;=$B$6,4,IF(I34&lt;=$C$6,3,IF(I34&lt;=$D$6,2,1)))</f>
        <v>2</v>
      </c>
      <c r="K34" s="47" t="n">
        <f aca="false">IF(E34&gt;=$D$7,4,IF(E34&gt;=$C$7,3,IF(E34&gt;=$B$7,2,1)))</f>
        <v>1</v>
      </c>
      <c r="L34" s="47" t="n">
        <f aca="false">IF(F34&gt;=$D$8,4,IF(F34&gt;=$C$8,3,IF(F34&gt;=$B$8,2,1)))</f>
        <v>2</v>
      </c>
      <c r="M34" s="53" t="n">
        <f aca="false">J34+K34+L34</f>
        <v>5</v>
      </c>
      <c r="N34" s="41" t="str">
        <f aca="false">IF(M34&gt;=10,"أبطال",IF(M34&gt;=8,"أوفياء",IF(M34&gt;=6,"واعدون",IF(M34&gt;=4,"معرضون للفقد","نائمون"))))</f>
        <v>معرضون للفقد</v>
      </c>
      <c r="O34" s="47" t="n">
        <f aca="false">RANK(F34,$F$21:$F$220)+COUNTIF($F$21:F34,F34)-1</f>
        <v>121</v>
      </c>
    </row>
    <row r="35" customFormat="false" ht="15" hidden="false" customHeight="false" outlineLevel="0" collapsed="false">
      <c r="A35" s="41" t="s">
        <v>246</v>
      </c>
      <c r="B35" s="41" t="str">
        <f aca="false">INDEX(c_Name,MATCH($A35,c_ID,0))</f>
        <v>ياسر العتيبي</v>
      </c>
      <c r="C35" s="41" t="str">
        <f aca="false">INDEX(c_Seg,MATCH($A35,c_ID,0))</f>
        <v>أفراد</v>
      </c>
      <c r="D35" s="41" t="str">
        <f aca="false">INDEX(c_Region,MATCH($A35,c_ID,0))</f>
        <v>الجنوبية</v>
      </c>
      <c r="E35" s="47" t="n">
        <f aca="false">COUNTIFS(d_Cust,$A35,d_Status,"مكتمل")</f>
        <v>17</v>
      </c>
      <c r="F35" s="42" t="n">
        <f aca="false">SUMIFS(d_Rev,d_Cust,$A35)</f>
        <v>15010.5</v>
      </c>
      <c r="G35" s="42" t="n">
        <f aca="false">SUMIFS(d_Profit,d_Cust,$A35)</f>
        <v>4925.5</v>
      </c>
      <c r="H35" s="52" t="n">
        <f aca="false">IF(COUNTIF(d_Cust,$A35)=0,"",SUMPRODUCT(MAX((d_Cust=$A35)*d_Date)))</f>
        <v>46291</v>
      </c>
      <c r="I35" s="47" t="n">
        <f aca="false">IF(H35="",$B$3-MIN(d_Date),$B$3-H35)</f>
        <v>5</v>
      </c>
      <c r="J35" s="47" t="n">
        <f aca="false">IF(I35&lt;=$B$6,4,IF(I35&lt;=$C$6,3,IF(I35&lt;=$D$6,2,1)))</f>
        <v>4</v>
      </c>
      <c r="K35" s="47" t="n">
        <f aca="false">IF(E35&gt;=$D$7,4,IF(E35&gt;=$C$7,3,IF(E35&gt;=$B$7,2,1)))</f>
        <v>4</v>
      </c>
      <c r="L35" s="47" t="n">
        <f aca="false">IF(F35&gt;=$D$8,4,IF(F35&gt;=$C$8,3,IF(F35&gt;=$B$8,2,1)))</f>
        <v>4</v>
      </c>
      <c r="M35" s="53" t="n">
        <f aca="false">J35+K35+L35</f>
        <v>12</v>
      </c>
      <c r="N35" s="41" t="str">
        <f aca="false">IF(M35&gt;=10,"أبطال",IF(M35&gt;=8,"أوفياء",IF(M35&gt;=6,"واعدون",IF(M35&gt;=4,"معرضون للفقد","نائمون"))))</f>
        <v>أبطال</v>
      </c>
      <c r="O35" s="47" t="n">
        <f aca="false">RANK(F35,$F$21:$F$220)+COUNTIF($F$21:F35,F35)-1</f>
        <v>39</v>
      </c>
    </row>
    <row r="36" customFormat="false" ht="15" hidden="false" customHeight="false" outlineLevel="0" collapsed="false">
      <c r="A36" s="41" t="s">
        <v>247</v>
      </c>
      <c r="B36" s="41" t="str">
        <f aca="false">INDEX(c_Name,MATCH($A36,c_ID,0))</f>
        <v>لمى الخالدي</v>
      </c>
      <c r="C36" s="41" t="str">
        <f aca="false">INDEX(c_Seg,MATCH($A36,c_ID,0))</f>
        <v>أفراد</v>
      </c>
      <c r="D36" s="41" t="str">
        <f aca="false">INDEX(c_Region,MATCH($A36,c_ID,0))</f>
        <v>الوسطى</v>
      </c>
      <c r="E36" s="47" t="n">
        <f aca="false">COUNTIFS(d_Cust,$A36,d_Status,"مكتمل")</f>
        <v>1</v>
      </c>
      <c r="F36" s="42" t="n">
        <f aca="false">SUMIFS(d_Rev,d_Cust,$A36)</f>
        <v>1105</v>
      </c>
      <c r="G36" s="42" t="n">
        <f aca="false">SUMIFS(d_Profit,d_Cust,$A36)</f>
        <v>265</v>
      </c>
      <c r="H36" s="52" t="n">
        <f aca="false">IF(COUNTIF(d_Cust,$A36)=0,"",SUMPRODUCT(MAX((d_Cust=$A36)*d_Date)))</f>
        <v>46139</v>
      </c>
      <c r="I36" s="47" t="n">
        <f aca="false">IF(H36="",$B$3-MIN(d_Date),$B$3-H36)</f>
        <v>157</v>
      </c>
      <c r="J36" s="47" t="n">
        <f aca="false">IF(I36&lt;=$B$6,4,IF(I36&lt;=$C$6,3,IF(I36&lt;=$D$6,2,1)))</f>
        <v>1</v>
      </c>
      <c r="K36" s="47" t="n">
        <f aca="false">IF(E36&gt;=$D$7,4,IF(E36&gt;=$C$7,3,IF(E36&gt;=$B$7,2,1)))</f>
        <v>1</v>
      </c>
      <c r="L36" s="47" t="n">
        <f aca="false">IF(F36&gt;=$D$8,4,IF(F36&gt;=$C$8,3,IF(F36&gt;=$B$8,2,1)))</f>
        <v>1</v>
      </c>
      <c r="M36" s="53" t="n">
        <f aca="false">J36+K36+L36</f>
        <v>3</v>
      </c>
      <c r="N36" s="41" t="str">
        <f aca="false">IF(M36&gt;=10,"أبطال",IF(M36&gt;=8,"أوفياء",IF(M36&gt;=6,"واعدون",IF(M36&gt;=4,"معرضون للفقد","نائمون"))))</f>
        <v>نائمون</v>
      </c>
      <c r="O36" s="47" t="n">
        <f aca="false">RANK(F36,$F$21:$F$220)+COUNTIF($F$21:F36,F36)-1</f>
        <v>177</v>
      </c>
    </row>
    <row r="37" customFormat="false" ht="15" hidden="false" customHeight="false" outlineLevel="0" collapsed="false">
      <c r="A37" s="41" t="s">
        <v>248</v>
      </c>
      <c r="B37" s="41" t="str">
        <f aca="false">INDEX(c_Name,MATCH($A37,c_ID,0))</f>
        <v>خالد الشهري</v>
      </c>
      <c r="C37" s="41" t="str">
        <f aca="false">INDEX(c_Seg,MATCH($A37,c_ID,0))</f>
        <v>أفراد</v>
      </c>
      <c r="D37" s="41" t="str">
        <f aca="false">INDEX(c_Region,MATCH($A37,c_ID,0))</f>
        <v>الوسطى</v>
      </c>
      <c r="E37" s="47" t="n">
        <f aca="false">COUNTIFS(d_Cust,$A37,d_Status,"مكتمل")</f>
        <v>4</v>
      </c>
      <c r="F37" s="42" t="n">
        <f aca="false">SUMIFS(d_Rev,d_Cust,$A37)</f>
        <v>3826</v>
      </c>
      <c r="G37" s="42" t="n">
        <f aca="false">SUMIFS(d_Profit,d_Cust,$A37)</f>
        <v>1191</v>
      </c>
      <c r="H37" s="52" t="n">
        <f aca="false">IF(COUNTIF(d_Cust,$A37)=0,"",SUMPRODUCT(MAX((d_Cust=$A37)*d_Date)))</f>
        <v>46133</v>
      </c>
      <c r="I37" s="47" t="n">
        <f aca="false">IF(H37="",$B$3-MIN(d_Date),$B$3-H37)</f>
        <v>163</v>
      </c>
      <c r="J37" s="47" t="n">
        <f aca="false">IF(I37&lt;=$B$6,4,IF(I37&lt;=$C$6,3,IF(I37&lt;=$D$6,2,1)))</f>
        <v>1</v>
      </c>
      <c r="K37" s="47" t="n">
        <f aca="false">IF(E37&gt;=$D$7,4,IF(E37&gt;=$C$7,3,IF(E37&gt;=$B$7,2,1)))</f>
        <v>2</v>
      </c>
      <c r="L37" s="47" t="n">
        <f aca="false">IF(F37&gt;=$D$8,4,IF(F37&gt;=$C$8,3,IF(F37&gt;=$B$8,2,1)))</f>
        <v>2</v>
      </c>
      <c r="M37" s="53" t="n">
        <f aca="false">J37+K37+L37</f>
        <v>5</v>
      </c>
      <c r="N37" s="41" t="str">
        <f aca="false">IF(M37&gt;=10,"أبطال",IF(M37&gt;=8,"أوفياء",IF(M37&gt;=6,"واعدون",IF(M37&gt;=4,"معرضون للفقد","نائمون"))))</f>
        <v>معرضون للفقد</v>
      </c>
      <c r="O37" s="47" t="n">
        <f aca="false">RANK(F37,$F$21:$F$220)+COUNTIF($F$21:F37,F37)-1</f>
        <v>124</v>
      </c>
    </row>
    <row r="38" customFormat="false" ht="15" hidden="false" customHeight="false" outlineLevel="0" collapsed="false">
      <c r="A38" s="41" t="s">
        <v>249</v>
      </c>
      <c r="B38" s="41" t="str">
        <f aca="false">INDEX(c_Name,MATCH($A38,c_ID,0))</f>
        <v>ريم الحسيني</v>
      </c>
      <c r="C38" s="41" t="str">
        <f aca="false">INDEX(c_Seg,MATCH($A38,c_ID,0))</f>
        <v>أفراد</v>
      </c>
      <c r="D38" s="41" t="str">
        <f aca="false">INDEX(c_Region,MATCH($A38,c_ID,0))</f>
        <v>الوسطى</v>
      </c>
      <c r="E38" s="47" t="n">
        <f aca="false">COUNTIFS(d_Cust,$A38,d_Status,"مكتمل")</f>
        <v>14</v>
      </c>
      <c r="F38" s="42" t="n">
        <f aca="false">SUMIFS(d_Rev,d_Cust,$A38)</f>
        <v>13518.5</v>
      </c>
      <c r="G38" s="42" t="n">
        <f aca="false">SUMIFS(d_Profit,d_Cust,$A38)</f>
        <v>4693.5</v>
      </c>
      <c r="H38" s="52" t="n">
        <f aca="false">IF(COUNTIF(d_Cust,$A38)=0,"",SUMPRODUCT(MAX((d_Cust=$A38)*d_Date)))</f>
        <v>46292</v>
      </c>
      <c r="I38" s="47" t="n">
        <f aca="false">IF(H38="",$B$3-MIN(d_Date),$B$3-H38)</f>
        <v>4</v>
      </c>
      <c r="J38" s="47" t="n">
        <f aca="false">IF(I38&lt;=$B$6,4,IF(I38&lt;=$C$6,3,IF(I38&lt;=$D$6,2,1)))</f>
        <v>4</v>
      </c>
      <c r="K38" s="47" t="n">
        <f aca="false">IF(E38&gt;=$D$7,4,IF(E38&gt;=$C$7,3,IF(E38&gt;=$B$7,2,1)))</f>
        <v>4</v>
      </c>
      <c r="L38" s="47" t="n">
        <f aca="false">IF(F38&gt;=$D$8,4,IF(F38&gt;=$C$8,3,IF(F38&gt;=$B$8,2,1)))</f>
        <v>4</v>
      </c>
      <c r="M38" s="53" t="n">
        <f aca="false">J38+K38+L38</f>
        <v>12</v>
      </c>
      <c r="N38" s="41" t="str">
        <f aca="false">IF(M38&gt;=10,"أبطال",IF(M38&gt;=8,"أوفياء",IF(M38&gt;=6,"واعدون",IF(M38&gt;=4,"معرضون للفقد","نائمون"))))</f>
        <v>أبطال</v>
      </c>
      <c r="O38" s="47" t="n">
        <f aca="false">RANK(F38,$F$21:$F$220)+COUNTIF($F$21:F38,F38)-1</f>
        <v>45</v>
      </c>
    </row>
    <row r="39" customFormat="false" ht="15" hidden="false" customHeight="false" outlineLevel="0" collapsed="false">
      <c r="A39" s="41" t="s">
        <v>250</v>
      </c>
      <c r="B39" s="41" t="str">
        <f aca="false">INDEX(c_Name,MATCH($A39,c_ID,0))</f>
        <v>ليلى المطيري</v>
      </c>
      <c r="C39" s="41" t="str">
        <f aca="false">INDEX(c_Seg,MATCH($A39,c_ID,0))</f>
        <v>شركات صغيرة</v>
      </c>
      <c r="D39" s="41" t="str">
        <f aca="false">INDEX(c_Region,MATCH($A39,c_ID,0))</f>
        <v>الغربية</v>
      </c>
      <c r="E39" s="47" t="n">
        <f aca="false">COUNTIFS(d_Cust,$A39,d_Status,"مكتمل")</f>
        <v>4</v>
      </c>
      <c r="F39" s="42" t="n">
        <f aca="false">SUMIFS(d_Rev,d_Cust,$A39)</f>
        <v>6352</v>
      </c>
      <c r="G39" s="42" t="n">
        <f aca="false">SUMIFS(d_Profit,d_Cust,$A39)</f>
        <v>2882</v>
      </c>
      <c r="H39" s="52" t="n">
        <f aca="false">IF(COUNTIF(d_Cust,$A39)=0,"",SUMPRODUCT(MAX((d_Cust=$A39)*d_Date)))</f>
        <v>46279</v>
      </c>
      <c r="I39" s="47" t="n">
        <f aca="false">IF(H39="",$B$3-MIN(d_Date),$B$3-H39)</f>
        <v>17</v>
      </c>
      <c r="J39" s="47" t="n">
        <f aca="false">IF(I39&lt;=$B$6,4,IF(I39&lt;=$C$6,3,IF(I39&lt;=$D$6,2,1)))</f>
        <v>4</v>
      </c>
      <c r="K39" s="47" t="n">
        <f aca="false">IF(E39&gt;=$D$7,4,IF(E39&gt;=$C$7,3,IF(E39&gt;=$B$7,2,1)))</f>
        <v>2</v>
      </c>
      <c r="L39" s="47" t="n">
        <f aca="false">IF(F39&gt;=$D$8,4,IF(F39&gt;=$C$8,3,IF(F39&gt;=$B$8,2,1)))</f>
        <v>3</v>
      </c>
      <c r="M39" s="53" t="n">
        <f aca="false">J39+K39+L39</f>
        <v>9</v>
      </c>
      <c r="N39" s="41" t="str">
        <f aca="false">IF(M39&gt;=10,"أبطال",IF(M39&gt;=8,"أوفياء",IF(M39&gt;=6,"واعدون",IF(M39&gt;=4,"معرضون للفقد","نائمون"))))</f>
        <v>أوفياء</v>
      </c>
      <c r="O39" s="47" t="n">
        <f aca="false">RANK(F39,$F$21:$F$220)+COUNTIF($F$21:F39,F39)-1</f>
        <v>95</v>
      </c>
    </row>
    <row r="40" customFormat="false" ht="15" hidden="false" customHeight="false" outlineLevel="0" collapsed="false">
      <c r="A40" s="41" t="s">
        <v>251</v>
      </c>
      <c r="B40" s="41" t="str">
        <f aca="false">INDEX(c_Name,MATCH($A40,c_ID,0))</f>
        <v>ليلى البلوي</v>
      </c>
      <c r="C40" s="41" t="str">
        <f aca="false">INDEX(c_Seg,MATCH($A40,c_ID,0))</f>
        <v>مؤسسات</v>
      </c>
      <c r="D40" s="41" t="str">
        <f aca="false">INDEX(c_Region,MATCH($A40,c_ID,0))</f>
        <v>الجنوبية</v>
      </c>
      <c r="E40" s="47" t="n">
        <f aca="false">COUNTIFS(d_Cust,$A40,d_Status,"مكتمل")</f>
        <v>4</v>
      </c>
      <c r="F40" s="42" t="n">
        <f aca="false">SUMIFS(d_Rev,d_Cust,$A40)</f>
        <v>15174</v>
      </c>
      <c r="G40" s="42" t="n">
        <f aca="false">SUMIFS(d_Profit,d_Cust,$A40)</f>
        <v>5714</v>
      </c>
      <c r="H40" s="52" t="n">
        <f aca="false">IF(COUNTIF(d_Cust,$A40)=0,"",SUMPRODUCT(MAX((d_Cust=$A40)*d_Date)))</f>
        <v>46207</v>
      </c>
      <c r="I40" s="47" t="n">
        <f aca="false">IF(H40="",$B$3-MIN(d_Date),$B$3-H40)</f>
        <v>89</v>
      </c>
      <c r="J40" s="47" t="n">
        <f aca="false">IF(I40&lt;=$B$6,4,IF(I40&lt;=$C$6,3,IF(I40&lt;=$D$6,2,1)))</f>
        <v>2</v>
      </c>
      <c r="K40" s="47" t="n">
        <f aca="false">IF(E40&gt;=$D$7,4,IF(E40&gt;=$C$7,3,IF(E40&gt;=$B$7,2,1)))</f>
        <v>2</v>
      </c>
      <c r="L40" s="47" t="n">
        <f aca="false">IF(F40&gt;=$D$8,4,IF(F40&gt;=$C$8,3,IF(F40&gt;=$B$8,2,1)))</f>
        <v>4</v>
      </c>
      <c r="M40" s="53" t="n">
        <f aca="false">J40+K40+L40</f>
        <v>8</v>
      </c>
      <c r="N40" s="41" t="str">
        <f aca="false">IF(M40&gt;=10,"أبطال",IF(M40&gt;=8,"أوفياء",IF(M40&gt;=6,"واعدون",IF(M40&gt;=4,"معرضون للفقد","نائمون"))))</f>
        <v>أوفياء</v>
      </c>
      <c r="O40" s="47" t="n">
        <f aca="false">RANK(F40,$F$21:$F$220)+COUNTIF($F$21:F40,F40)-1</f>
        <v>37</v>
      </c>
    </row>
    <row r="41" customFormat="false" ht="15" hidden="false" customHeight="false" outlineLevel="0" collapsed="false">
      <c r="A41" s="41" t="s">
        <v>252</v>
      </c>
      <c r="B41" s="41" t="str">
        <f aca="false">INDEX(c_Name,MATCH($A41,c_ID,0))</f>
        <v>جود الغامدي</v>
      </c>
      <c r="C41" s="41" t="str">
        <f aca="false">INDEX(c_Seg,MATCH($A41,c_ID,0))</f>
        <v>أفراد</v>
      </c>
      <c r="D41" s="41" t="str">
        <f aca="false">INDEX(c_Region,MATCH($A41,c_ID,0))</f>
        <v>الجنوبية</v>
      </c>
      <c r="E41" s="47" t="n">
        <f aca="false">COUNTIFS(d_Cust,$A41,d_Status,"مكتمل")</f>
        <v>3</v>
      </c>
      <c r="F41" s="42" t="n">
        <f aca="false">SUMIFS(d_Rev,d_Cust,$A41)</f>
        <v>1007.5</v>
      </c>
      <c r="G41" s="42" t="n">
        <f aca="false">SUMIFS(d_Profit,d_Cust,$A41)</f>
        <v>432.5</v>
      </c>
      <c r="H41" s="52" t="n">
        <f aca="false">IF(COUNTIF(d_Cust,$A41)=0,"",SUMPRODUCT(MAX((d_Cust=$A41)*d_Date)))</f>
        <v>46289</v>
      </c>
      <c r="I41" s="47" t="n">
        <f aca="false">IF(H41="",$B$3-MIN(d_Date),$B$3-H41)</f>
        <v>7</v>
      </c>
      <c r="J41" s="47" t="n">
        <f aca="false">IF(I41&lt;=$B$6,4,IF(I41&lt;=$C$6,3,IF(I41&lt;=$D$6,2,1)))</f>
        <v>4</v>
      </c>
      <c r="K41" s="47" t="n">
        <f aca="false">IF(E41&gt;=$D$7,4,IF(E41&gt;=$C$7,3,IF(E41&gt;=$B$7,2,1)))</f>
        <v>2</v>
      </c>
      <c r="L41" s="47" t="n">
        <f aca="false">IF(F41&gt;=$D$8,4,IF(F41&gt;=$C$8,3,IF(F41&gt;=$B$8,2,1)))</f>
        <v>1</v>
      </c>
      <c r="M41" s="53" t="n">
        <f aca="false">J41+K41+L41</f>
        <v>7</v>
      </c>
      <c r="N41" s="41" t="str">
        <f aca="false">IF(M41&gt;=10,"أبطال",IF(M41&gt;=8,"أوفياء",IF(M41&gt;=6,"واعدون",IF(M41&gt;=4,"معرضون للفقد","نائمون"))))</f>
        <v>واعدون</v>
      </c>
      <c r="O41" s="47" t="n">
        <f aca="false">RANK(F41,$F$21:$F$220)+COUNTIF($F$21:F41,F41)-1</f>
        <v>180</v>
      </c>
    </row>
    <row r="42" customFormat="false" ht="15" hidden="false" customHeight="false" outlineLevel="0" collapsed="false">
      <c r="A42" s="41" t="s">
        <v>253</v>
      </c>
      <c r="B42" s="41" t="str">
        <f aca="false">INDEX(c_Name,MATCH($A42,c_ID,0))</f>
        <v>هند القحطاني</v>
      </c>
      <c r="C42" s="41" t="str">
        <f aca="false">INDEX(c_Seg,MATCH($A42,c_ID,0))</f>
        <v>أفراد</v>
      </c>
      <c r="D42" s="41" t="str">
        <f aca="false">INDEX(c_Region,MATCH($A42,c_ID,0))</f>
        <v>الشرقية</v>
      </c>
      <c r="E42" s="47" t="n">
        <f aca="false">COUNTIFS(d_Cust,$A42,d_Status,"مكتمل")</f>
        <v>4</v>
      </c>
      <c r="F42" s="42" t="n">
        <f aca="false">SUMIFS(d_Rev,d_Cust,$A42)</f>
        <v>4144</v>
      </c>
      <c r="G42" s="42" t="n">
        <f aca="false">SUMIFS(d_Profit,d_Cust,$A42)</f>
        <v>1039</v>
      </c>
      <c r="H42" s="52" t="n">
        <f aca="false">IF(COUNTIF(d_Cust,$A42)=0,"",SUMPRODUCT(MAX((d_Cust=$A42)*d_Date)))</f>
        <v>46263</v>
      </c>
      <c r="I42" s="47" t="n">
        <f aca="false">IF(H42="",$B$3-MIN(d_Date),$B$3-H42)</f>
        <v>33</v>
      </c>
      <c r="J42" s="47" t="n">
        <f aca="false">IF(I42&lt;=$B$6,4,IF(I42&lt;=$C$6,3,IF(I42&lt;=$D$6,2,1)))</f>
        <v>3</v>
      </c>
      <c r="K42" s="47" t="n">
        <f aca="false">IF(E42&gt;=$D$7,4,IF(E42&gt;=$C$7,3,IF(E42&gt;=$B$7,2,1)))</f>
        <v>2</v>
      </c>
      <c r="L42" s="47" t="n">
        <f aca="false">IF(F42&gt;=$D$8,4,IF(F42&gt;=$C$8,3,IF(F42&gt;=$B$8,2,1)))</f>
        <v>2</v>
      </c>
      <c r="M42" s="53" t="n">
        <f aca="false">J42+K42+L42</f>
        <v>7</v>
      </c>
      <c r="N42" s="41" t="str">
        <f aca="false">IF(M42&gt;=10,"أبطال",IF(M42&gt;=8,"أوفياء",IF(M42&gt;=6,"واعدون",IF(M42&gt;=4,"معرضون للفقد","نائمون"))))</f>
        <v>واعدون</v>
      </c>
      <c r="O42" s="47" t="n">
        <f aca="false">RANK(F42,$F$21:$F$220)+COUNTIF($F$21:F42,F42)-1</f>
        <v>120</v>
      </c>
    </row>
    <row r="43" customFormat="false" ht="15" hidden="false" customHeight="false" outlineLevel="0" collapsed="false">
      <c r="A43" s="41" t="s">
        <v>254</v>
      </c>
      <c r="B43" s="41" t="str">
        <f aca="false">INDEX(c_Name,MATCH($A43,c_ID,0))</f>
        <v>عبدالله العتيبي</v>
      </c>
      <c r="C43" s="41" t="str">
        <f aca="false">INDEX(c_Seg,MATCH($A43,c_ID,0))</f>
        <v>أفراد</v>
      </c>
      <c r="D43" s="41" t="str">
        <f aca="false">INDEX(c_Region,MATCH($A43,c_ID,0))</f>
        <v>الغربية</v>
      </c>
      <c r="E43" s="47" t="n">
        <f aca="false">COUNTIFS(d_Cust,$A43,d_Status,"مكتمل")</f>
        <v>3</v>
      </c>
      <c r="F43" s="42" t="n">
        <f aca="false">SUMIFS(d_Rev,d_Cust,$A43)</f>
        <v>2412</v>
      </c>
      <c r="G43" s="42" t="n">
        <f aca="false">SUMIFS(d_Profit,d_Cust,$A43)</f>
        <v>952</v>
      </c>
      <c r="H43" s="52" t="n">
        <f aca="false">IF(COUNTIF(d_Cust,$A43)=0,"",SUMPRODUCT(MAX((d_Cust=$A43)*d_Date)))</f>
        <v>46249</v>
      </c>
      <c r="I43" s="47" t="n">
        <f aca="false">IF(H43="",$B$3-MIN(d_Date),$B$3-H43)</f>
        <v>47</v>
      </c>
      <c r="J43" s="47" t="n">
        <f aca="false">IF(I43&lt;=$B$6,4,IF(I43&lt;=$C$6,3,IF(I43&lt;=$D$6,2,1)))</f>
        <v>3</v>
      </c>
      <c r="K43" s="47" t="n">
        <f aca="false">IF(E43&gt;=$D$7,4,IF(E43&gt;=$C$7,3,IF(E43&gt;=$B$7,2,1)))</f>
        <v>2</v>
      </c>
      <c r="L43" s="47" t="n">
        <f aca="false">IF(F43&gt;=$D$8,4,IF(F43&gt;=$C$8,3,IF(F43&gt;=$B$8,2,1)))</f>
        <v>2</v>
      </c>
      <c r="M43" s="53" t="n">
        <f aca="false">J43+K43+L43</f>
        <v>7</v>
      </c>
      <c r="N43" s="41" t="str">
        <f aca="false">IF(M43&gt;=10,"أبطال",IF(M43&gt;=8,"أوفياء",IF(M43&gt;=6,"واعدون",IF(M43&gt;=4,"معرضون للفقد","نائمون"))))</f>
        <v>واعدون</v>
      </c>
      <c r="O43" s="47" t="n">
        <f aca="false">RANK(F43,$F$21:$F$220)+COUNTIF($F$21:F43,F43)-1</f>
        <v>148</v>
      </c>
    </row>
    <row r="44" customFormat="false" ht="15" hidden="false" customHeight="false" outlineLevel="0" collapsed="false">
      <c r="A44" s="41" t="s">
        <v>255</v>
      </c>
      <c r="B44" s="41" t="str">
        <f aca="false">INDEX(c_Name,MATCH($A44,c_ID,0))</f>
        <v>سارة العتيبي</v>
      </c>
      <c r="C44" s="41" t="str">
        <f aca="false">INDEX(c_Seg,MATCH($A44,c_ID,0))</f>
        <v>أفراد</v>
      </c>
      <c r="D44" s="41" t="str">
        <f aca="false">INDEX(c_Region,MATCH($A44,c_ID,0))</f>
        <v>الغربية</v>
      </c>
      <c r="E44" s="47" t="n">
        <f aca="false">COUNTIFS(d_Cust,$A44,d_Status,"مكتمل")</f>
        <v>4</v>
      </c>
      <c r="F44" s="42" t="n">
        <f aca="false">SUMIFS(d_Rev,d_Cust,$A44)</f>
        <v>5801</v>
      </c>
      <c r="G44" s="42" t="n">
        <f aca="false">SUMIFS(d_Profit,d_Cust,$A44)</f>
        <v>686</v>
      </c>
      <c r="H44" s="52" t="n">
        <f aca="false">IF(COUNTIF(d_Cust,$A44)=0,"",SUMPRODUCT(MAX((d_Cust=$A44)*d_Date)))</f>
        <v>46236</v>
      </c>
      <c r="I44" s="47" t="n">
        <f aca="false">IF(H44="",$B$3-MIN(d_Date),$B$3-H44)</f>
        <v>60</v>
      </c>
      <c r="J44" s="47" t="n">
        <f aca="false">IF(I44&lt;=$B$6,4,IF(I44&lt;=$C$6,3,IF(I44&lt;=$D$6,2,1)))</f>
        <v>2</v>
      </c>
      <c r="K44" s="47" t="n">
        <f aca="false">IF(E44&gt;=$D$7,4,IF(E44&gt;=$C$7,3,IF(E44&gt;=$B$7,2,1)))</f>
        <v>2</v>
      </c>
      <c r="L44" s="47" t="n">
        <f aca="false">IF(F44&gt;=$D$8,4,IF(F44&gt;=$C$8,3,IF(F44&gt;=$B$8,2,1)))</f>
        <v>2</v>
      </c>
      <c r="M44" s="53" t="n">
        <f aca="false">J44+K44+L44</f>
        <v>6</v>
      </c>
      <c r="N44" s="41" t="str">
        <f aca="false">IF(M44&gt;=10,"أبطال",IF(M44&gt;=8,"أوفياء",IF(M44&gt;=6,"واعدون",IF(M44&gt;=4,"معرضون للفقد","نائمون"))))</f>
        <v>واعدون</v>
      </c>
      <c r="O44" s="47" t="n">
        <f aca="false">RANK(F44,$F$21:$F$220)+COUNTIF($F$21:F44,F44)-1</f>
        <v>103</v>
      </c>
    </row>
    <row r="45" customFormat="false" ht="15" hidden="false" customHeight="false" outlineLevel="0" collapsed="false">
      <c r="A45" s="41" t="s">
        <v>256</v>
      </c>
      <c r="B45" s="41" t="str">
        <f aca="false">INDEX(c_Name,MATCH($A45,c_ID,0))</f>
        <v>فهد البلوي</v>
      </c>
      <c r="C45" s="41" t="str">
        <f aca="false">INDEX(c_Seg,MATCH($A45,c_ID,0))</f>
        <v>شركات صغيرة</v>
      </c>
      <c r="D45" s="41" t="str">
        <f aca="false">INDEX(c_Region,MATCH($A45,c_ID,0))</f>
        <v>الجنوبية</v>
      </c>
      <c r="E45" s="47" t="n">
        <f aca="false">COUNTIFS(d_Cust,$A45,d_Status,"مكتمل")</f>
        <v>6</v>
      </c>
      <c r="F45" s="42" t="n">
        <f aca="false">SUMIFS(d_Rev,d_Cust,$A45)</f>
        <v>11717.5</v>
      </c>
      <c r="G45" s="42" t="n">
        <f aca="false">SUMIFS(d_Profit,d_Cust,$A45)</f>
        <v>3562.5</v>
      </c>
      <c r="H45" s="52" t="n">
        <f aca="false">IF(COUNTIF(d_Cust,$A45)=0,"",SUMPRODUCT(MAX((d_Cust=$A45)*d_Date)))</f>
        <v>46173</v>
      </c>
      <c r="I45" s="47" t="n">
        <f aca="false">IF(H45="",$B$3-MIN(d_Date),$B$3-H45)</f>
        <v>123</v>
      </c>
      <c r="J45" s="47" t="n">
        <f aca="false">IF(I45&lt;=$B$6,4,IF(I45&lt;=$C$6,3,IF(I45&lt;=$D$6,2,1)))</f>
        <v>1</v>
      </c>
      <c r="K45" s="47" t="n">
        <f aca="false">IF(E45&gt;=$D$7,4,IF(E45&gt;=$C$7,3,IF(E45&gt;=$B$7,2,1)))</f>
        <v>3</v>
      </c>
      <c r="L45" s="47" t="n">
        <f aca="false">IF(F45&gt;=$D$8,4,IF(F45&gt;=$C$8,3,IF(F45&gt;=$B$8,2,1)))</f>
        <v>3</v>
      </c>
      <c r="M45" s="53" t="n">
        <f aca="false">J45+K45+L45</f>
        <v>7</v>
      </c>
      <c r="N45" s="41" t="str">
        <f aca="false">IF(M45&gt;=10,"أبطال",IF(M45&gt;=8,"أوفياء",IF(M45&gt;=6,"واعدون",IF(M45&gt;=4,"معرضون للفقد","نائمون"))))</f>
        <v>واعدون</v>
      </c>
      <c r="O45" s="47" t="n">
        <f aca="false">RANK(F45,$F$21:$F$220)+COUNTIF($F$21:F45,F45)-1</f>
        <v>56</v>
      </c>
    </row>
    <row r="46" customFormat="false" ht="15" hidden="false" customHeight="false" outlineLevel="0" collapsed="false">
      <c r="A46" s="41" t="s">
        <v>257</v>
      </c>
      <c r="B46" s="41" t="str">
        <f aca="false">INDEX(c_Name,MATCH($A46,c_ID,0))</f>
        <v>عبير السبيعي</v>
      </c>
      <c r="C46" s="41" t="str">
        <f aca="false">INDEX(c_Seg,MATCH($A46,c_ID,0))</f>
        <v>أفراد</v>
      </c>
      <c r="D46" s="41" t="str">
        <f aca="false">INDEX(c_Region,MATCH($A46,c_ID,0))</f>
        <v>الغربية</v>
      </c>
      <c r="E46" s="47" t="n">
        <f aca="false">COUNTIFS(d_Cust,$A46,d_Status,"مكتمل")</f>
        <v>4</v>
      </c>
      <c r="F46" s="42" t="n">
        <f aca="false">SUMIFS(d_Rev,d_Cust,$A46)</f>
        <v>2736</v>
      </c>
      <c r="G46" s="42" t="n">
        <f aca="false">SUMIFS(d_Profit,d_Cust,$A46)</f>
        <v>1246</v>
      </c>
      <c r="H46" s="52" t="n">
        <f aca="false">IF(COUNTIF(d_Cust,$A46)=0,"",SUMPRODUCT(MAX((d_Cust=$A46)*d_Date)))</f>
        <v>46277</v>
      </c>
      <c r="I46" s="47" t="n">
        <f aca="false">IF(H46="",$B$3-MIN(d_Date),$B$3-H46)</f>
        <v>19</v>
      </c>
      <c r="J46" s="47" t="n">
        <f aca="false">IF(I46&lt;=$B$6,4,IF(I46&lt;=$C$6,3,IF(I46&lt;=$D$6,2,1)))</f>
        <v>3</v>
      </c>
      <c r="K46" s="47" t="n">
        <f aca="false">IF(E46&gt;=$D$7,4,IF(E46&gt;=$C$7,3,IF(E46&gt;=$B$7,2,1)))</f>
        <v>2</v>
      </c>
      <c r="L46" s="47" t="n">
        <f aca="false">IF(F46&gt;=$D$8,4,IF(F46&gt;=$C$8,3,IF(F46&gt;=$B$8,2,1)))</f>
        <v>2</v>
      </c>
      <c r="M46" s="53" t="n">
        <f aca="false">J46+K46+L46</f>
        <v>7</v>
      </c>
      <c r="N46" s="41" t="str">
        <f aca="false">IF(M46&gt;=10,"أبطال",IF(M46&gt;=8,"أوفياء",IF(M46&gt;=6,"واعدون",IF(M46&gt;=4,"معرضون للفقد","نائمون"))))</f>
        <v>واعدون</v>
      </c>
      <c r="O46" s="47" t="n">
        <f aca="false">RANK(F46,$F$21:$F$220)+COUNTIF($F$21:F46,F46)-1</f>
        <v>143</v>
      </c>
    </row>
    <row r="47" customFormat="false" ht="15" hidden="false" customHeight="false" outlineLevel="0" collapsed="false">
      <c r="A47" s="41" t="s">
        <v>258</v>
      </c>
      <c r="B47" s="41" t="str">
        <f aca="false">INDEX(c_Name,MATCH($A47,c_ID,0))</f>
        <v>سارة الدوسري</v>
      </c>
      <c r="C47" s="41" t="str">
        <f aca="false">INDEX(c_Seg,MATCH($A47,c_ID,0))</f>
        <v>أفراد</v>
      </c>
      <c r="D47" s="41" t="str">
        <f aca="false">INDEX(c_Region,MATCH($A47,c_ID,0))</f>
        <v>الوسطى</v>
      </c>
      <c r="E47" s="47" t="n">
        <f aca="false">COUNTIFS(d_Cust,$A47,d_Status,"مكتمل")</f>
        <v>3</v>
      </c>
      <c r="F47" s="42" t="n">
        <f aca="false">SUMIFS(d_Rev,d_Cust,$A47)</f>
        <v>1675</v>
      </c>
      <c r="G47" s="42" t="n">
        <f aca="false">SUMIFS(d_Profit,d_Cust,$A47)</f>
        <v>515</v>
      </c>
      <c r="H47" s="52" t="n">
        <f aca="false">IF(COUNTIF(d_Cust,$A47)=0,"",SUMPRODUCT(MAX((d_Cust=$A47)*d_Date)))</f>
        <v>46232</v>
      </c>
      <c r="I47" s="47" t="n">
        <f aca="false">IF(H47="",$B$3-MIN(d_Date),$B$3-H47)</f>
        <v>64</v>
      </c>
      <c r="J47" s="47" t="n">
        <f aca="false">IF(I47&lt;=$B$6,4,IF(I47&lt;=$C$6,3,IF(I47&lt;=$D$6,2,1)))</f>
        <v>2</v>
      </c>
      <c r="K47" s="47" t="n">
        <f aca="false">IF(E47&gt;=$D$7,4,IF(E47&gt;=$C$7,3,IF(E47&gt;=$B$7,2,1)))</f>
        <v>2</v>
      </c>
      <c r="L47" s="47" t="n">
        <f aca="false">IF(F47&gt;=$D$8,4,IF(F47&gt;=$C$8,3,IF(F47&gt;=$B$8,2,1)))</f>
        <v>1</v>
      </c>
      <c r="M47" s="53" t="n">
        <f aca="false">J47+K47+L47</f>
        <v>5</v>
      </c>
      <c r="N47" s="41" t="str">
        <f aca="false">IF(M47&gt;=10,"أبطال",IF(M47&gt;=8,"أوفياء",IF(M47&gt;=6,"واعدون",IF(M47&gt;=4,"معرضون للفقد","نائمون"))))</f>
        <v>معرضون للفقد</v>
      </c>
      <c r="O47" s="47" t="n">
        <f aca="false">RANK(F47,$F$21:$F$220)+COUNTIF($F$21:F47,F47)-1</f>
        <v>166</v>
      </c>
    </row>
    <row r="48" customFormat="false" ht="15" hidden="false" customHeight="false" outlineLevel="0" collapsed="false">
      <c r="A48" s="41" t="s">
        <v>259</v>
      </c>
      <c r="B48" s="41" t="str">
        <f aca="false">INDEX(c_Name,MATCH($A48,c_ID,0))</f>
        <v>عبير العتيبي</v>
      </c>
      <c r="C48" s="41" t="str">
        <f aca="false">INDEX(c_Seg,MATCH($A48,c_ID,0))</f>
        <v>أفراد</v>
      </c>
      <c r="D48" s="41" t="str">
        <f aca="false">INDEX(c_Region,MATCH($A48,c_ID,0))</f>
        <v>الوسطى</v>
      </c>
      <c r="E48" s="47" t="n">
        <f aca="false">COUNTIFS(d_Cust,$A48,d_Status,"مكتمل")</f>
        <v>7</v>
      </c>
      <c r="F48" s="42" t="n">
        <f aca="false">SUMIFS(d_Rev,d_Cust,$A48)</f>
        <v>4877</v>
      </c>
      <c r="G48" s="42" t="n">
        <f aca="false">SUMIFS(d_Profit,d_Cust,$A48)</f>
        <v>1662</v>
      </c>
      <c r="H48" s="52" t="n">
        <f aca="false">IF(COUNTIF(d_Cust,$A48)=0,"",SUMPRODUCT(MAX((d_Cust=$A48)*d_Date)))</f>
        <v>46282</v>
      </c>
      <c r="I48" s="47" t="n">
        <f aca="false">IF(H48="",$B$3-MIN(d_Date),$B$3-H48)</f>
        <v>14</v>
      </c>
      <c r="J48" s="47" t="n">
        <f aca="false">IF(I48&lt;=$B$6,4,IF(I48&lt;=$C$6,3,IF(I48&lt;=$D$6,2,1)))</f>
        <v>4</v>
      </c>
      <c r="K48" s="47" t="n">
        <f aca="false">IF(E48&gt;=$D$7,4,IF(E48&gt;=$C$7,3,IF(E48&gt;=$B$7,2,1)))</f>
        <v>3</v>
      </c>
      <c r="L48" s="47" t="n">
        <f aca="false">IF(F48&gt;=$D$8,4,IF(F48&gt;=$C$8,3,IF(F48&gt;=$B$8,2,1)))</f>
        <v>2</v>
      </c>
      <c r="M48" s="53" t="n">
        <f aca="false">J48+K48+L48</f>
        <v>9</v>
      </c>
      <c r="N48" s="41" t="str">
        <f aca="false">IF(M48&gt;=10,"أبطال",IF(M48&gt;=8,"أوفياء",IF(M48&gt;=6,"واعدون",IF(M48&gt;=4,"معرضون للفقد","نائمون"))))</f>
        <v>أوفياء</v>
      </c>
      <c r="O48" s="47" t="n">
        <f aca="false">RANK(F48,$F$21:$F$220)+COUNTIF($F$21:F48,F48)-1</f>
        <v>110</v>
      </c>
    </row>
    <row r="49" customFormat="false" ht="15" hidden="false" customHeight="false" outlineLevel="0" collapsed="false">
      <c r="A49" s="41" t="s">
        <v>260</v>
      </c>
      <c r="B49" s="41" t="str">
        <f aca="false">INDEX(c_Name,MATCH($A49,c_ID,0))</f>
        <v>منى العتيبي</v>
      </c>
      <c r="C49" s="41" t="str">
        <f aca="false">INDEX(c_Seg,MATCH($A49,c_ID,0))</f>
        <v>شركات صغيرة</v>
      </c>
      <c r="D49" s="41" t="str">
        <f aca="false">INDEX(c_Region,MATCH($A49,c_ID,0))</f>
        <v>الشرقية</v>
      </c>
      <c r="E49" s="47" t="n">
        <f aca="false">COUNTIFS(d_Cust,$A49,d_Status,"مكتمل")</f>
        <v>6</v>
      </c>
      <c r="F49" s="42" t="n">
        <f aca="false">SUMIFS(d_Rev,d_Cust,$A49)</f>
        <v>13098</v>
      </c>
      <c r="G49" s="42" t="n">
        <f aca="false">SUMIFS(d_Profit,d_Cust,$A49)</f>
        <v>5013</v>
      </c>
      <c r="H49" s="52" t="n">
        <f aca="false">IF(COUNTIF(d_Cust,$A49)=0,"",SUMPRODUCT(MAX((d_Cust=$A49)*d_Date)))</f>
        <v>46212</v>
      </c>
      <c r="I49" s="47" t="n">
        <f aca="false">IF(H49="",$B$3-MIN(d_Date),$B$3-H49)</f>
        <v>84</v>
      </c>
      <c r="J49" s="47" t="n">
        <f aca="false">IF(I49&lt;=$B$6,4,IF(I49&lt;=$C$6,3,IF(I49&lt;=$D$6,2,1)))</f>
        <v>2</v>
      </c>
      <c r="K49" s="47" t="n">
        <f aca="false">IF(E49&gt;=$D$7,4,IF(E49&gt;=$C$7,3,IF(E49&gt;=$B$7,2,1)))</f>
        <v>3</v>
      </c>
      <c r="L49" s="47" t="n">
        <f aca="false">IF(F49&gt;=$D$8,4,IF(F49&gt;=$C$8,3,IF(F49&gt;=$B$8,2,1)))</f>
        <v>4</v>
      </c>
      <c r="M49" s="53" t="n">
        <f aca="false">J49+K49+L49</f>
        <v>9</v>
      </c>
      <c r="N49" s="41" t="str">
        <f aca="false">IF(M49&gt;=10,"أبطال",IF(M49&gt;=8,"أوفياء",IF(M49&gt;=6,"واعدون",IF(M49&gt;=4,"معرضون للفقد","نائمون"))))</f>
        <v>أوفياء</v>
      </c>
      <c r="O49" s="47" t="n">
        <f aca="false">RANK(F49,$F$21:$F$220)+COUNTIF($F$21:F49,F49)-1</f>
        <v>48</v>
      </c>
    </row>
    <row r="50" customFormat="false" ht="15" hidden="false" customHeight="false" outlineLevel="0" collapsed="false">
      <c r="A50" s="41" t="s">
        <v>261</v>
      </c>
      <c r="B50" s="41" t="str">
        <f aca="false">INDEX(c_Name,MATCH($A50,c_ID,0))</f>
        <v>ياسر الدوسري</v>
      </c>
      <c r="C50" s="41" t="str">
        <f aca="false">INDEX(c_Seg,MATCH($A50,c_ID,0))</f>
        <v>أفراد</v>
      </c>
      <c r="D50" s="41" t="str">
        <f aca="false">INDEX(c_Region,MATCH($A50,c_ID,0))</f>
        <v>الجنوبية</v>
      </c>
      <c r="E50" s="47" t="n">
        <f aca="false">COUNTIFS(d_Cust,$A50,d_Status,"مكتمل")</f>
        <v>12</v>
      </c>
      <c r="F50" s="42" t="n">
        <f aca="false">SUMIFS(d_Rev,d_Cust,$A50)</f>
        <v>8424</v>
      </c>
      <c r="G50" s="42" t="n">
        <f aca="false">SUMIFS(d_Profit,d_Cust,$A50)</f>
        <v>3079</v>
      </c>
      <c r="H50" s="52" t="n">
        <f aca="false">IF(COUNTIF(d_Cust,$A50)=0,"",SUMPRODUCT(MAX((d_Cust=$A50)*d_Date)))</f>
        <v>46283</v>
      </c>
      <c r="I50" s="47" t="n">
        <f aca="false">IF(H50="",$B$3-MIN(d_Date),$B$3-H50)</f>
        <v>13</v>
      </c>
      <c r="J50" s="47" t="n">
        <f aca="false">IF(I50&lt;=$B$6,4,IF(I50&lt;=$C$6,3,IF(I50&lt;=$D$6,2,1)))</f>
        <v>4</v>
      </c>
      <c r="K50" s="47" t="n">
        <f aca="false">IF(E50&gt;=$D$7,4,IF(E50&gt;=$C$7,3,IF(E50&gt;=$B$7,2,1)))</f>
        <v>4</v>
      </c>
      <c r="L50" s="47" t="n">
        <f aca="false">IF(F50&gt;=$D$8,4,IF(F50&gt;=$C$8,3,IF(F50&gt;=$B$8,2,1)))</f>
        <v>3</v>
      </c>
      <c r="M50" s="53" t="n">
        <f aca="false">J50+K50+L50</f>
        <v>11</v>
      </c>
      <c r="N50" s="41" t="str">
        <f aca="false">IF(M50&gt;=10,"أبطال",IF(M50&gt;=8,"أوفياء",IF(M50&gt;=6,"واعدون",IF(M50&gt;=4,"معرضون للفقد","نائمون"))))</f>
        <v>أبطال</v>
      </c>
      <c r="O50" s="47" t="n">
        <f aca="false">RANK(F50,$F$21:$F$220)+COUNTIF($F$21:F50,F50)-1</f>
        <v>78</v>
      </c>
    </row>
    <row r="51" customFormat="false" ht="15" hidden="false" customHeight="false" outlineLevel="0" collapsed="false">
      <c r="A51" s="41" t="s">
        <v>262</v>
      </c>
      <c r="B51" s="41" t="str">
        <f aca="false">INDEX(c_Name,MATCH($A51,c_ID,0))</f>
        <v>ناصر السبيعي</v>
      </c>
      <c r="C51" s="41" t="str">
        <f aca="false">INDEX(c_Seg,MATCH($A51,c_ID,0))</f>
        <v>أفراد</v>
      </c>
      <c r="D51" s="41" t="str">
        <f aca="false">INDEX(c_Region,MATCH($A51,c_ID,0))</f>
        <v>الغربية</v>
      </c>
      <c r="E51" s="47" t="n">
        <f aca="false">COUNTIFS(d_Cust,$A51,d_Status,"مكتمل")</f>
        <v>8</v>
      </c>
      <c r="F51" s="42" t="n">
        <f aca="false">SUMIFS(d_Rev,d_Cust,$A51)</f>
        <v>8956.5</v>
      </c>
      <c r="G51" s="42" t="n">
        <f aca="false">SUMIFS(d_Profit,d_Cust,$A51)</f>
        <v>2736.5</v>
      </c>
      <c r="H51" s="52" t="n">
        <f aca="false">IF(COUNTIF(d_Cust,$A51)=0,"",SUMPRODUCT(MAX((d_Cust=$A51)*d_Date)))</f>
        <v>46275</v>
      </c>
      <c r="I51" s="47" t="n">
        <f aca="false">IF(H51="",$B$3-MIN(d_Date),$B$3-H51)</f>
        <v>21</v>
      </c>
      <c r="J51" s="47" t="n">
        <f aca="false">IF(I51&lt;=$B$6,4,IF(I51&lt;=$C$6,3,IF(I51&lt;=$D$6,2,1)))</f>
        <v>3</v>
      </c>
      <c r="K51" s="47" t="n">
        <f aca="false">IF(E51&gt;=$D$7,4,IF(E51&gt;=$C$7,3,IF(E51&gt;=$B$7,2,1)))</f>
        <v>3</v>
      </c>
      <c r="L51" s="47" t="n">
        <f aca="false">IF(F51&gt;=$D$8,4,IF(F51&gt;=$C$8,3,IF(F51&gt;=$B$8,2,1)))</f>
        <v>3</v>
      </c>
      <c r="M51" s="53" t="n">
        <f aca="false">J51+K51+L51</f>
        <v>9</v>
      </c>
      <c r="N51" s="41" t="str">
        <f aca="false">IF(M51&gt;=10,"أبطال",IF(M51&gt;=8,"أوفياء",IF(M51&gt;=6,"واعدون",IF(M51&gt;=4,"معرضون للفقد","نائمون"))))</f>
        <v>أوفياء</v>
      </c>
      <c r="O51" s="47" t="n">
        <f aca="false">RANK(F51,$F$21:$F$220)+COUNTIF($F$21:F51,F51)-1</f>
        <v>73</v>
      </c>
    </row>
    <row r="52" customFormat="false" ht="15" hidden="false" customHeight="false" outlineLevel="0" collapsed="false">
      <c r="A52" s="41" t="s">
        <v>263</v>
      </c>
      <c r="B52" s="41" t="str">
        <f aca="false">INDEX(c_Name,MATCH($A52,c_ID,0))</f>
        <v>سارة الخالدي</v>
      </c>
      <c r="C52" s="41" t="str">
        <f aca="false">INDEX(c_Seg,MATCH($A52,c_ID,0))</f>
        <v>شركات صغيرة</v>
      </c>
      <c r="D52" s="41" t="str">
        <f aca="false">INDEX(c_Region,MATCH($A52,c_ID,0))</f>
        <v>الغربية</v>
      </c>
      <c r="E52" s="47" t="n">
        <f aca="false">COUNTIFS(d_Cust,$A52,d_Status,"مكتمل")</f>
        <v>4</v>
      </c>
      <c r="F52" s="42" t="n">
        <f aca="false">SUMIFS(d_Rev,d_Cust,$A52)</f>
        <v>3631</v>
      </c>
      <c r="G52" s="42" t="n">
        <f aca="false">SUMIFS(d_Profit,d_Cust,$A52)</f>
        <v>1456</v>
      </c>
      <c r="H52" s="52" t="n">
        <f aca="false">IF(COUNTIF(d_Cust,$A52)=0,"",SUMPRODUCT(MAX((d_Cust=$A52)*d_Date)))</f>
        <v>46146</v>
      </c>
      <c r="I52" s="47" t="n">
        <f aca="false">IF(H52="",$B$3-MIN(d_Date),$B$3-H52)</f>
        <v>150</v>
      </c>
      <c r="J52" s="47" t="n">
        <f aca="false">IF(I52&lt;=$B$6,4,IF(I52&lt;=$C$6,3,IF(I52&lt;=$D$6,2,1)))</f>
        <v>1</v>
      </c>
      <c r="K52" s="47" t="n">
        <f aca="false">IF(E52&gt;=$D$7,4,IF(E52&gt;=$C$7,3,IF(E52&gt;=$B$7,2,1)))</f>
        <v>2</v>
      </c>
      <c r="L52" s="47" t="n">
        <f aca="false">IF(F52&gt;=$D$8,4,IF(F52&gt;=$C$8,3,IF(F52&gt;=$B$8,2,1)))</f>
        <v>2</v>
      </c>
      <c r="M52" s="53" t="n">
        <f aca="false">J52+K52+L52</f>
        <v>5</v>
      </c>
      <c r="N52" s="41" t="str">
        <f aca="false">IF(M52&gt;=10,"أبطال",IF(M52&gt;=8,"أوفياء",IF(M52&gt;=6,"واعدون",IF(M52&gt;=4,"معرضون للفقد","نائمون"))))</f>
        <v>معرضون للفقد</v>
      </c>
      <c r="O52" s="47" t="n">
        <f aca="false">RANK(F52,$F$21:$F$220)+COUNTIF($F$21:F52,F52)-1</f>
        <v>126</v>
      </c>
    </row>
    <row r="53" customFormat="false" ht="15" hidden="false" customHeight="false" outlineLevel="0" collapsed="false">
      <c r="A53" s="41" t="s">
        <v>264</v>
      </c>
      <c r="B53" s="41" t="str">
        <f aca="false">INDEX(c_Name,MATCH($A53,c_ID,0))</f>
        <v>عبدالله التميمي</v>
      </c>
      <c r="C53" s="41" t="str">
        <f aca="false">INDEX(c_Seg,MATCH($A53,c_ID,0))</f>
        <v>أفراد</v>
      </c>
      <c r="D53" s="41" t="str">
        <f aca="false">INDEX(c_Region,MATCH($A53,c_ID,0))</f>
        <v>الوسطى</v>
      </c>
      <c r="E53" s="47" t="n">
        <f aca="false">COUNTIFS(d_Cust,$A53,d_Status,"مكتمل")</f>
        <v>18</v>
      </c>
      <c r="F53" s="42" t="n">
        <f aca="false">SUMIFS(d_Rev,d_Cust,$A53)</f>
        <v>13489</v>
      </c>
      <c r="G53" s="42" t="n">
        <f aca="false">SUMIFS(d_Profit,d_Cust,$A53)</f>
        <v>5279</v>
      </c>
      <c r="H53" s="52" t="n">
        <f aca="false">IF(COUNTIF(d_Cust,$A53)=0,"",SUMPRODUCT(MAX((d_Cust=$A53)*d_Date)))</f>
        <v>46273</v>
      </c>
      <c r="I53" s="47" t="n">
        <f aca="false">IF(H53="",$B$3-MIN(d_Date),$B$3-H53)</f>
        <v>23</v>
      </c>
      <c r="J53" s="47" t="n">
        <f aca="false">IF(I53&lt;=$B$6,4,IF(I53&lt;=$C$6,3,IF(I53&lt;=$D$6,2,1)))</f>
        <v>3</v>
      </c>
      <c r="K53" s="47" t="n">
        <f aca="false">IF(E53&gt;=$D$7,4,IF(E53&gt;=$C$7,3,IF(E53&gt;=$B$7,2,1)))</f>
        <v>4</v>
      </c>
      <c r="L53" s="47" t="n">
        <f aca="false">IF(F53&gt;=$D$8,4,IF(F53&gt;=$C$8,3,IF(F53&gt;=$B$8,2,1)))</f>
        <v>4</v>
      </c>
      <c r="M53" s="53" t="n">
        <f aca="false">J53+K53+L53</f>
        <v>11</v>
      </c>
      <c r="N53" s="41" t="str">
        <f aca="false">IF(M53&gt;=10,"أبطال",IF(M53&gt;=8,"أوفياء",IF(M53&gt;=6,"واعدون",IF(M53&gt;=4,"معرضون للفقد","نائمون"))))</f>
        <v>أبطال</v>
      </c>
      <c r="O53" s="47" t="n">
        <f aca="false">RANK(F53,$F$21:$F$220)+COUNTIF($F$21:F53,F53)-1</f>
        <v>46</v>
      </c>
    </row>
    <row r="54" customFormat="false" ht="15" hidden="false" customHeight="false" outlineLevel="0" collapsed="false">
      <c r="A54" s="41" t="s">
        <v>265</v>
      </c>
      <c r="B54" s="41" t="str">
        <f aca="false">INDEX(c_Name,MATCH($A54,c_ID,0))</f>
        <v>منى العنزي</v>
      </c>
      <c r="C54" s="41" t="str">
        <f aca="false">INDEX(c_Seg,MATCH($A54,c_ID,0))</f>
        <v>شركات صغيرة</v>
      </c>
      <c r="D54" s="41" t="str">
        <f aca="false">INDEX(c_Region,MATCH($A54,c_ID,0))</f>
        <v>الشرقية</v>
      </c>
      <c r="E54" s="47" t="n">
        <f aca="false">COUNTIFS(d_Cust,$A54,d_Status,"مكتمل")</f>
        <v>6</v>
      </c>
      <c r="F54" s="42" t="n">
        <f aca="false">SUMIFS(d_Rev,d_Cust,$A54)</f>
        <v>23425</v>
      </c>
      <c r="G54" s="42" t="n">
        <f aca="false">SUMIFS(d_Profit,d_Cust,$A54)</f>
        <v>7715</v>
      </c>
      <c r="H54" s="52" t="n">
        <f aca="false">IF(COUNTIF(d_Cust,$A54)=0,"",SUMPRODUCT(MAX((d_Cust=$A54)*d_Date)))</f>
        <v>46272</v>
      </c>
      <c r="I54" s="47" t="n">
        <f aca="false">IF(H54="",$B$3-MIN(d_Date),$B$3-H54)</f>
        <v>24</v>
      </c>
      <c r="J54" s="47" t="n">
        <f aca="false">IF(I54&lt;=$B$6,4,IF(I54&lt;=$C$6,3,IF(I54&lt;=$D$6,2,1)))</f>
        <v>3</v>
      </c>
      <c r="K54" s="47" t="n">
        <f aca="false">IF(E54&gt;=$D$7,4,IF(E54&gt;=$C$7,3,IF(E54&gt;=$B$7,2,1)))</f>
        <v>3</v>
      </c>
      <c r="L54" s="47" t="n">
        <f aca="false">IF(F54&gt;=$D$8,4,IF(F54&gt;=$C$8,3,IF(F54&gt;=$B$8,2,1)))</f>
        <v>4</v>
      </c>
      <c r="M54" s="53" t="n">
        <f aca="false">J54+K54+L54</f>
        <v>10</v>
      </c>
      <c r="N54" s="41" t="str">
        <f aca="false">IF(M54&gt;=10,"أبطال",IF(M54&gt;=8,"أوفياء",IF(M54&gt;=6,"واعدون",IF(M54&gt;=4,"معرضون للفقد","نائمون"))))</f>
        <v>أبطال</v>
      </c>
      <c r="O54" s="47" t="n">
        <f aca="false">RANK(F54,$F$21:$F$220)+COUNTIF($F$21:F54,F54)-1</f>
        <v>22</v>
      </c>
    </row>
    <row r="55" customFormat="false" ht="15" hidden="false" customHeight="false" outlineLevel="0" collapsed="false">
      <c r="A55" s="41" t="s">
        <v>266</v>
      </c>
      <c r="B55" s="41" t="str">
        <f aca="false">INDEX(c_Name,MATCH($A55,c_ID,0))</f>
        <v>ياسر الشهري</v>
      </c>
      <c r="C55" s="41" t="str">
        <f aca="false">INDEX(c_Seg,MATCH($A55,c_ID,0))</f>
        <v>أفراد</v>
      </c>
      <c r="D55" s="41" t="str">
        <f aca="false">INDEX(c_Region,MATCH($A55,c_ID,0))</f>
        <v>الوسطى</v>
      </c>
      <c r="E55" s="47" t="n">
        <f aca="false">COUNTIFS(d_Cust,$A55,d_Status,"مكتمل")</f>
        <v>22</v>
      </c>
      <c r="F55" s="42" t="n">
        <f aca="false">SUMIFS(d_Rev,d_Cust,$A55)</f>
        <v>24097.5</v>
      </c>
      <c r="G55" s="42" t="n">
        <f aca="false">SUMIFS(d_Profit,d_Cust,$A55)</f>
        <v>7577.5</v>
      </c>
      <c r="H55" s="52" t="n">
        <f aca="false">IF(COUNTIF(d_Cust,$A55)=0,"",SUMPRODUCT(MAX((d_Cust=$A55)*d_Date)))</f>
        <v>46276</v>
      </c>
      <c r="I55" s="47" t="n">
        <f aca="false">IF(H55="",$B$3-MIN(d_Date),$B$3-H55)</f>
        <v>20</v>
      </c>
      <c r="J55" s="47" t="n">
        <f aca="false">IF(I55&lt;=$B$6,4,IF(I55&lt;=$C$6,3,IF(I55&lt;=$D$6,2,1)))</f>
        <v>3</v>
      </c>
      <c r="K55" s="47" t="n">
        <f aca="false">IF(E55&gt;=$D$7,4,IF(E55&gt;=$C$7,3,IF(E55&gt;=$B$7,2,1)))</f>
        <v>4</v>
      </c>
      <c r="L55" s="47" t="n">
        <f aca="false">IF(F55&gt;=$D$8,4,IF(F55&gt;=$C$8,3,IF(F55&gt;=$B$8,2,1)))</f>
        <v>4</v>
      </c>
      <c r="M55" s="53" t="n">
        <f aca="false">J55+K55+L55</f>
        <v>11</v>
      </c>
      <c r="N55" s="41" t="str">
        <f aca="false">IF(M55&gt;=10,"أبطال",IF(M55&gt;=8,"أوفياء",IF(M55&gt;=6,"واعدون",IF(M55&gt;=4,"معرضون للفقد","نائمون"))))</f>
        <v>أبطال</v>
      </c>
      <c r="O55" s="47" t="n">
        <f aca="false">RANK(F55,$F$21:$F$220)+COUNTIF($F$21:F55,F55)-1</f>
        <v>20</v>
      </c>
    </row>
    <row r="56" customFormat="false" ht="15" hidden="false" customHeight="false" outlineLevel="0" collapsed="false">
      <c r="A56" s="41" t="s">
        <v>267</v>
      </c>
      <c r="B56" s="41" t="str">
        <f aca="false">INDEX(c_Name,MATCH($A56,c_ID,0))</f>
        <v>منى الدوسري</v>
      </c>
      <c r="C56" s="41" t="str">
        <f aca="false">INDEX(c_Seg,MATCH($A56,c_ID,0))</f>
        <v>أفراد</v>
      </c>
      <c r="D56" s="41" t="str">
        <f aca="false">INDEX(c_Region,MATCH($A56,c_ID,0))</f>
        <v>الوسطى</v>
      </c>
      <c r="E56" s="47" t="n">
        <f aca="false">COUNTIFS(d_Cust,$A56,d_Status,"مكتمل")</f>
        <v>2</v>
      </c>
      <c r="F56" s="42" t="n">
        <f aca="false">SUMIFS(d_Rev,d_Cust,$A56)</f>
        <v>2770</v>
      </c>
      <c r="G56" s="42" t="n">
        <f aca="false">SUMIFS(d_Profit,d_Cust,$A56)</f>
        <v>750</v>
      </c>
      <c r="H56" s="52" t="n">
        <f aca="false">IF(COUNTIF(d_Cust,$A56)=0,"",SUMPRODUCT(MAX((d_Cust=$A56)*d_Date)))</f>
        <v>46196</v>
      </c>
      <c r="I56" s="47" t="n">
        <f aca="false">IF(H56="",$B$3-MIN(d_Date),$B$3-H56)</f>
        <v>100</v>
      </c>
      <c r="J56" s="47" t="n">
        <f aca="false">IF(I56&lt;=$B$6,4,IF(I56&lt;=$C$6,3,IF(I56&lt;=$D$6,2,1)))</f>
        <v>2</v>
      </c>
      <c r="K56" s="47" t="n">
        <f aca="false">IF(E56&gt;=$D$7,4,IF(E56&gt;=$C$7,3,IF(E56&gt;=$B$7,2,1)))</f>
        <v>1</v>
      </c>
      <c r="L56" s="47" t="n">
        <f aca="false">IF(F56&gt;=$D$8,4,IF(F56&gt;=$C$8,3,IF(F56&gt;=$B$8,2,1)))</f>
        <v>2</v>
      </c>
      <c r="M56" s="53" t="n">
        <f aca="false">J56+K56+L56</f>
        <v>5</v>
      </c>
      <c r="N56" s="41" t="str">
        <f aca="false">IF(M56&gt;=10,"أبطال",IF(M56&gt;=8,"أوفياء",IF(M56&gt;=6,"واعدون",IF(M56&gt;=4,"معرضون للفقد","نائمون"))))</f>
        <v>معرضون للفقد</v>
      </c>
      <c r="O56" s="47" t="n">
        <f aca="false">RANK(F56,$F$21:$F$220)+COUNTIF($F$21:F56,F56)-1</f>
        <v>142</v>
      </c>
    </row>
    <row r="57" customFormat="false" ht="15" hidden="false" customHeight="false" outlineLevel="0" collapsed="false">
      <c r="A57" s="41" t="s">
        <v>268</v>
      </c>
      <c r="B57" s="41" t="str">
        <f aca="false">INDEX(c_Name,MATCH($A57,c_ID,0))</f>
        <v>جود التميمي</v>
      </c>
      <c r="C57" s="41" t="str">
        <f aca="false">INDEX(c_Seg,MATCH($A57,c_ID,0))</f>
        <v>أفراد</v>
      </c>
      <c r="D57" s="41" t="str">
        <f aca="false">INDEX(c_Region,MATCH($A57,c_ID,0))</f>
        <v>الغربية</v>
      </c>
      <c r="E57" s="47" t="n">
        <f aca="false">COUNTIFS(d_Cust,$A57,d_Status,"مكتمل")</f>
        <v>8</v>
      </c>
      <c r="F57" s="42" t="n">
        <f aca="false">SUMIFS(d_Rev,d_Cust,$A57)</f>
        <v>2234</v>
      </c>
      <c r="G57" s="42" t="n">
        <f aca="false">SUMIFS(d_Profit,d_Cust,$A57)</f>
        <v>989</v>
      </c>
      <c r="H57" s="52" t="n">
        <f aca="false">IF(COUNTIF(d_Cust,$A57)=0,"",SUMPRODUCT(MAX((d_Cust=$A57)*d_Date)))</f>
        <v>46259</v>
      </c>
      <c r="I57" s="47" t="n">
        <f aca="false">IF(H57="",$B$3-MIN(d_Date),$B$3-H57)</f>
        <v>37</v>
      </c>
      <c r="J57" s="47" t="n">
        <f aca="false">IF(I57&lt;=$B$6,4,IF(I57&lt;=$C$6,3,IF(I57&lt;=$D$6,2,1)))</f>
        <v>3</v>
      </c>
      <c r="K57" s="47" t="n">
        <f aca="false">IF(E57&gt;=$D$7,4,IF(E57&gt;=$C$7,3,IF(E57&gt;=$B$7,2,1)))</f>
        <v>3</v>
      </c>
      <c r="L57" s="47" t="n">
        <f aca="false">IF(F57&gt;=$D$8,4,IF(F57&gt;=$C$8,3,IF(F57&gt;=$B$8,2,1)))</f>
        <v>1</v>
      </c>
      <c r="M57" s="53" t="n">
        <f aca="false">J57+K57+L57</f>
        <v>7</v>
      </c>
      <c r="N57" s="41" t="str">
        <f aca="false">IF(M57&gt;=10,"أبطال",IF(M57&gt;=8,"أوفياء",IF(M57&gt;=6,"واعدون",IF(M57&gt;=4,"معرضون للفقد","نائمون"))))</f>
        <v>واعدون</v>
      </c>
      <c r="O57" s="47" t="n">
        <f aca="false">RANK(F57,$F$21:$F$220)+COUNTIF($F$21:F57,F57)-1</f>
        <v>152</v>
      </c>
    </row>
    <row r="58" customFormat="false" ht="15" hidden="false" customHeight="false" outlineLevel="0" collapsed="false">
      <c r="A58" s="41" t="s">
        <v>269</v>
      </c>
      <c r="B58" s="41" t="str">
        <f aca="false">INDEX(c_Name,MATCH($A58,c_ID,0))</f>
        <v>أحمد السبيعي</v>
      </c>
      <c r="C58" s="41" t="str">
        <f aca="false">INDEX(c_Seg,MATCH($A58,c_ID,0))</f>
        <v>أفراد</v>
      </c>
      <c r="D58" s="41" t="str">
        <f aca="false">INDEX(c_Region,MATCH($A58,c_ID,0))</f>
        <v>الشرقية</v>
      </c>
      <c r="E58" s="47" t="n">
        <f aca="false">COUNTIFS(d_Cust,$A58,d_Status,"مكتمل")</f>
        <v>4</v>
      </c>
      <c r="F58" s="42" t="n">
        <f aca="false">SUMIFS(d_Rev,d_Cust,$A58)</f>
        <v>1947</v>
      </c>
      <c r="G58" s="42" t="n">
        <f aca="false">SUMIFS(d_Profit,d_Cust,$A58)</f>
        <v>832</v>
      </c>
      <c r="H58" s="52" t="n">
        <f aca="false">IF(COUNTIF(d_Cust,$A58)=0,"",SUMPRODUCT(MAX((d_Cust=$A58)*d_Date)))</f>
        <v>46204</v>
      </c>
      <c r="I58" s="47" t="n">
        <f aca="false">IF(H58="",$B$3-MIN(d_Date),$B$3-H58)</f>
        <v>92</v>
      </c>
      <c r="J58" s="47" t="n">
        <f aca="false">IF(I58&lt;=$B$6,4,IF(I58&lt;=$C$6,3,IF(I58&lt;=$D$6,2,1)))</f>
        <v>2</v>
      </c>
      <c r="K58" s="47" t="n">
        <f aca="false">IF(E58&gt;=$D$7,4,IF(E58&gt;=$C$7,3,IF(E58&gt;=$B$7,2,1)))</f>
        <v>2</v>
      </c>
      <c r="L58" s="47" t="n">
        <f aca="false">IF(F58&gt;=$D$8,4,IF(F58&gt;=$C$8,3,IF(F58&gt;=$B$8,2,1)))</f>
        <v>1</v>
      </c>
      <c r="M58" s="53" t="n">
        <f aca="false">J58+K58+L58</f>
        <v>5</v>
      </c>
      <c r="N58" s="41" t="str">
        <f aca="false">IF(M58&gt;=10,"أبطال",IF(M58&gt;=8,"أوفياء",IF(M58&gt;=6,"واعدون",IF(M58&gt;=4,"معرضون للفقد","نائمون"))))</f>
        <v>معرضون للفقد</v>
      </c>
      <c r="O58" s="47" t="n">
        <f aca="false">RANK(F58,$F$21:$F$220)+COUNTIF($F$21:F58,F58)-1</f>
        <v>159</v>
      </c>
    </row>
    <row r="59" customFormat="false" ht="15" hidden="false" customHeight="false" outlineLevel="0" collapsed="false">
      <c r="A59" s="41" t="s">
        <v>270</v>
      </c>
      <c r="B59" s="41" t="str">
        <f aca="false">INDEX(c_Name,MATCH($A59,c_ID,0))</f>
        <v>ريم التميمي</v>
      </c>
      <c r="C59" s="41" t="str">
        <f aca="false">INDEX(c_Seg,MATCH($A59,c_ID,0))</f>
        <v>أفراد</v>
      </c>
      <c r="D59" s="41" t="str">
        <f aca="false">INDEX(c_Region,MATCH($A59,c_ID,0))</f>
        <v>الشرقية</v>
      </c>
      <c r="E59" s="47" t="n">
        <f aca="false">COUNTIFS(d_Cust,$A59,d_Status,"مكتمل")</f>
        <v>28</v>
      </c>
      <c r="F59" s="42" t="n">
        <f aca="false">SUMIFS(d_Rev,d_Cust,$A59)</f>
        <v>29072</v>
      </c>
      <c r="G59" s="42" t="n">
        <f aca="false">SUMIFS(d_Profit,d_Cust,$A59)</f>
        <v>8332</v>
      </c>
      <c r="H59" s="52" t="n">
        <f aca="false">IF(COUNTIF(d_Cust,$A59)=0,"",SUMPRODUCT(MAX((d_Cust=$A59)*d_Date)))</f>
        <v>46279</v>
      </c>
      <c r="I59" s="47" t="n">
        <f aca="false">IF(H59="",$B$3-MIN(d_Date),$B$3-H59)</f>
        <v>17</v>
      </c>
      <c r="J59" s="47" t="n">
        <f aca="false">IF(I59&lt;=$B$6,4,IF(I59&lt;=$C$6,3,IF(I59&lt;=$D$6,2,1)))</f>
        <v>4</v>
      </c>
      <c r="K59" s="47" t="n">
        <f aca="false">IF(E59&gt;=$D$7,4,IF(E59&gt;=$C$7,3,IF(E59&gt;=$B$7,2,1)))</f>
        <v>4</v>
      </c>
      <c r="L59" s="47" t="n">
        <f aca="false">IF(F59&gt;=$D$8,4,IF(F59&gt;=$C$8,3,IF(F59&gt;=$B$8,2,1)))</f>
        <v>4</v>
      </c>
      <c r="M59" s="53" t="n">
        <f aca="false">J59+K59+L59</f>
        <v>12</v>
      </c>
      <c r="N59" s="41" t="str">
        <f aca="false">IF(M59&gt;=10,"أبطال",IF(M59&gt;=8,"أوفياء",IF(M59&gt;=6,"واعدون",IF(M59&gt;=4,"معرضون للفقد","نائمون"))))</f>
        <v>أبطال</v>
      </c>
      <c r="O59" s="47" t="n">
        <f aca="false">RANK(F59,$F$21:$F$220)+COUNTIF($F$21:F59,F59)-1</f>
        <v>15</v>
      </c>
    </row>
    <row r="60" customFormat="false" ht="15" hidden="false" customHeight="false" outlineLevel="0" collapsed="false">
      <c r="A60" s="41" t="s">
        <v>271</v>
      </c>
      <c r="B60" s="41" t="str">
        <f aca="false">INDEX(c_Name,MATCH($A60,c_ID,0))</f>
        <v>أحمد الزهراني</v>
      </c>
      <c r="C60" s="41" t="str">
        <f aca="false">INDEX(c_Seg,MATCH($A60,c_ID,0))</f>
        <v>أفراد</v>
      </c>
      <c r="D60" s="41" t="str">
        <f aca="false">INDEX(c_Region,MATCH($A60,c_ID,0))</f>
        <v>الغربية</v>
      </c>
      <c r="E60" s="47" t="n">
        <f aca="false">COUNTIFS(d_Cust,$A60,d_Status,"مكتمل")</f>
        <v>4</v>
      </c>
      <c r="F60" s="42" t="n">
        <f aca="false">SUMIFS(d_Rev,d_Cust,$A60)</f>
        <v>4539.5</v>
      </c>
      <c r="G60" s="42" t="n">
        <f aca="false">SUMIFS(d_Profit,d_Cust,$A60)</f>
        <v>1764.5</v>
      </c>
      <c r="H60" s="52" t="n">
        <f aca="false">IF(COUNTIF(d_Cust,$A60)=0,"",SUMPRODUCT(MAX((d_Cust=$A60)*d_Date)))</f>
        <v>46275</v>
      </c>
      <c r="I60" s="47" t="n">
        <f aca="false">IF(H60="",$B$3-MIN(d_Date),$B$3-H60)</f>
        <v>21</v>
      </c>
      <c r="J60" s="47" t="n">
        <f aca="false">IF(I60&lt;=$B$6,4,IF(I60&lt;=$C$6,3,IF(I60&lt;=$D$6,2,1)))</f>
        <v>3</v>
      </c>
      <c r="K60" s="47" t="n">
        <f aca="false">IF(E60&gt;=$D$7,4,IF(E60&gt;=$C$7,3,IF(E60&gt;=$B$7,2,1)))</f>
        <v>2</v>
      </c>
      <c r="L60" s="47" t="n">
        <f aca="false">IF(F60&gt;=$D$8,4,IF(F60&gt;=$C$8,3,IF(F60&gt;=$B$8,2,1)))</f>
        <v>2</v>
      </c>
      <c r="M60" s="53" t="n">
        <f aca="false">J60+K60+L60</f>
        <v>7</v>
      </c>
      <c r="N60" s="41" t="str">
        <f aca="false">IF(M60&gt;=10,"أبطال",IF(M60&gt;=8,"أوفياء",IF(M60&gt;=6,"واعدون",IF(M60&gt;=4,"معرضون للفقد","نائمون"))))</f>
        <v>واعدون</v>
      </c>
      <c r="O60" s="47" t="n">
        <f aca="false">RANK(F60,$F$21:$F$220)+COUNTIF($F$21:F60,F60)-1</f>
        <v>112</v>
      </c>
    </row>
    <row r="61" customFormat="false" ht="15" hidden="false" customHeight="false" outlineLevel="0" collapsed="false">
      <c r="A61" s="41" t="s">
        <v>272</v>
      </c>
      <c r="B61" s="41" t="str">
        <f aca="false">INDEX(c_Name,MATCH($A61,c_ID,0))</f>
        <v>عبدالله البلوي</v>
      </c>
      <c r="C61" s="41" t="str">
        <f aca="false">INDEX(c_Seg,MATCH($A61,c_ID,0))</f>
        <v>شركات صغيرة</v>
      </c>
      <c r="D61" s="41" t="str">
        <f aca="false">INDEX(c_Region,MATCH($A61,c_ID,0))</f>
        <v>الشرقية</v>
      </c>
      <c r="E61" s="47" t="n">
        <f aca="false">COUNTIFS(d_Cust,$A61,d_Status,"مكتمل")</f>
        <v>3</v>
      </c>
      <c r="F61" s="42" t="n">
        <f aca="false">SUMIFS(d_Rev,d_Cust,$A61)</f>
        <v>6180</v>
      </c>
      <c r="G61" s="42" t="n">
        <f aca="false">SUMIFS(d_Profit,d_Cust,$A61)</f>
        <v>1420</v>
      </c>
      <c r="H61" s="52" t="n">
        <f aca="false">IF(COUNTIF(d_Cust,$A61)=0,"",SUMPRODUCT(MAX((d_Cust=$A61)*d_Date)))</f>
        <v>46269</v>
      </c>
      <c r="I61" s="47" t="n">
        <f aca="false">IF(H61="",$B$3-MIN(d_Date),$B$3-H61)</f>
        <v>27</v>
      </c>
      <c r="J61" s="47" t="n">
        <f aca="false">IF(I61&lt;=$B$6,4,IF(I61&lt;=$C$6,3,IF(I61&lt;=$D$6,2,1)))</f>
        <v>3</v>
      </c>
      <c r="K61" s="47" t="n">
        <f aca="false">IF(E61&gt;=$D$7,4,IF(E61&gt;=$C$7,3,IF(E61&gt;=$B$7,2,1)))</f>
        <v>2</v>
      </c>
      <c r="L61" s="47" t="n">
        <f aca="false">IF(F61&gt;=$D$8,4,IF(F61&gt;=$C$8,3,IF(F61&gt;=$B$8,2,1)))</f>
        <v>3</v>
      </c>
      <c r="M61" s="53" t="n">
        <f aca="false">J61+K61+L61</f>
        <v>8</v>
      </c>
      <c r="N61" s="41" t="str">
        <f aca="false">IF(M61&gt;=10,"أبطال",IF(M61&gt;=8,"أوفياء",IF(M61&gt;=6,"واعدون",IF(M61&gt;=4,"معرضون للفقد","نائمون"))))</f>
        <v>أوفياء</v>
      </c>
      <c r="O61" s="47" t="n">
        <f aca="false">RANK(F61,$F$21:$F$220)+COUNTIF($F$21:F61,F61)-1</f>
        <v>96</v>
      </c>
    </row>
    <row r="62" customFormat="false" ht="15" hidden="false" customHeight="false" outlineLevel="0" collapsed="false">
      <c r="A62" s="41" t="s">
        <v>273</v>
      </c>
      <c r="B62" s="41" t="str">
        <f aca="false">INDEX(c_Name,MATCH($A62,c_ID,0))</f>
        <v>سلمان التميمي</v>
      </c>
      <c r="C62" s="41" t="str">
        <f aca="false">INDEX(c_Seg,MATCH($A62,c_ID,0))</f>
        <v>أفراد</v>
      </c>
      <c r="D62" s="41" t="str">
        <f aca="false">INDEX(c_Region,MATCH($A62,c_ID,0))</f>
        <v>الشرقية</v>
      </c>
      <c r="E62" s="47" t="n">
        <f aca="false">COUNTIFS(d_Cust,$A62,d_Status,"مكتمل")</f>
        <v>13</v>
      </c>
      <c r="F62" s="42" t="n">
        <f aca="false">SUMIFS(d_Rev,d_Cust,$A62)</f>
        <v>16933</v>
      </c>
      <c r="G62" s="42" t="n">
        <f aca="false">SUMIFS(d_Profit,d_Cust,$A62)</f>
        <v>7038</v>
      </c>
      <c r="H62" s="52" t="n">
        <f aca="false">IF(COUNTIF(d_Cust,$A62)=0,"",SUMPRODUCT(MAX((d_Cust=$A62)*d_Date)))</f>
        <v>46284</v>
      </c>
      <c r="I62" s="47" t="n">
        <f aca="false">IF(H62="",$B$3-MIN(d_Date),$B$3-H62)</f>
        <v>12</v>
      </c>
      <c r="J62" s="47" t="n">
        <f aca="false">IF(I62&lt;=$B$6,4,IF(I62&lt;=$C$6,3,IF(I62&lt;=$D$6,2,1)))</f>
        <v>4</v>
      </c>
      <c r="K62" s="47" t="n">
        <f aca="false">IF(E62&gt;=$D$7,4,IF(E62&gt;=$C$7,3,IF(E62&gt;=$B$7,2,1)))</f>
        <v>4</v>
      </c>
      <c r="L62" s="47" t="n">
        <f aca="false">IF(F62&gt;=$D$8,4,IF(F62&gt;=$C$8,3,IF(F62&gt;=$B$8,2,1)))</f>
        <v>4</v>
      </c>
      <c r="M62" s="53" t="n">
        <f aca="false">J62+K62+L62</f>
        <v>12</v>
      </c>
      <c r="N62" s="41" t="str">
        <f aca="false">IF(M62&gt;=10,"أبطال",IF(M62&gt;=8,"أوفياء",IF(M62&gt;=6,"واعدون",IF(M62&gt;=4,"معرضون للفقد","نائمون"))))</f>
        <v>أبطال</v>
      </c>
      <c r="O62" s="47" t="n">
        <f aca="false">RANK(F62,$F$21:$F$220)+COUNTIF($F$21:F62,F62)-1</f>
        <v>32</v>
      </c>
    </row>
    <row r="63" customFormat="false" ht="15" hidden="false" customHeight="false" outlineLevel="0" collapsed="false">
      <c r="A63" s="41" t="s">
        <v>274</v>
      </c>
      <c r="B63" s="41" t="str">
        <f aca="false">INDEX(c_Name,MATCH($A63,c_ID,0))</f>
        <v>سلمان الغامدي</v>
      </c>
      <c r="C63" s="41" t="str">
        <f aca="false">INDEX(c_Seg,MATCH($A63,c_ID,0))</f>
        <v>أفراد</v>
      </c>
      <c r="D63" s="41" t="str">
        <f aca="false">INDEX(c_Region,MATCH($A63,c_ID,0))</f>
        <v>الوسطى</v>
      </c>
      <c r="E63" s="47" t="n">
        <f aca="false">COUNTIFS(d_Cust,$A63,d_Status,"مكتمل")</f>
        <v>8</v>
      </c>
      <c r="F63" s="42" t="n">
        <f aca="false">SUMIFS(d_Rev,d_Cust,$A63)</f>
        <v>9695.5</v>
      </c>
      <c r="G63" s="42" t="n">
        <f aca="false">SUMIFS(d_Profit,d_Cust,$A63)</f>
        <v>2785.5</v>
      </c>
      <c r="H63" s="52" t="n">
        <f aca="false">IF(COUNTIF(d_Cust,$A63)=0,"",SUMPRODUCT(MAX((d_Cust=$A63)*d_Date)))</f>
        <v>46106</v>
      </c>
      <c r="I63" s="47" t="n">
        <f aca="false">IF(H63="",$B$3-MIN(d_Date),$B$3-H63)</f>
        <v>190</v>
      </c>
      <c r="J63" s="47" t="n">
        <f aca="false">IF(I63&lt;=$B$6,4,IF(I63&lt;=$C$6,3,IF(I63&lt;=$D$6,2,1)))</f>
        <v>1</v>
      </c>
      <c r="K63" s="47" t="n">
        <f aca="false">IF(E63&gt;=$D$7,4,IF(E63&gt;=$C$7,3,IF(E63&gt;=$B$7,2,1)))</f>
        <v>3</v>
      </c>
      <c r="L63" s="47" t="n">
        <f aca="false">IF(F63&gt;=$D$8,4,IF(F63&gt;=$C$8,3,IF(F63&gt;=$B$8,2,1)))</f>
        <v>3</v>
      </c>
      <c r="M63" s="53" t="n">
        <f aca="false">J63+K63+L63</f>
        <v>7</v>
      </c>
      <c r="N63" s="41" t="str">
        <f aca="false">IF(M63&gt;=10,"أبطال",IF(M63&gt;=8,"أوفياء",IF(M63&gt;=6,"واعدون",IF(M63&gt;=4,"معرضون للفقد","نائمون"))))</f>
        <v>واعدون</v>
      </c>
      <c r="O63" s="47" t="n">
        <f aca="false">RANK(F63,$F$21:$F$220)+COUNTIF($F$21:F63,F63)-1</f>
        <v>67</v>
      </c>
    </row>
    <row r="64" customFormat="false" ht="15" hidden="false" customHeight="false" outlineLevel="0" collapsed="false">
      <c r="A64" s="41" t="s">
        <v>275</v>
      </c>
      <c r="B64" s="41" t="str">
        <f aca="false">INDEX(c_Name,MATCH($A64,c_ID,0))</f>
        <v>طارق البلوي</v>
      </c>
      <c r="C64" s="41" t="str">
        <f aca="false">INDEX(c_Seg,MATCH($A64,c_ID,0))</f>
        <v>أفراد</v>
      </c>
      <c r="D64" s="41" t="str">
        <f aca="false">INDEX(c_Region,MATCH($A64,c_ID,0))</f>
        <v>الشرقية</v>
      </c>
      <c r="E64" s="47" t="n">
        <f aca="false">COUNTIFS(d_Cust,$A64,d_Status,"مكتمل")</f>
        <v>12</v>
      </c>
      <c r="F64" s="42" t="n">
        <f aca="false">SUMIFS(d_Rev,d_Cust,$A64)</f>
        <v>10993</v>
      </c>
      <c r="G64" s="42" t="n">
        <f aca="false">SUMIFS(d_Profit,d_Cust,$A64)</f>
        <v>4513</v>
      </c>
      <c r="H64" s="52" t="n">
        <f aca="false">IF(COUNTIF(d_Cust,$A64)=0,"",SUMPRODUCT(MAX((d_Cust=$A64)*d_Date)))</f>
        <v>46293</v>
      </c>
      <c r="I64" s="47" t="n">
        <f aca="false">IF(H64="",$B$3-MIN(d_Date),$B$3-H64)</f>
        <v>3</v>
      </c>
      <c r="J64" s="47" t="n">
        <f aca="false">IF(I64&lt;=$B$6,4,IF(I64&lt;=$C$6,3,IF(I64&lt;=$D$6,2,1)))</f>
        <v>4</v>
      </c>
      <c r="K64" s="47" t="n">
        <f aca="false">IF(E64&gt;=$D$7,4,IF(E64&gt;=$C$7,3,IF(E64&gt;=$B$7,2,1)))</f>
        <v>4</v>
      </c>
      <c r="L64" s="47" t="n">
        <f aca="false">IF(F64&gt;=$D$8,4,IF(F64&gt;=$C$8,3,IF(F64&gt;=$B$8,2,1)))</f>
        <v>3</v>
      </c>
      <c r="M64" s="53" t="n">
        <f aca="false">J64+K64+L64</f>
        <v>11</v>
      </c>
      <c r="N64" s="41" t="str">
        <f aca="false">IF(M64&gt;=10,"أبطال",IF(M64&gt;=8,"أوفياء",IF(M64&gt;=6,"واعدون",IF(M64&gt;=4,"معرضون للفقد","نائمون"))))</f>
        <v>أبطال</v>
      </c>
      <c r="O64" s="47" t="n">
        <f aca="false">RANK(F64,$F$21:$F$220)+COUNTIF($F$21:F64,F64)-1</f>
        <v>59</v>
      </c>
    </row>
    <row r="65" customFormat="false" ht="15" hidden="false" customHeight="false" outlineLevel="0" collapsed="false">
      <c r="A65" s="41" t="s">
        <v>276</v>
      </c>
      <c r="B65" s="41" t="str">
        <f aca="false">INDEX(c_Name,MATCH($A65,c_ID,0))</f>
        <v>منى القحطاني</v>
      </c>
      <c r="C65" s="41" t="str">
        <f aca="false">INDEX(c_Seg,MATCH($A65,c_ID,0))</f>
        <v>أفراد</v>
      </c>
      <c r="D65" s="41" t="str">
        <f aca="false">INDEX(c_Region,MATCH($A65,c_ID,0))</f>
        <v>الغربية</v>
      </c>
      <c r="E65" s="47" t="n">
        <f aca="false">COUNTIFS(d_Cust,$A65,d_Status,"مكتمل")</f>
        <v>0</v>
      </c>
      <c r="F65" s="42" t="n">
        <f aca="false">SUMIFS(d_Rev,d_Cust,$A65)</f>
        <v>0</v>
      </c>
      <c r="G65" s="42" t="n">
        <f aca="false">SUMIFS(d_Profit,d_Cust,$A65)</f>
        <v>0</v>
      </c>
      <c r="H65" s="52" t="str">
        <f aca="false">IF(COUNTIF(d_Cust,$A65)=0,"",SUMPRODUCT(MAX((d_Cust=$A65)*d_Date)))</f>
        <v/>
      </c>
      <c r="I65" s="47" t="n">
        <f aca="false">IF(H65="",$B$3-MIN(d_Date),$B$3-H65)</f>
        <v>365</v>
      </c>
      <c r="J65" s="47" t="n">
        <f aca="false">IF(I65&lt;=$B$6,4,IF(I65&lt;=$C$6,3,IF(I65&lt;=$D$6,2,1)))</f>
        <v>1</v>
      </c>
      <c r="K65" s="47" t="n">
        <f aca="false">IF(E65&gt;=$D$7,4,IF(E65&gt;=$C$7,3,IF(E65&gt;=$B$7,2,1)))</f>
        <v>1</v>
      </c>
      <c r="L65" s="47" t="n">
        <f aca="false">IF(F65&gt;=$D$8,4,IF(F65&gt;=$C$8,3,IF(F65&gt;=$B$8,2,1)))</f>
        <v>1</v>
      </c>
      <c r="M65" s="53" t="n">
        <f aca="false">J65+K65+L65</f>
        <v>3</v>
      </c>
      <c r="N65" s="41" t="str">
        <f aca="false">IF(M65&gt;=10,"أبطال",IF(M65&gt;=8,"أوفياء",IF(M65&gt;=6,"واعدون",IF(M65&gt;=4,"معرضون للفقد","نائمون"))))</f>
        <v>نائمون</v>
      </c>
      <c r="O65" s="47" t="n">
        <f aca="false">RANK(F65,$F$21:$F$220)+COUNTIF($F$21:F65,F65)-1</f>
        <v>190</v>
      </c>
    </row>
    <row r="66" customFormat="false" ht="15" hidden="false" customHeight="false" outlineLevel="0" collapsed="false">
      <c r="A66" s="41" t="s">
        <v>277</v>
      </c>
      <c r="B66" s="41" t="str">
        <f aca="false">INDEX(c_Name,MATCH($A66,c_ID,0))</f>
        <v>خالد الخالدي</v>
      </c>
      <c r="C66" s="41" t="str">
        <f aca="false">INDEX(c_Seg,MATCH($A66,c_ID,0))</f>
        <v>شركات صغيرة</v>
      </c>
      <c r="D66" s="41" t="str">
        <f aca="false">INDEX(c_Region,MATCH($A66,c_ID,0))</f>
        <v>الغربية</v>
      </c>
      <c r="E66" s="47" t="n">
        <f aca="false">COUNTIFS(d_Cust,$A66,d_Status,"مكتمل")</f>
        <v>7</v>
      </c>
      <c r="F66" s="42" t="n">
        <f aca="false">SUMIFS(d_Rev,d_Cust,$A66)</f>
        <v>23939</v>
      </c>
      <c r="G66" s="42" t="n">
        <f aca="false">SUMIFS(d_Profit,d_Cust,$A66)</f>
        <v>7219</v>
      </c>
      <c r="H66" s="52" t="n">
        <f aca="false">IF(COUNTIF(d_Cust,$A66)=0,"",SUMPRODUCT(MAX((d_Cust=$A66)*d_Date)))</f>
        <v>46281</v>
      </c>
      <c r="I66" s="47" t="n">
        <f aca="false">IF(H66="",$B$3-MIN(d_Date),$B$3-H66)</f>
        <v>15</v>
      </c>
      <c r="J66" s="47" t="n">
        <f aca="false">IF(I66&lt;=$B$6,4,IF(I66&lt;=$C$6,3,IF(I66&lt;=$D$6,2,1)))</f>
        <v>4</v>
      </c>
      <c r="K66" s="47" t="n">
        <f aca="false">IF(E66&gt;=$D$7,4,IF(E66&gt;=$C$7,3,IF(E66&gt;=$B$7,2,1)))</f>
        <v>3</v>
      </c>
      <c r="L66" s="47" t="n">
        <f aca="false">IF(F66&gt;=$D$8,4,IF(F66&gt;=$C$8,3,IF(F66&gt;=$B$8,2,1)))</f>
        <v>4</v>
      </c>
      <c r="M66" s="53" t="n">
        <f aca="false">J66+K66+L66</f>
        <v>11</v>
      </c>
      <c r="N66" s="41" t="str">
        <f aca="false">IF(M66&gt;=10,"أبطال",IF(M66&gt;=8,"أوفياء",IF(M66&gt;=6,"واعدون",IF(M66&gt;=4,"معرضون للفقد","نائمون"))))</f>
        <v>أبطال</v>
      </c>
      <c r="O66" s="47" t="n">
        <f aca="false">RANK(F66,$F$21:$F$220)+COUNTIF($F$21:F66,F66)-1</f>
        <v>21</v>
      </c>
    </row>
    <row r="67" customFormat="false" ht="15" hidden="false" customHeight="false" outlineLevel="0" collapsed="false">
      <c r="A67" s="41" t="s">
        <v>278</v>
      </c>
      <c r="B67" s="41" t="str">
        <f aca="false">INDEX(c_Name,MATCH($A67,c_ID,0))</f>
        <v>طارق الشمري</v>
      </c>
      <c r="C67" s="41" t="str">
        <f aca="false">INDEX(c_Seg,MATCH($A67,c_ID,0))</f>
        <v>مؤسسات</v>
      </c>
      <c r="D67" s="41" t="str">
        <f aca="false">INDEX(c_Region,MATCH($A67,c_ID,0))</f>
        <v>الجنوبية</v>
      </c>
      <c r="E67" s="47" t="n">
        <f aca="false">COUNTIFS(d_Cust,$A67,d_Status,"مكتمل")</f>
        <v>4</v>
      </c>
      <c r="F67" s="42" t="n">
        <f aca="false">SUMIFS(d_Rev,d_Cust,$A67)</f>
        <v>36980.5</v>
      </c>
      <c r="G67" s="42" t="n">
        <f aca="false">SUMIFS(d_Profit,d_Cust,$A67)</f>
        <v>9485.5</v>
      </c>
      <c r="H67" s="52" t="n">
        <f aca="false">IF(COUNTIF(d_Cust,$A67)=0,"",SUMPRODUCT(MAX((d_Cust=$A67)*d_Date)))</f>
        <v>46256</v>
      </c>
      <c r="I67" s="47" t="n">
        <f aca="false">IF(H67="",$B$3-MIN(d_Date),$B$3-H67)</f>
        <v>40</v>
      </c>
      <c r="J67" s="47" t="n">
        <f aca="false">IF(I67&lt;=$B$6,4,IF(I67&lt;=$C$6,3,IF(I67&lt;=$D$6,2,1)))</f>
        <v>3</v>
      </c>
      <c r="K67" s="47" t="n">
        <f aca="false">IF(E67&gt;=$D$7,4,IF(E67&gt;=$C$7,3,IF(E67&gt;=$B$7,2,1)))</f>
        <v>2</v>
      </c>
      <c r="L67" s="47" t="n">
        <f aca="false">IF(F67&gt;=$D$8,4,IF(F67&gt;=$C$8,3,IF(F67&gt;=$B$8,2,1)))</f>
        <v>4</v>
      </c>
      <c r="M67" s="53" t="n">
        <f aca="false">J67+K67+L67</f>
        <v>9</v>
      </c>
      <c r="N67" s="41" t="str">
        <f aca="false">IF(M67&gt;=10,"أبطال",IF(M67&gt;=8,"أوفياء",IF(M67&gt;=6,"واعدون",IF(M67&gt;=4,"معرضون للفقد","نائمون"))))</f>
        <v>أوفياء</v>
      </c>
      <c r="O67" s="47" t="n">
        <f aca="false">RANK(F67,$F$21:$F$220)+COUNTIF($F$21:F67,F67)-1</f>
        <v>10</v>
      </c>
    </row>
    <row r="68" customFormat="false" ht="15" hidden="false" customHeight="false" outlineLevel="0" collapsed="false">
      <c r="A68" s="41" t="s">
        <v>279</v>
      </c>
      <c r="B68" s="41" t="str">
        <f aca="false">INDEX(c_Name,MATCH($A68,c_ID,0))</f>
        <v>لمى القحطاني</v>
      </c>
      <c r="C68" s="41" t="str">
        <f aca="false">INDEX(c_Seg,MATCH($A68,c_ID,0))</f>
        <v>أفراد</v>
      </c>
      <c r="D68" s="41" t="str">
        <f aca="false">INDEX(c_Region,MATCH($A68,c_ID,0))</f>
        <v>الجنوبية</v>
      </c>
      <c r="E68" s="47" t="n">
        <f aca="false">COUNTIFS(d_Cust,$A68,d_Status,"مكتمل")</f>
        <v>6</v>
      </c>
      <c r="F68" s="42" t="n">
        <f aca="false">SUMIFS(d_Rev,d_Cust,$A68)</f>
        <v>5175.5</v>
      </c>
      <c r="G68" s="42" t="n">
        <f aca="false">SUMIFS(d_Profit,d_Cust,$A68)</f>
        <v>1815.5</v>
      </c>
      <c r="H68" s="52" t="n">
        <f aca="false">IF(COUNTIF(d_Cust,$A68)=0,"",SUMPRODUCT(MAX((d_Cust=$A68)*d_Date)))</f>
        <v>46278</v>
      </c>
      <c r="I68" s="47" t="n">
        <f aca="false">IF(H68="",$B$3-MIN(d_Date),$B$3-H68)</f>
        <v>18</v>
      </c>
      <c r="J68" s="47" t="n">
        <f aca="false">IF(I68&lt;=$B$6,4,IF(I68&lt;=$C$6,3,IF(I68&lt;=$D$6,2,1)))</f>
        <v>3</v>
      </c>
      <c r="K68" s="47" t="n">
        <f aca="false">IF(E68&gt;=$D$7,4,IF(E68&gt;=$C$7,3,IF(E68&gt;=$B$7,2,1)))</f>
        <v>3</v>
      </c>
      <c r="L68" s="47" t="n">
        <f aca="false">IF(F68&gt;=$D$8,4,IF(F68&gt;=$C$8,3,IF(F68&gt;=$B$8,2,1)))</f>
        <v>2</v>
      </c>
      <c r="M68" s="53" t="n">
        <f aca="false">J68+K68+L68</f>
        <v>8</v>
      </c>
      <c r="N68" s="41" t="str">
        <f aca="false">IF(M68&gt;=10,"أبطال",IF(M68&gt;=8,"أوفياء",IF(M68&gt;=6,"واعدون",IF(M68&gt;=4,"معرضون للفقد","نائمون"))))</f>
        <v>أوفياء</v>
      </c>
      <c r="O68" s="47" t="n">
        <f aca="false">RANK(F68,$F$21:$F$220)+COUNTIF($F$21:F68,F68)-1</f>
        <v>109</v>
      </c>
    </row>
    <row r="69" customFormat="false" ht="15" hidden="false" customHeight="false" outlineLevel="0" collapsed="false">
      <c r="A69" s="41" t="s">
        <v>280</v>
      </c>
      <c r="B69" s="41" t="str">
        <f aca="false">INDEX(c_Name,MATCH($A69,c_ID,0))</f>
        <v>سلمان المطيري</v>
      </c>
      <c r="C69" s="41" t="str">
        <f aca="false">INDEX(c_Seg,MATCH($A69,c_ID,0))</f>
        <v>أفراد</v>
      </c>
      <c r="D69" s="41" t="str">
        <f aca="false">INDEX(c_Region,MATCH($A69,c_ID,0))</f>
        <v>الشرقية</v>
      </c>
      <c r="E69" s="47" t="n">
        <f aca="false">COUNTIFS(d_Cust,$A69,d_Status,"مكتمل")</f>
        <v>4</v>
      </c>
      <c r="F69" s="42" t="n">
        <f aca="false">SUMIFS(d_Rev,d_Cust,$A69)</f>
        <v>1704</v>
      </c>
      <c r="G69" s="42" t="n">
        <f aca="false">SUMIFS(d_Profit,d_Cust,$A69)</f>
        <v>859</v>
      </c>
      <c r="H69" s="52" t="n">
        <f aca="false">IF(COUNTIF(d_Cust,$A69)=0,"",SUMPRODUCT(MAX((d_Cust=$A69)*d_Date)))</f>
        <v>46276</v>
      </c>
      <c r="I69" s="47" t="n">
        <f aca="false">IF(H69="",$B$3-MIN(d_Date),$B$3-H69)</f>
        <v>20</v>
      </c>
      <c r="J69" s="47" t="n">
        <f aca="false">IF(I69&lt;=$B$6,4,IF(I69&lt;=$C$6,3,IF(I69&lt;=$D$6,2,1)))</f>
        <v>3</v>
      </c>
      <c r="K69" s="47" t="n">
        <f aca="false">IF(E69&gt;=$D$7,4,IF(E69&gt;=$C$7,3,IF(E69&gt;=$B$7,2,1)))</f>
        <v>2</v>
      </c>
      <c r="L69" s="47" t="n">
        <f aca="false">IF(F69&gt;=$D$8,4,IF(F69&gt;=$C$8,3,IF(F69&gt;=$B$8,2,1)))</f>
        <v>1</v>
      </c>
      <c r="M69" s="53" t="n">
        <f aca="false">J69+K69+L69</f>
        <v>6</v>
      </c>
      <c r="N69" s="41" t="str">
        <f aca="false">IF(M69&gt;=10,"أبطال",IF(M69&gt;=8,"أوفياء",IF(M69&gt;=6,"واعدون",IF(M69&gt;=4,"معرضون للفقد","نائمون"))))</f>
        <v>واعدون</v>
      </c>
      <c r="O69" s="47" t="n">
        <f aca="false">RANK(F69,$F$21:$F$220)+COUNTIF($F$21:F69,F69)-1</f>
        <v>165</v>
      </c>
    </row>
    <row r="70" customFormat="false" ht="15" hidden="false" customHeight="false" outlineLevel="0" collapsed="false">
      <c r="A70" s="41" t="s">
        <v>281</v>
      </c>
      <c r="B70" s="41" t="str">
        <f aca="false">INDEX(c_Name,MATCH($A70,c_ID,0))</f>
        <v>ريم الخالدي</v>
      </c>
      <c r="C70" s="41" t="str">
        <f aca="false">INDEX(c_Seg,MATCH($A70,c_ID,0))</f>
        <v>أفراد</v>
      </c>
      <c r="D70" s="41" t="str">
        <f aca="false">INDEX(c_Region,MATCH($A70,c_ID,0))</f>
        <v>الوسطى</v>
      </c>
      <c r="E70" s="47" t="n">
        <f aca="false">COUNTIFS(d_Cust,$A70,d_Status,"مكتمل")</f>
        <v>16</v>
      </c>
      <c r="F70" s="42" t="n">
        <f aca="false">SUMIFS(d_Rev,d_Cust,$A70)</f>
        <v>16059</v>
      </c>
      <c r="G70" s="42" t="n">
        <f aca="false">SUMIFS(d_Profit,d_Cust,$A70)</f>
        <v>5539</v>
      </c>
      <c r="H70" s="52" t="n">
        <f aca="false">IF(COUNTIF(d_Cust,$A70)=0,"",SUMPRODUCT(MAX((d_Cust=$A70)*d_Date)))</f>
        <v>46289</v>
      </c>
      <c r="I70" s="47" t="n">
        <f aca="false">IF(H70="",$B$3-MIN(d_Date),$B$3-H70)</f>
        <v>7</v>
      </c>
      <c r="J70" s="47" t="n">
        <f aca="false">IF(I70&lt;=$B$6,4,IF(I70&lt;=$C$6,3,IF(I70&lt;=$D$6,2,1)))</f>
        <v>4</v>
      </c>
      <c r="K70" s="47" t="n">
        <f aca="false">IF(E70&gt;=$D$7,4,IF(E70&gt;=$C$7,3,IF(E70&gt;=$B$7,2,1)))</f>
        <v>4</v>
      </c>
      <c r="L70" s="47" t="n">
        <f aca="false">IF(F70&gt;=$D$8,4,IF(F70&gt;=$C$8,3,IF(F70&gt;=$B$8,2,1)))</f>
        <v>4</v>
      </c>
      <c r="M70" s="53" t="n">
        <f aca="false">J70+K70+L70</f>
        <v>12</v>
      </c>
      <c r="N70" s="41" t="str">
        <f aca="false">IF(M70&gt;=10,"أبطال",IF(M70&gt;=8,"أوفياء",IF(M70&gt;=6,"واعدون",IF(M70&gt;=4,"معرضون للفقد","نائمون"))))</f>
        <v>أبطال</v>
      </c>
      <c r="O70" s="47" t="n">
        <f aca="false">RANK(F70,$F$21:$F$220)+COUNTIF($F$21:F70,F70)-1</f>
        <v>34</v>
      </c>
    </row>
    <row r="71" customFormat="false" ht="15" hidden="false" customHeight="false" outlineLevel="0" collapsed="false">
      <c r="A71" s="41" t="s">
        <v>282</v>
      </c>
      <c r="B71" s="41" t="str">
        <f aca="false">INDEX(c_Name,MATCH($A71,c_ID,0))</f>
        <v>لمى المطيري</v>
      </c>
      <c r="C71" s="41" t="str">
        <f aca="false">INDEX(c_Seg,MATCH($A71,c_ID,0))</f>
        <v>شركات صغيرة</v>
      </c>
      <c r="D71" s="41" t="str">
        <f aca="false">INDEX(c_Region,MATCH($A71,c_ID,0))</f>
        <v>الوسطى</v>
      </c>
      <c r="E71" s="47" t="n">
        <f aca="false">COUNTIFS(d_Cust,$A71,d_Status,"مكتمل")</f>
        <v>5</v>
      </c>
      <c r="F71" s="42" t="n">
        <f aca="false">SUMIFS(d_Rev,d_Cust,$A71)</f>
        <v>9352</v>
      </c>
      <c r="G71" s="42" t="n">
        <f aca="false">SUMIFS(d_Profit,d_Cust,$A71)</f>
        <v>3062</v>
      </c>
      <c r="H71" s="52" t="n">
        <f aca="false">IF(COUNTIF(d_Cust,$A71)=0,"",SUMPRODUCT(MAX((d_Cust=$A71)*d_Date)))</f>
        <v>46178</v>
      </c>
      <c r="I71" s="47" t="n">
        <f aca="false">IF(H71="",$B$3-MIN(d_Date),$B$3-H71)</f>
        <v>118</v>
      </c>
      <c r="J71" s="47" t="n">
        <f aca="false">IF(I71&lt;=$B$6,4,IF(I71&lt;=$C$6,3,IF(I71&lt;=$D$6,2,1)))</f>
        <v>2</v>
      </c>
      <c r="K71" s="47" t="n">
        <f aca="false">IF(E71&gt;=$D$7,4,IF(E71&gt;=$C$7,3,IF(E71&gt;=$B$7,2,1)))</f>
        <v>3</v>
      </c>
      <c r="L71" s="47" t="n">
        <f aca="false">IF(F71&gt;=$D$8,4,IF(F71&gt;=$C$8,3,IF(F71&gt;=$B$8,2,1)))</f>
        <v>3</v>
      </c>
      <c r="M71" s="53" t="n">
        <f aca="false">J71+K71+L71</f>
        <v>8</v>
      </c>
      <c r="N71" s="41" t="str">
        <f aca="false">IF(M71&gt;=10,"أبطال",IF(M71&gt;=8,"أوفياء",IF(M71&gt;=6,"واعدون",IF(M71&gt;=4,"معرضون للفقد","نائمون"))))</f>
        <v>أوفياء</v>
      </c>
      <c r="O71" s="47" t="n">
        <f aca="false">RANK(F71,$F$21:$F$220)+COUNTIF($F$21:F71,F71)-1</f>
        <v>69</v>
      </c>
    </row>
    <row r="72" customFormat="false" ht="15" hidden="false" customHeight="false" outlineLevel="0" collapsed="false">
      <c r="A72" s="41" t="s">
        <v>283</v>
      </c>
      <c r="B72" s="41" t="str">
        <f aca="false">INDEX(c_Name,MATCH($A72,c_ID,0))</f>
        <v>فهد السبيعي</v>
      </c>
      <c r="C72" s="41" t="str">
        <f aca="false">INDEX(c_Seg,MATCH($A72,c_ID,0))</f>
        <v>أفراد</v>
      </c>
      <c r="D72" s="41" t="str">
        <f aca="false">INDEX(c_Region,MATCH($A72,c_ID,0))</f>
        <v>الغربية</v>
      </c>
      <c r="E72" s="47" t="n">
        <f aca="false">COUNTIFS(d_Cust,$A72,d_Status,"مكتمل")</f>
        <v>6</v>
      </c>
      <c r="F72" s="42" t="n">
        <f aca="false">SUMIFS(d_Rev,d_Cust,$A72)</f>
        <v>3343</v>
      </c>
      <c r="G72" s="42" t="n">
        <f aca="false">SUMIFS(d_Profit,d_Cust,$A72)</f>
        <v>1318</v>
      </c>
      <c r="H72" s="52" t="n">
        <f aca="false">IF(COUNTIF(d_Cust,$A72)=0,"",SUMPRODUCT(MAX((d_Cust=$A72)*d_Date)))</f>
        <v>46264</v>
      </c>
      <c r="I72" s="47" t="n">
        <f aca="false">IF(H72="",$B$3-MIN(d_Date),$B$3-H72)</f>
        <v>32</v>
      </c>
      <c r="J72" s="47" t="n">
        <f aca="false">IF(I72&lt;=$B$6,4,IF(I72&lt;=$C$6,3,IF(I72&lt;=$D$6,2,1)))</f>
        <v>3</v>
      </c>
      <c r="K72" s="47" t="n">
        <f aca="false">IF(E72&gt;=$D$7,4,IF(E72&gt;=$C$7,3,IF(E72&gt;=$B$7,2,1)))</f>
        <v>3</v>
      </c>
      <c r="L72" s="47" t="n">
        <f aca="false">IF(F72&gt;=$D$8,4,IF(F72&gt;=$C$8,3,IF(F72&gt;=$B$8,2,1)))</f>
        <v>2</v>
      </c>
      <c r="M72" s="53" t="n">
        <f aca="false">J72+K72+L72</f>
        <v>8</v>
      </c>
      <c r="N72" s="41" t="str">
        <f aca="false">IF(M72&gt;=10,"أبطال",IF(M72&gt;=8,"أوفياء",IF(M72&gt;=6,"واعدون",IF(M72&gt;=4,"معرضون للفقد","نائمون"))))</f>
        <v>أوفياء</v>
      </c>
      <c r="O72" s="47" t="n">
        <f aca="false">RANK(F72,$F$21:$F$220)+COUNTIF($F$21:F72,F72)-1</f>
        <v>130</v>
      </c>
    </row>
    <row r="73" customFormat="false" ht="15" hidden="false" customHeight="false" outlineLevel="0" collapsed="false">
      <c r="A73" s="41" t="s">
        <v>284</v>
      </c>
      <c r="B73" s="41" t="str">
        <f aca="false">INDEX(c_Name,MATCH($A73,c_ID,0))</f>
        <v>طارق الحسيني</v>
      </c>
      <c r="C73" s="41" t="str">
        <f aca="false">INDEX(c_Seg,MATCH($A73,c_ID,0))</f>
        <v>أفراد</v>
      </c>
      <c r="D73" s="41" t="str">
        <f aca="false">INDEX(c_Region,MATCH($A73,c_ID,0))</f>
        <v>الوسطى</v>
      </c>
      <c r="E73" s="47" t="n">
        <f aca="false">COUNTIFS(d_Cust,$A73,d_Status,"مكتمل")</f>
        <v>0</v>
      </c>
      <c r="F73" s="42" t="n">
        <f aca="false">SUMIFS(d_Rev,d_Cust,$A73)</f>
        <v>0</v>
      </c>
      <c r="G73" s="42" t="n">
        <f aca="false">SUMIFS(d_Profit,d_Cust,$A73)</f>
        <v>0</v>
      </c>
      <c r="H73" s="52" t="str">
        <f aca="false">IF(COUNTIF(d_Cust,$A73)=0,"",SUMPRODUCT(MAX((d_Cust=$A73)*d_Date)))</f>
        <v/>
      </c>
      <c r="I73" s="47" t="n">
        <f aca="false">IF(H73="",$B$3-MIN(d_Date),$B$3-H73)</f>
        <v>365</v>
      </c>
      <c r="J73" s="47" t="n">
        <f aca="false">IF(I73&lt;=$B$6,4,IF(I73&lt;=$C$6,3,IF(I73&lt;=$D$6,2,1)))</f>
        <v>1</v>
      </c>
      <c r="K73" s="47" t="n">
        <f aca="false">IF(E73&gt;=$D$7,4,IF(E73&gt;=$C$7,3,IF(E73&gt;=$B$7,2,1)))</f>
        <v>1</v>
      </c>
      <c r="L73" s="47" t="n">
        <f aca="false">IF(F73&gt;=$D$8,4,IF(F73&gt;=$C$8,3,IF(F73&gt;=$B$8,2,1)))</f>
        <v>1</v>
      </c>
      <c r="M73" s="53" t="n">
        <f aca="false">J73+K73+L73</f>
        <v>3</v>
      </c>
      <c r="N73" s="41" t="str">
        <f aca="false">IF(M73&gt;=10,"أبطال",IF(M73&gt;=8,"أوفياء",IF(M73&gt;=6,"واعدون",IF(M73&gt;=4,"معرضون للفقد","نائمون"))))</f>
        <v>نائمون</v>
      </c>
      <c r="O73" s="47" t="n">
        <f aca="false">RANK(F73,$F$21:$F$220)+COUNTIF($F$21:F73,F73)-1</f>
        <v>191</v>
      </c>
    </row>
    <row r="74" customFormat="false" ht="15" hidden="false" customHeight="false" outlineLevel="0" collapsed="false">
      <c r="A74" s="41" t="s">
        <v>285</v>
      </c>
      <c r="B74" s="41" t="str">
        <f aca="false">INDEX(c_Name,MATCH($A74,c_ID,0))</f>
        <v>ياسر التميمي</v>
      </c>
      <c r="C74" s="41" t="str">
        <f aca="false">INDEX(c_Seg,MATCH($A74,c_ID,0))</f>
        <v>أفراد</v>
      </c>
      <c r="D74" s="41" t="str">
        <f aca="false">INDEX(c_Region,MATCH($A74,c_ID,0))</f>
        <v>الغربية</v>
      </c>
      <c r="E74" s="47" t="n">
        <f aca="false">COUNTIFS(d_Cust,$A74,d_Status,"مكتمل")</f>
        <v>5</v>
      </c>
      <c r="F74" s="42" t="n">
        <f aca="false">SUMIFS(d_Rev,d_Cust,$A74)</f>
        <v>5818</v>
      </c>
      <c r="G74" s="42" t="n">
        <f aca="false">SUMIFS(d_Profit,d_Cust,$A74)</f>
        <v>1718</v>
      </c>
      <c r="H74" s="52" t="n">
        <f aca="false">IF(COUNTIF(d_Cust,$A74)=0,"",SUMPRODUCT(MAX((d_Cust=$A74)*d_Date)))</f>
        <v>46078</v>
      </c>
      <c r="I74" s="47" t="n">
        <f aca="false">IF(H74="",$B$3-MIN(d_Date),$B$3-H74)</f>
        <v>218</v>
      </c>
      <c r="J74" s="47" t="n">
        <f aca="false">IF(I74&lt;=$B$6,4,IF(I74&lt;=$C$6,3,IF(I74&lt;=$D$6,2,1)))</f>
        <v>1</v>
      </c>
      <c r="K74" s="47" t="n">
        <f aca="false">IF(E74&gt;=$D$7,4,IF(E74&gt;=$C$7,3,IF(E74&gt;=$B$7,2,1)))</f>
        <v>3</v>
      </c>
      <c r="L74" s="47" t="n">
        <f aca="false">IF(F74&gt;=$D$8,4,IF(F74&gt;=$C$8,3,IF(F74&gt;=$B$8,2,1)))</f>
        <v>2</v>
      </c>
      <c r="M74" s="53" t="n">
        <f aca="false">J74+K74+L74</f>
        <v>6</v>
      </c>
      <c r="N74" s="41" t="str">
        <f aca="false">IF(M74&gt;=10,"أبطال",IF(M74&gt;=8,"أوفياء",IF(M74&gt;=6,"واعدون",IF(M74&gt;=4,"معرضون للفقد","نائمون"))))</f>
        <v>واعدون</v>
      </c>
      <c r="O74" s="47" t="n">
        <f aca="false">RANK(F74,$F$21:$F$220)+COUNTIF($F$21:F74,F74)-1</f>
        <v>102</v>
      </c>
    </row>
    <row r="75" customFormat="false" ht="15" hidden="false" customHeight="false" outlineLevel="0" collapsed="false">
      <c r="A75" s="41" t="s">
        <v>286</v>
      </c>
      <c r="B75" s="41" t="str">
        <f aca="false">INDEX(c_Name,MATCH($A75,c_ID,0))</f>
        <v>سعد الدوسري</v>
      </c>
      <c r="C75" s="41" t="str">
        <f aca="false">INDEX(c_Seg,MATCH($A75,c_ID,0))</f>
        <v>شركات صغيرة</v>
      </c>
      <c r="D75" s="41" t="str">
        <f aca="false">INDEX(c_Region,MATCH($A75,c_ID,0))</f>
        <v>الشرقية</v>
      </c>
      <c r="E75" s="47" t="n">
        <f aca="false">COUNTIFS(d_Cust,$A75,d_Status,"مكتمل")</f>
        <v>1</v>
      </c>
      <c r="F75" s="42" t="n">
        <f aca="false">SUMIFS(d_Rev,d_Cust,$A75)</f>
        <v>162</v>
      </c>
      <c r="G75" s="42" t="n">
        <f aca="false">SUMIFS(d_Profit,d_Cust,$A75)</f>
        <v>72</v>
      </c>
      <c r="H75" s="52" t="n">
        <f aca="false">IF(COUNTIF(d_Cust,$A75)=0,"",SUMPRODUCT(MAX((d_Cust=$A75)*d_Date)))</f>
        <v>46210</v>
      </c>
      <c r="I75" s="47" t="n">
        <f aca="false">IF(H75="",$B$3-MIN(d_Date),$B$3-H75)</f>
        <v>86</v>
      </c>
      <c r="J75" s="47" t="n">
        <f aca="false">IF(I75&lt;=$B$6,4,IF(I75&lt;=$C$6,3,IF(I75&lt;=$D$6,2,1)))</f>
        <v>2</v>
      </c>
      <c r="K75" s="47" t="n">
        <f aca="false">IF(E75&gt;=$D$7,4,IF(E75&gt;=$C$7,3,IF(E75&gt;=$B$7,2,1)))</f>
        <v>1</v>
      </c>
      <c r="L75" s="47" t="n">
        <f aca="false">IF(F75&gt;=$D$8,4,IF(F75&gt;=$C$8,3,IF(F75&gt;=$B$8,2,1)))</f>
        <v>1</v>
      </c>
      <c r="M75" s="53" t="n">
        <f aca="false">J75+K75+L75</f>
        <v>4</v>
      </c>
      <c r="N75" s="41" t="str">
        <f aca="false">IF(M75&gt;=10,"أبطال",IF(M75&gt;=8,"أوفياء",IF(M75&gt;=6,"واعدون",IF(M75&gt;=4,"معرضون للفقد","نائمون"))))</f>
        <v>معرضون للفقد</v>
      </c>
      <c r="O75" s="47" t="n">
        <f aca="false">RANK(F75,$F$21:$F$220)+COUNTIF($F$21:F75,F75)-1</f>
        <v>188</v>
      </c>
    </row>
    <row r="76" customFormat="false" ht="15" hidden="false" customHeight="false" outlineLevel="0" collapsed="false">
      <c r="A76" s="41" t="s">
        <v>287</v>
      </c>
      <c r="B76" s="41" t="str">
        <f aca="false">INDEX(c_Name,MATCH($A76,c_ID,0))</f>
        <v>محمد الشهري</v>
      </c>
      <c r="C76" s="41" t="str">
        <f aca="false">INDEX(c_Seg,MATCH($A76,c_ID,0))</f>
        <v>شركات صغيرة</v>
      </c>
      <c r="D76" s="41" t="str">
        <f aca="false">INDEX(c_Region,MATCH($A76,c_ID,0))</f>
        <v>الغربية</v>
      </c>
      <c r="E76" s="47" t="n">
        <f aca="false">COUNTIFS(d_Cust,$A76,d_Status,"مكتمل")</f>
        <v>15</v>
      </c>
      <c r="F76" s="42" t="n">
        <f aca="false">SUMIFS(d_Rev,d_Cust,$A76)</f>
        <v>27491</v>
      </c>
      <c r="G76" s="42" t="n">
        <f aca="false">SUMIFS(d_Profit,d_Cust,$A76)</f>
        <v>8621</v>
      </c>
      <c r="H76" s="52" t="n">
        <f aca="false">IF(COUNTIF(d_Cust,$A76)=0,"",SUMPRODUCT(MAX((d_Cust=$A76)*d_Date)))</f>
        <v>46286</v>
      </c>
      <c r="I76" s="47" t="n">
        <f aca="false">IF(H76="",$B$3-MIN(d_Date),$B$3-H76)</f>
        <v>10</v>
      </c>
      <c r="J76" s="47" t="n">
        <f aca="false">IF(I76&lt;=$B$6,4,IF(I76&lt;=$C$6,3,IF(I76&lt;=$D$6,2,1)))</f>
        <v>4</v>
      </c>
      <c r="K76" s="47" t="n">
        <f aca="false">IF(E76&gt;=$D$7,4,IF(E76&gt;=$C$7,3,IF(E76&gt;=$B$7,2,1)))</f>
        <v>4</v>
      </c>
      <c r="L76" s="47" t="n">
        <f aca="false">IF(F76&gt;=$D$8,4,IF(F76&gt;=$C$8,3,IF(F76&gt;=$B$8,2,1)))</f>
        <v>4</v>
      </c>
      <c r="M76" s="53" t="n">
        <f aca="false">J76+K76+L76</f>
        <v>12</v>
      </c>
      <c r="N76" s="41" t="str">
        <f aca="false">IF(M76&gt;=10,"أبطال",IF(M76&gt;=8,"أوفياء",IF(M76&gt;=6,"واعدون",IF(M76&gt;=4,"معرضون للفقد","نائمون"))))</f>
        <v>أبطال</v>
      </c>
      <c r="O76" s="47" t="n">
        <f aca="false">RANK(F76,$F$21:$F$220)+COUNTIF($F$21:F76,F76)-1</f>
        <v>17</v>
      </c>
    </row>
    <row r="77" customFormat="false" ht="15" hidden="false" customHeight="false" outlineLevel="0" collapsed="false">
      <c r="A77" s="41" t="s">
        <v>288</v>
      </c>
      <c r="B77" s="41" t="str">
        <f aca="false">INDEX(c_Name,MATCH($A77,c_ID,0))</f>
        <v>خالد الشمري</v>
      </c>
      <c r="C77" s="41" t="str">
        <f aca="false">INDEX(c_Seg,MATCH($A77,c_ID,0))</f>
        <v>أفراد</v>
      </c>
      <c r="D77" s="41" t="str">
        <f aca="false">INDEX(c_Region,MATCH($A77,c_ID,0))</f>
        <v>الجنوبية</v>
      </c>
      <c r="E77" s="47" t="n">
        <f aca="false">COUNTIFS(d_Cust,$A77,d_Status,"مكتمل")</f>
        <v>5</v>
      </c>
      <c r="F77" s="42" t="n">
        <f aca="false">SUMIFS(d_Rev,d_Cust,$A77)</f>
        <v>1738</v>
      </c>
      <c r="G77" s="42" t="n">
        <f aca="false">SUMIFS(d_Profit,d_Cust,$A77)</f>
        <v>658</v>
      </c>
      <c r="H77" s="52" t="n">
        <f aca="false">IF(COUNTIF(d_Cust,$A77)=0,"",SUMPRODUCT(MAX((d_Cust=$A77)*d_Date)))</f>
        <v>46228</v>
      </c>
      <c r="I77" s="47" t="n">
        <f aca="false">IF(H77="",$B$3-MIN(d_Date),$B$3-H77)</f>
        <v>68</v>
      </c>
      <c r="J77" s="47" t="n">
        <f aca="false">IF(I77&lt;=$B$6,4,IF(I77&lt;=$C$6,3,IF(I77&lt;=$D$6,2,1)))</f>
        <v>2</v>
      </c>
      <c r="K77" s="47" t="n">
        <f aca="false">IF(E77&gt;=$D$7,4,IF(E77&gt;=$C$7,3,IF(E77&gt;=$B$7,2,1)))</f>
        <v>3</v>
      </c>
      <c r="L77" s="47" t="n">
        <f aca="false">IF(F77&gt;=$D$8,4,IF(F77&gt;=$C$8,3,IF(F77&gt;=$B$8,2,1)))</f>
        <v>1</v>
      </c>
      <c r="M77" s="53" t="n">
        <f aca="false">J77+K77+L77</f>
        <v>6</v>
      </c>
      <c r="N77" s="41" t="str">
        <f aca="false">IF(M77&gt;=10,"أبطال",IF(M77&gt;=8,"أوفياء",IF(M77&gt;=6,"واعدون",IF(M77&gt;=4,"معرضون للفقد","نائمون"))))</f>
        <v>واعدون</v>
      </c>
      <c r="O77" s="47" t="n">
        <f aca="false">RANK(F77,$F$21:$F$220)+COUNTIF($F$21:F77,F77)-1</f>
        <v>163</v>
      </c>
    </row>
    <row r="78" customFormat="false" ht="15" hidden="false" customHeight="false" outlineLevel="0" collapsed="false">
      <c r="A78" s="41" t="s">
        <v>289</v>
      </c>
      <c r="B78" s="41" t="str">
        <f aca="false">INDEX(c_Name,MATCH($A78,c_ID,0))</f>
        <v>جود الشهري</v>
      </c>
      <c r="C78" s="41" t="str">
        <f aca="false">INDEX(c_Seg,MATCH($A78,c_ID,0))</f>
        <v>شركات صغيرة</v>
      </c>
      <c r="D78" s="41" t="str">
        <f aca="false">INDEX(c_Region,MATCH($A78,c_ID,0))</f>
        <v>الوسطى</v>
      </c>
      <c r="E78" s="47" t="n">
        <f aca="false">COUNTIFS(d_Cust,$A78,d_Status,"مكتمل")</f>
        <v>2</v>
      </c>
      <c r="F78" s="42" t="n">
        <f aca="false">SUMIFS(d_Rev,d_Cust,$A78)</f>
        <v>9315</v>
      </c>
      <c r="G78" s="42" t="n">
        <f aca="false">SUMIFS(d_Profit,d_Cust,$A78)</f>
        <v>3295</v>
      </c>
      <c r="H78" s="52" t="n">
        <f aca="false">IF(COUNTIF(d_Cust,$A78)=0,"",SUMPRODUCT(MAX((d_Cust=$A78)*d_Date)))</f>
        <v>46164</v>
      </c>
      <c r="I78" s="47" t="n">
        <f aca="false">IF(H78="",$B$3-MIN(d_Date),$B$3-H78)</f>
        <v>132</v>
      </c>
      <c r="J78" s="47" t="n">
        <f aca="false">IF(I78&lt;=$B$6,4,IF(I78&lt;=$C$6,3,IF(I78&lt;=$D$6,2,1)))</f>
        <v>1</v>
      </c>
      <c r="K78" s="47" t="n">
        <f aca="false">IF(E78&gt;=$D$7,4,IF(E78&gt;=$C$7,3,IF(E78&gt;=$B$7,2,1)))</f>
        <v>1</v>
      </c>
      <c r="L78" s="47" t="n">
        <f aca="false">IF(F78&gt;=$D$8,4,IF(F78&gt;=$C$8,3,IF(F78&gt;=$B$8,2,1)))</f>
        <v>3</v>
      </c>
      <c r="M78" s="53" t="n">
        <f aca="false">J78+K78+L78</f>
        <v>5</v>
      </c>
      <c r="N78" s="41" t="str">
        <f aca="false">IF(M78&gt;=10,"أبطال",IF(M78&gt;=8,"أوفياء",IF(M78&gt;=6,"واعدون",IF(M78&gt;=4,"معرضون للفقد","نائمون"))))</f>
        <v>معرضون للفقد</v>
      </c>
      <c r="O78" s="47" t="n">
        <f aca="false">RANK(F78,$F$21:$F$220)+COUNTIF($F$21:F78,F78)-1</f>
        <v>70</v>
      </c>
    </row>
    <row r="79" customFormat="false" ht="15" hidden="false" customHeight="false" outlineLevel="0" collapsed="false">
      <c r="A79" s="41" t="s">
        <v>290</v>
      </c>
      <c r="B79" s="41" t="str">
        <f aca="false">INDEX(c_Name,MATCH($A79,c_ID,0))</f>
        <v>لمى العتيبي</v>
      </c>
      <c r="C79" s="41" t="str">
        <f aca="false">INDEX(c_Seg,MATCH($A79,c_ID,0))</f>
        <v>أفراد</v>
      </c>
      <c r="D79" s="41" t="str">
        <f aca="false">INDEX(c_Region,MATCH($A79,c_ID,0))</f>
        <v>الجنوبية</v>
      </c>
      <c r="E79" s="47" t="n">
        <f aca="false">COUNTIFS(d_Cust,$A79,d_Status,"مكتمل")</f>
        <v>3</v>
      </c>
      <c r="F79" s="42" t="n">
        <f aca="false">SUMIFS(d_Rev,d_Cust,$A79)</f>
        <v>1311.5</v>
      </c>
      <c r="G79" s="42" t="n">
        <f aca="false">SUMIFS(d_Profit,d_Cust,$A79)</f>
        <v>511.5</v>
      </c>
      <c r="H79" s="52" t="n">
        <f aca="false">IF(COUNTIF(d_Cust,$A79)=0,"",SUMPRODUCT(MAX((d_Cust=$A79)*d_Date)))</f>
        <v>46266</v>
      </c>
      <c r="I79" s="47" t="n">
        <f aca="false">IF(H79="",$B$3-MIN(d_Date),$B$3-H79)</f>
        <v>30</v>
      </c>
      <c r="J79" s="47" t="n">
        <f aca="false">IF(I79&lt;=$B$6,4,IF(I79&lt;=$C$6,3,IF(I79&lt;=$D$6,2,1)))</f>
        <v>3</v>
      </c>
      <c r="K79" s="47" t="n">
        <f aca="false">IF(E79&gt;=$D$7,4,IF(E79&gt;=$C$7,3,IF(E79&gt;=$B$7,2,1)))</f>
        <v>2</v>
      </c>
      <c r="L79" s="47" t="n">
        <f aca="false">IF(F79&gt;=$D$8,4,IF(F79&gt;=$C$8,3,IF(F79&gt;=$B$8,2,1)))</f>
        <v>1</v>
      </c>
      <c r="M79" s="53" t="n">
        <f aca="false">J79+K79+L79</f>
        <v>6</v>
      </c>
      <c r="N79" s="41" t="str">
        <f aca="false">IF(M79&gt;=10,"أبطال",IF(M79&gt;=8,"أوفياء",IF(M79&gt;=6,"واعدون",IF(M79&gt;=4,"معرضون للفقد","نائمون"))))</f>
        <v>واعدون</v>
      </c>
      <c r="O79" s="47" t="n">
        <f aca="false">RANK(F79,$F$21:$F$220)+COUNTIF($F$21:F79,F79)-1</f>
        <v>174</v>
      </c>
    </row>
    <row r="80" customFormat="false" ht="15" hidden="false" customHeight="false" outlineLevel="0" collapsed="false">
      <c r="A80" s="41" t="s">
        <v>291</v>
      </c>
      <c r="B80" s="41" t="str">
        <f aca="false">INDEX(c_Name,MATCH($A80,c_ID,0))</f>
        <v>ياسر الشمري</v>
      </c>
      <c r="C80" s="41" t="str">
        <f aca="false">INDEX(c_Seg,MATCH($A80,c_ID,0))</f>
        <v>أفراد</v>
      </c>
      <c r="D80" s="41" t="str">
        <f aca="false">INDEX(c_Region,MATCH($A80,c_ID,0))</f>
        <v>الوسطى</v>
      </c>
      <c r="E80" s="47" t="n">
        <f aca="false">COUNTIFS(d_Cust,$A80,d_Status,"مكتمل")</f>
        <v>24</v>
      </c>
      <c r="F80" s="42" t="n">
        <f aca="false">SUMIFS(d_Rev,d_Cust,$A80)</f>
        <v>27064.5</v>
      </c>
      <c r="G80" s="42" t="n">
        <f aca="false">SUMIFS(d_Profit,d_Cust,$A80)</f>
        <v>8984.5</v>
      </c>
      <c r="H80" s="52" t="n">
        <f aca="false">IF(COUNTIF(d_Cust,$A80)=0,"",SUMPRODUCT(MAX((d_Cust=$A80)*d_Date)))</f>
        <v>46291</v>
      </c>
      <c r="I80" s="47" t="n">
        <f aca="false">IF(H80="",$B$3-MIN(d_Date),$B$3-H80)</f>
        <v>5</v>
      </c>
      <c r="J80" s="47" t="n">
        <f aca="false">IF(I80&lt;=$B$6,4,IF(I80&lt;=$C$6,3,IF(I80&lt;=$D$6,2,1)))</f>
        <v>4</v>
      </c>
      <c r="K80" s="47" t="n">
        <f aca="false">IF(E80&gt;=$D$7,4,IF(E80&gt;=$C$7,3,IF(E80&gt;=$B$7,2,1)))</f>
        <v>4</v>
      </c>
      <c r="L80" s="47" t="n">
        <f aca="false">IF(F80&gt;=$D$8,4,IF(F80&gt;=$C$8,3,IF(F80&gt;=$B$8,2,1)))</f>
        <v>4</v>
      </c>
      <c r="M80" s="53" t="n">
        <f aca="false">J80+K80+L80</f>
        <v>12</v>
      </c>
      <c r="N80" s="41" t="str">
        <f aca="false">IF(M80&gt;=10,"أبطال",IF(M80&gt;=8,"أوفياء",IF(M80&gt;=6,"واعدون",IF(M80&gt;=4,"معرضون للفقد","نائمون"))))</f>
        <v>أبطال</v>
      </c>
      <c r="O80" s="47" t="n">
        <f aca="false">RANK(F80,$F$21:$F$220)+COUNTIF($F$21:F80,F80)-1</f>
        <v>18</v>
      </c>
    </row>
    <row r="81" customFormat="false" ht="15" hidden="false" customHeight="false" outlineLevel="0" collapsed="false">
      <c r="A81" s="41" t="s">
        <v>292</v>
      </c>
      <c r="B81" s="41" t="str">
        <f aca="false">INDEX(c_Name,MATCH($A81,c_ID,0))</f>
        <v>نورة المطيري</v>
      </c>
      <c r="C81" s="41" t="str">
        <f aca="false">INDEX(c_Seg,MATCH($A81,c_ID,0))</f>
        <v>أفراد</v>
      </c>
      <c r="D81" s="41" t="str">
        <f aca="false">INDEX(c_Region,MATCH($A81,c_ID,0))</f>
        <v>الوسطى</v>
      </c>
      <c r="E81" s="47" t="n">
        <f aca="false">COUNTIFS(d_Cust,$A81,d_Status,"مكتمل")</f>
        <v>5</v>
      </c>
      <c r="F81" s="42" t="n">
        <f aca="false">SUMIFS(d_Rev,d_Cust,$A81)</f>
        <v>3072</v>
      </c>
      <c r="G81" s="42" t="n">
        <f aca="false">SUMIFS(d_Profit,d_Cust,$A81)</f>
        <v>1052</v>
      </c>
      <c r="H81" s="52" t="n">
        <f aca="false">IF(COUNTIF(d_Cust,$A81)=0,"",SUMPRODUCT(MAX((d_Cust=$A81)*d_Date)))</f>
        <v>46137</v>
      </c>
      <c r="I81" s="47" t="n">
        <f aca="false">IF(H81="",$B$3-MIN(d_Date),$B$3-H81)</f>
        <v>159</v>
      </c>
      <c r="J81" s="47" t="n">
        <f aca="false">IF(I81&lt;=$B$6,4,IF(I81&lt;=$C$6,3,IF(I81&lt;=$D$6,2,1)))</f>
        <v>1</v>
      </c>
      <c r="K81" s="47" t="n">
        <f aca="false">IF(E81&gt;=$D$7,4,IF(E81&gt;=$C$7,3,IF(E81&gt;=$B$7,2,1)))</f>
        <v>3</v>
      </c>
      <c r="L81" s="47" t="n">
        <f aca="false">IF(F81&gt;=$D$8,4,IF(F81&gt;=$C$8,3,IF(F81&gt;=$B$8,2,1)))</f>
        <v>2</v>
      </c>
      <c r="M81" s="53" t="n">
        <f aca="false">J81+K81+L81</f>
        <v>6</v>
      </c>
      <c r="N81" s="41" t="str">
        <f aca="false">IF(M81&gt;=10,"أبطال",IF(M81&gt;=8,"أوفياء",IF(M81&gt;=6,"واعدون",IF(M81&gt;=4,"معرضون للفقد","نائمون"))))</f>
        <v>واعدون</v>
      </c>
      <c r="O81" s="47" t="n">
        <f aca="false">RANK(F81,$F$21:$F$220)+COUNTIF($F$21:F81,F81)-1</f>
        <v>136</v>
      </c>
    </row>
    <row r="82" customFormat="false" ht="15" hidden="false" customHeight="false" outlineLevel="0" collapsed="false">
      <c r="A82" s="41" t="s">
        <v>293</v>
      </c>
      <c r="B82" s="41" t="str">
        <f aca="false">INDEX(c_Name,MATCH($A82,c_ID,0))</f>
        <v>سارة الغامدي</v>
      </c>
      <c r="C82" s="41" t="str">
        <f aca="false">INDEX(c_Seg,MATCH($A82,c_ID,0))</f>
        <v>أفراد</v>
      </c>
      <c r="D82" s="41" t="str">
        <f aca="false">INDEX(c_Region,MATCH($A82,c_ID,0))</f>
        <v>الوسطى</v>
      </c>
      <c r="E82" s="47" t="n">
        <f aca="false">COUNTIFS(d_Cust,$A82,d_Status,"مكتمل")</f>
        <v>8</v>
      </c>
      <c r="F82" s="42" t="n">
        <f aca="false">SUMIFS(d_Rev,d_Cust,$A82)</f>
        <v>12506</v>
      </c>
      <c r="G82" s="42" t="n">
        <f aca="false">SUMIFS(d_Profit,d_Cust,$A82)</f>
        <v>4226</v>
      </c>
      <c r="H82" s="52" t="n">
        <f aca="false">IF(COUNTIF(d_Cust,$A82)=0,"",SUMPRODUCT(MAX((d_Cust=$A82)*d_Date)))</f>
        <v>46291</v>
      </c>
      <c r="I82" s="47" t="n">
        <f aca="false">IF(H82="",$B$3-MIN(d_Date),$B$3-H82)</f>
        <v>5</v>
      </c>
      <c r="J82" s="47" t="n">
        <f aca="false">IF(I82&lt;=$B$6,4,IF(I82&lt;=$C$6,3,IF(I82&lt;=$D$6,2,1)))</f>
        <v>4</v>
      </c>
      <c r="K82" s="47" t="n">
        <f aca="false">IF(E82&gt;=$D$7,4,IF(E82&gt;=$C$7,3,IF(E82&gt;=$B$7,2,1)))</f>
        <v>3</v>
      </c>
      <c r="L82" s="47" t="n">
        <f aca="false">IF(F82&gt;=$D$8,4,IF(F82&gt;=$C$8,3,IF(F82&gt;=$B$8,2,1)))</f>
        <v>3</v>
      </c>
      <c r="M82" s="53" t="n">
        <f aca="false">J82+K82+L82</f>
        <v>10</v>
      </c>
      <c r="N82" s="41" t="str">
        <f aca="false">IF(M82&gt;=10,"أبطال",IF(M82&gt;=8,"أوفياء",IF(M82&gt;=6,"واعدون",IF(M82&gt;=4,"معرضون للفقد","نائمون"))))</f>
        <v>أبطال</v>
      </c>
      <c r="O82" s="47" t="n">
        <f aca="false">RANK(F82,$F$21:$F$220)+COUNTIF($F$21:F82,F82)-1</f>
        <v>54</v>
      </c>
    </row>
    <row r="83" customFormat="false" ht="15" hidden="false" customHeight="false" outlineLevel="0" collapsed="false">
      <c r="A83" s="41" t="s">
        <v>294</v>
      </c>
      <c r="B83" s="41" t="str">
        <f aca="false">INDEX(c_Name,MATCH($A83,c_ID,0))</f>
        <v>خالد البلوي</v>
      </c>
      <c r="C83" s="41" t="str">
        <f aca="false">INDEX(c_Seg,MATCH($A83,c_ID,0))</f>
        <v>مؤسسات</v>
      </c>
      <c r="D83" s="41" t="str">
        <f aca="false">INDEX(c_Region,MATCH($A83,c_ID,0))</f>
        <v>الوسطى</v>
      </c>
      <c r="E83" s="47" t="n">
        <f aca="false">COUNTIFS(d_Cust,$A83,d_Status,"مكتمل")</f>
        <v>22</v>
      </c>
      <c r="F83" s="42" t="n">
        <f aca="false">SUMIFS(d_Rev,d_Cust,$A83)</f>
        <v>147382</v>
      </c>
      <c r="G83" s="42" t="n">
        <f aca="false">SUMIFS(d_Profit,d_Cust,$A83)</f>
        <v>41752</v>
      </c>
      <c r="H83" s="52" t="n">
        <f aca="false">IF(COUNTIF(d_Cust,$A83)=0,"",SUMPRODUCT(MAX((d_Cust=$A83)*d_Date)))</f>
        <v>46294</v>
      </c>
      <c r="I83" s="47" t="n">
        <f aca="false">IF(H83="",$B$3-MIN(d_Date),$B$3-H83)</f>
        <v>2</v>
      </c>
      <c r="J83" s="47" t="n">
        <f aca="false">IF(I83&lt;=$B$6,4,IF(I83&lt;=$C$6,3,IF(I83&lt;=$D$6,2,1)))</f>
        <v>4</v>
      </c>
      <c r="K83" s="47" t="n">
        <f aca="false">IF(E83&gt;=$D$7,4,IF(E83&gt;=$C$7,3,IF(E83&gt;=$B$7,2,1)))</f>
        <v>4</v>
      </c>
      <c r="L83" s="47" t="n">
        <f aca="false">IF(F83&gt;=$D$8,4,IF(F83&gt;=$C$8,3,IF(F83&gt;=$B$8,2,1)))</f>
        <v>4</v>
      </c>
      <c r="M83" s="53" t="n">
        <f aca="false">J83+K83+L83</f>
        <v>12</v>
      </c>
      <c r="N83" s="41" t="str">
        <f aca="false">IF(M83&gt;=10,"أبطال",IF(M83&gt;=8,"أوفياء",IF(M83&gt;=6,"واعدون",IF(M83&gt;=4,"معرضون للفقد","نائمون"))))</f>
        <v>أبطال</v>
      </c>
      <c r="O83" s="47" t="n">
        <f aca="false">RANK(F83,$F$21:$F$220)+COUNTIF($F$21:F83,F83)-1</f>
        <v>1</v>
      </c>
    </row>
    <row r="84" customFormat="false" ht="15" hidden="false" customHeight="false" outlineLevel="0" collapsed="false">
      <c r="A84" s="41" t="s">
        <v>295</v>
      </c>
      <c r="B84" s="41" t="str">
        <f aca="false">INDEX(c_Name,MATCH($A84,c_ID,0))</f>
        <v>عبير الزهراني</v>
      </c>
      <c r="C84" s="41" t="str">
        <f aca="false">INDEX(c_Seg,MATCH($A84,c_ID,0))</f>
        <v>شركات صغيرة</v>
      </c>
      <c r="D84" s="41" t="str">
        <f aca="false">INDEX(c_Region,MATCH($A84,c_ID,0))</f>
        <v>الوسطى</v>
      </c>
      <c r="E84" s="47" t="n">
        <f aca="false">COUNTIFS(d_Cust,$A84,d_Status,"مكتمل")</f>
        <v>17</v>
      </c>
      <c r="F84" s="42" t="n">
        <f aca="false">SUMIFS(d_Rev,d_Cust,$A84)</f>
        <v>35135</v>
      </c>
      <c r="G84" s="42" t="n">
        <f aca="false">SUMIFS(d_Profit,d_Cust,$A84)</f>
        <v>11240</v>
      </c>
      <c r="H84" s="52" t="n">
        <f aca="false">IF(COUNTIF(d_Cust,$A84)=0,"",SUMPRODUCT(MAX((d_Cust=$A84)*d_Date)))</f>
        <v>46291</v>
      </c>
      <c r="I84" s="47" t="n">
        <f aca="false">IF(H84="",$B$3-MIN(d_Date),$B$3-H84)</f>
        <v>5</v>
      </c>
      <c r="J84" s="47" t="n">
        <f aca="false">IF(I84&lt;=$B$6,4,IF(I84&lt;=$C$6,3,IF(I84&lt;=$D$6,2,1)))</f>
        <v>4</v>
      </c>
      <c r="K84" s="47" t="n">
        <f aca="false">IF(E84&gt;=$D$7,4,IF(E84&gt;=$C$7,3,IF(E84&gt;=$B$7,2,1)))</f>
        <v>4</v>
      </c>
      <c r="L84" s="47" t="n">
        <f aca="false">IF(F84&gt;=$D$8,4,IF(F84&gt;=$C$8,3,IF(F84&gt;=$B$8,2,1)))</f>
        <v>4</v>
      </c>
      <c r="M84" s="53" t="n">
        <f aca="false">J84+K84+L84</f>
        <v>12</v>
      </c>
      <c r="N84" s="41" t="str">
        <f aca="false">IF(M84&gt;=10,"أبطال",IF(M84&gt;=8,"أوفياء",IF(M84&gt;=6,"واعدون",IF(M84&gt;=4,"معرضون للفقد","نائمون"))))</f>
        <v>أبطال</v>
      </c>
      <c r="O84" s="47" t="n">
        <f aca="false">RANK(F84,$F$21:$F$220)+COUNTIF($F$21:F84,F84)-1</f>
        <v>12</v>
      </c>
    </row>
    <row r="85" customFormat="false" ht="15" hidden="false" customHeight="false" outlineLevel="0" collapsed="false">
      <c r="A85" s="41" t="s">
        <v>296</v>
      </c>
      <c r="B85" s="41" t="str">
        <f aca="false">INDEX(c_Name,MATCH($A85,c_ID,0))</f>
        <v>محمد الزهراني</v>
      </c>
      <c r="C85" s="41" t="str">
        <f aca="false">INDEX(c_Seg,MATCH($A85,c_ID,0))</f>
        <v>أفراد</v>
      </c>
      <c r="D85" s="41" t="str">
        <f aca="false">INDEX(c_Region,MATCH($A85,c_ID,0))</f>
        <v>الغربية</v>
      </c>
      <c r="E85" s="47" t="n">
        <f aca="false">COUNTIFS(d_Cust,$A85,d_Status,"مكتمل")</f>
        <v>10</v>
      </c>
      <c r="F85" s="42" t="n">
        <f aca="false">SUMIFS(d_Rev,d_Cust,$A85)</f>
        <v>18602</v>
      </c>
      <c r="G85" s="42" t="n">
        <f aca="false">SUMIFS(d_Profit,d_Cust,$A85)</f>
        <v>5887</v>
      </c>
      <c r="H85" s="52" t="n">
        <f aca="false">IF(COUNTIF(d_Cust,$A85)=0,"",SUMPRODUCT(MAX((d_Cust=$A85)*d_Date)))</f>
        <v>46274</v>
      </c>
      <c r="I85" s="47" t="n">
        <f aca="false">IF(H85="",$B$3-MIN(d_Date),$B$3-H85)</f>
        <v>22</v>
      </c>
      <c r="J85" s="47" t="n">
        <f aca="false">IF(I85&lt;=$B$6,4,IF(I85&lt;=$C$6,3,IF(I85&lt;=$D$6,2,1)))</f>
        <v>3</v>
      </c>
      <c r="K85" s="47" t="n">
        <f aca="false">IF(E85&gt;=$D$7,4,IF(E85&gt;=$C$7,3,IF(E85&gt;=$B$7,2,1)))</f>
        <v>4</v>
      </c>
      <c r="L85" s="47" t="n">
        <f aca="false">IF(F85&gt;=$D$8,4,IF(F85&gt;=$C$8,3,IF(F85&gt;=$B$8,2,1)))</f>
        <v>4</v>
      </c>
      <c r="M85" s="53" t="n">
        <f aca="false">J85+K85+L85</f>
        <v>11</v>
      </c>
      <c r="N85" s="41" t="str">
        <f aca="false">IF(M85&gt;=10,"أبطال",IF(M85&gt;=8,"أوفياء",IF(M85&gt;=6,"واعدون",IF(M85&gt;=4,"معرضون للفقد","نائمون"))))</f>
        <v>أبطال</v>
      </c>
      <c r="O85" s="47" t="n">
        <f aca="false">RANK(F85,$F$21:$F$220)+COUNTIF($F$21:F85,F85)-1</f>
        <v>28</v>
      </c>
    </row>
    <row r="86" customFormat="false" ht="15" hidden="false" customHeight="false" outlineLevel="0" collapsed="false">
      <c r="A86" s="41" t="s">
        <v>297</v>
      </c>
      <c r="B86" s="41" t="str">
        <f aca="false">INDEX(c_Name,MATCH($A86,c_ID,0))</f>
        <v>ياسر الحسيني</v>
      </c>
      <c r="C86" s="41" t="str">
        <f aca="false">INDEX(c_Seg,MATCH($A86,c_ID,0))</f>
        <v>أفراد</v>
      </c>
      <c r="D86" s="41" t="str">
        <f aca="false">INDEX(c_Region,MATCH($A86,c_ID,0))</f>
        <v>الشرقية</v>
      </c>
      <c r="E86" s="47" t="n">
        <f aca="false">COUNTIFS(d_Cust,$A86,d_Status,"مكتمل")</f>
        <v>4</v>
      </c>
      <c r="F86" s="42" t="n">
        <f aca="false">SUMIFS(d_Rev,d_Cust,$A86)</f>
        <v>3654</v>
      </c>
      <c r="G86" s="42" t="n">
        <f aca="false">SUMIFS(d_Profit,d_Cust,$A86)</f>
        <v>1164</v>
      </c>
      <c r="H86" s="52" t="n">
        <f aca="false">IF(COUNTIF(d_Cust,$A86)=0,"",SUMPRODUCT(MAX((d_Cust=$A86)*d_Date)))</f>
        <v>46196</v>
      </c>
      <c r="I86" s="47" t="n">
        <f aca="false">IF(H86="",$B$3-MIN(d_Date),$B$3-H86)</f>
        <v>100</v>
      </c>
      <c r="J86" s="47" t="n">
        <f aca="false">IF(I86&lt;=$B$6,4,IF(I86&lt;=$C$6,3,IF(I86&lt;=$D$6,2,1)))</f>
        <v>2</v>
      </c>
      <c r="K86" s="47" t="n">
        <f aca="false">IF(E86&gt;=$D$7,4,IF(E86&gt;=$C$7,3,IF(E86&gt;=$B$7,2,1)))</f>
        <v>2</v>
      </c>
      <c r="L86" s="47" t="n">
        <f aca="false">IF(F86&gt;=$D$8,4,IF(F86&gt;=$C$8,3,IF(F86&gt;=$B$8,2,1)))</f>
        <v>2</v>
      </c>
      <c r="M86" s="53" t="n">
        <f aca="false">J86+K86+L86</f>
        <v>6</v>
      </c>
      <c r="N86" s="41" t="str">
        <f aca="false">IF(M86&gt;=10,"أبطال",IF(M86&gt;=8,"أوفياء",IF(M86&gt;=6,"واعدون",IF(M86&gt;=4,"معرضون للفقد","نائمون"))))</f>
        <v>واعدون</v>
      </c>
      <c r="O86" s="47" t="n">
        <f aca="false">RANK(F86,$F$21:$F$220)+COUNTIF($F$21:F86,F86)-1</f>
        <v>125</v>
      </c>
    </row>
    <row r="87" customFormat="false" ht="15" hidden="false" customHeight="false" outlineLevel="0" collapsed="false">
      <c r="A87" s="41" t="s">
        <v>298</v>
      </c>
      <c r="B87" s="41" t="str">
        <f aca="false">INDEX(c_Name,MATCH($A87,c_ID,0))</f>
        <v>هند السبيعي</v>
      </c>
      <c r="C87" s="41" t="str">
        <f aca="false">INDEX(c_Seg,MATCH($A87,c_ID,0))</f>
        <v>أفراد</v>
      </c>
      <c r="D87" s="41" t="str">
        <f aca="false">INDEX(c_Region,MATCH($A87,c_ID,0))</f>
        <v>الغربية</v>
      </c>
      <c r="E87" s="47" t="n">
        <f aca="false">COUNTIFS(d_Cust,$A87,d_Status,"مكتمل")</f>
        <v>2</v>
      </c>
      <c r="F87" s="42" t="n">
        <f aca="false">SUMIFS(d_Rev,d_Cust,$A87)</f>
        <v>1250</v>
      </c>
      <c r="G87" s="42" t="n">
        <f aca="false">SUMIFS(d_Profit,d_Cust,$A87)</f>
        <v>420</v>
      </c>
      <c r="H87" s="52" t="n">
        <f aca="false">IF(COUNTIF(d_Cust,$A87)=0,"",SUMPRODUCT(MAX((d_Cust=$A87)*d_Date)))</f>
        <v>46078</v>
      </c>
      <c r="I87" s="47" t="n">
        <f aca="false">IF(H87="",$B$3-MIN(d_Date),$B$3-H87)</f>
        <v>218</v>
      </c>
      <c r="J87" s="47" t="n">
        <f aca="false">IF(I87&lt;=$B$6,4,IF(I87&lt;=$C$6,3,IF(I87&lt;=$D$6,2,1)))</f>
        <v>1</v>
      </c>
      <c r="K87" s="47" t="n">
        <f aca="false">IF(E87&gt;=$D$7,4,IF(E87&gt;=$C$7,3,IF(E87&gt;=$B$7,2,1)))</f>
        <v>1</v>
      </c>
      <c r="L87" s="47" t="n">
        <f aca="false">IF(F87&gt;=$D$8,4,IF(F87&gt;=$C$8,3,IF(F87&gt;=$B$8,2,1)))</f>
        <v>1</v>
      </c>
      <c r="M87" s="53" t="n">
        <f aca="false">J87+K87+L87</f>
        <v>3</v>
      </c>
      <c r="N87" s="41" t="str">
        <f aca="false">IF(M87&gt;=10,"أبطال",IF(M87&gt;=8,"أوفياء",IF(M87&gt;=6,"واعدون",IF(M87&gt;=4,"معرضون للفقد","نائمون"))))</f>
        <v>نائمون</v>
      </c>
      <c r="O87" s="47" t="n">
        <f aca="false">RANK(F87,$F$21:$F$220)+COUNTIF($F$21:F87,F87)-1</f>
        <v>175</v>
      </c>
    </row>
    <row r="88" customFormat="false" ht="15" hidden="false" customHeight="false" outlineLevel="0" collapsed="false">
      <c r="A88" s="41" t="s">
        <v>299</v>
      </c>
      <c r="B88" s="41" t="str">
        <f aca="false">INDEX(c_Name,MATCH($A88,c_ID,0))</f>
        <v>جود الخالدي</v>
      </c>
      <c r="C88" s="41" t="str">
        <f aca="false">INDEX(c_Seg,MATCH($A88,c_ID,0))</f>
        <v>أفراد</v>
      </c>
      <c r="D88" s="41" t="str">
        <f aca="false">INDEX(c_Region,MATCH($A88,c_ID,0))</f>
        <v>الوسطى</v>
      </c>
      <c r="E88" s="47" t="n">
        <f aca="false">COUNTIFS(d_Cust,$A88,d_Status,"مكتمل")</f>
        <v>13</v>
      </c>
      <c r="F88" s="42" t="n">
        <f aca="false">SUMIFS(d_Rev,d_Cust,$A88)</f>
        <v>10806</v>
      </c>
      <c r="G88" s="42" t="n">
        <f aca="false">SUMIFS(d_Profit,d_Cust,$A88)</f>
        <v>3461</v>
      </c>
      <c r="H88" s="52" t="n">
        <f aca="false">IF(COUNTIF(d_Cust,$A88)=0,"",SUMPRODUCT(MAX((d_Cust=$A88)*d_Date)))</f>
        <v>46285</v>
      </c>
      <c r="I88" s="47" t="n">
        <f aca="false">IF(H88="",$B$3-MIN(d_Date),$B$3-H88)</f>
        <v>11</v>
      </c>
      <c r="J88" s="47" t="n">
        <f aca="false">IF(I88&lt;=$B$6,4,IF(I88&lt;=$C$6,3,IF(I88&lt;=$D$6,2,1)))</f>
        <v>4</v>
      </c>
      <c r="K88" s="47" t="n">
        <f aca="false">IF(E88&gt;=$D$7,4,IF(E88&gt;=$C$7,3,IF(E88&gt;=$B$7,2,1)))</f>
        <v>4</v>
      </c>
      <c r="L88" s="47" t="n">
        <f aca="false">IF(F88&gt;=$D$8,4,IF(F88&gt;=$C$8,3,IF(F88&gt;=$B$8,2,1)))</f>
        <v>3</v>
      </c>
      <c r="M88" s="53" t="n">
        <f aca="false">J88+K88+L88</f>
        <v>11</v>
      </c>
      <c r="N88" s="41" t="str">
        <f aca="false">IF(M88&gt;=10,"أبطال",IF(M88&gt;=8,"أوفياء",IF(M88&gt;=6,"واعدون",IF(M88&gt;=4,"معرضون للفقد","نائمون"))))</f>
        <v>أبطال</v>
      </c>
      <c r="O88" s="47" t="n">
        <f aca="false">RANK(F88,$F$21:$F$220)+COUNTIF($F$21:F88,F88)-1</f>
        <v>63</v>
      </c>
    </row>
    <row r="89" customFormat="false" ht="15" hidden="false" customHeight="false" outlineLevel="0" collapsed="false">
      <c r="A89" s="41" t="s">
        <v>300</v>
      </c>
      <c r="B89" s="41" t="str">
        <f aca="false">INDEX(c_Name,MATCH($A89,c_ID,0))</f>
        <v>فهد التميمي</v>
      </c>
      <c r="C89" s="41" t="str">
        <f aca="false">INDEX(c_Seg,MATCH($A89,c_ID,0))</f>
        <v>أفراد</v>
      </c>
      <c r="D89" s="41" t="str">
        <f aca="false">INDEX(c_Region,MATCH($A89,c_ID,0))</f>
        <v>الوسطى</v>
      </c>
      <c r="E89" s="47" t="n">
        <f aca="false">COUNTIFS(d_Cust,$A89,d_Status,"مكتمل")</f>
        <v>7</v>
      </c>
      <c r="F89" s="42" t="n">
        <f aca="false">SUMIFS(d_Rev,d_Cust,$A89)</f>
        <v>3856</v>
      </c>
      <c r="G89" s="42" t="n">
        <f aca="false">SUMIFS(d_Profit,d_Cust,$A89)</f>
        <v>1351</v>
      </c>
      <c r="H89" s="52" t="n">
        <f aca="false">IF(COUNTIF(d_Cust,$A89)=0,"",SUMPRODUCT(MAX((d_Cust=$A89)*d_Date)))</f>
        <v>46257</v>
      </c>
      <c r="I89" s="47" t="n">
        <f aca="false">IF(H89="",$B$3-MIN(d_Date),$B$3-H89)</f>
        <v>39</v>
      </c>
      <c r="J89" s="47" t="n">
        <f aca="false">IF(I89&lt;=$B$6,4,IF(I89&lt;=$C$6,3,IF(I89&lt;=$D$6,2,1)))</f>
        <v>3</v>
      </c>
      <c r="K89" s="47" t="n">
        <f aca="false">IF(E89&gt;=$D$7,4,IF(E89&gt;=$C$7,3,IF(E89&gt;=$B$7,2,1)))</f>
        <v>3</v>
      </c>
      <c r="L89" s="47" t="n">
        <f aca="false">IF(F89&gt;=$D$8,4,IF(F89&gt;=$C$8,3,IF(F89&gt;=$B$8,2,1)))</f>
        <v>2</v>
      </c>
      <c r="M89" s="53" t="n">
        <f aca="false">J89+K89+L89</f>
        <v>8</v>
      </c>
      <c r="N89" s="41" t="str">
        <f aca="false">IF(M89&gt;=10,"أبطال",IF(M89&gt;=8,"أوفياء",IF(M89&gt;=6,"واعدون",IF(M89&gt;=4,"معرضون للفقد","نائمون"))))</f>
        <v>أوفياء</v>
      </c>
      <c r="O89" s="47" t="n">
        <f aca="false">RANK(F89,$F$21:$F$220)+COUNTIF($F$21:F89,F89)-1</f>
        <v>123</v>
      </c>
    </row>
    <row r="90" customFormat="false" ht="15" hidden="false" customHeight="false" outlineLevel="0" collapsed="false">
      <c r="A90" s="41" t="s">
        <v>301</v>
      </c>
      <c r="B90" s="41" t="str">
        <f aca="false">INDEX(c_Name,MATCH($A90,c_ID,0))</f>
        <v>أحمد الغامدي</v>
      </c>
      <c r="C90" s="41" t="str">
        <f aca="false">INDEX(c_Seg,MATCH($A90,c_ID,0))</f>
        <v>أفراد</v>
      </c>
      <c r="D90" s="41" t="str">
        <f aca="false">INDEX(c_Region,MATCH($A90,c_ID,0))</f>
        <v>الشرقية</v>
      </c>
      <c r="E90" s="47" t="n">
        <f aca="false">COUNTIFS(d_Cust,$A90,d_Status,"مكتمل")</f>
        <v>7</v>
      </c>
      <c r="F90" s="42" t="n">
        <f aca="false">SUMIFS(d_Rev,d_Cust,$A90)</f>
        <v>5537.5</v>
      </c>
      <c r="G90" s="42" t="n">
        <f aca="false">SUMIFS(d_Profit,d_Cust,$A90)</f>
        <v>2022.5</v>
      </c>
      <c r="H90" s="52" t="n">
        <f aca="false">IF(COUNTIF(d_Cust,$A90)=0,"",SUMPRODUCT(MAX((d_Cust=$A90)*d_Date)))</f>
        <v>46134</v>
      </c>
      <c r="I90" s="47" t="n">
        <f aca="false">IF(H90="",$B$3-MIN(d_Date),$B$3-H90)</f>
        <v>162</v>
      </c>
      <c r="J90" s="47" t="n">
        <f aca="false">IF(I90&lt;=$B$6,4,IF(I90&lt;=$C$6,3,IF(I90&lt;=$D$6,2,1)))</f>
        <v>1</v>
      </c>
      <c r="K90" s="47" t="n">
        <f aca="false">IF(E90&gt;=$D$7,4,IF(E90&gt;=$C$7,3,IF(E90&gt;=$B$7,2,1)))</f>
        <v>3</v>
      </c>
      <c r="L90" s="47" t="n">
        <f aca="false">IF(F90&gt;=$D$8,4,IF(F90&gt;=$C$8,3,IF(F90&gt;=$B$8,2,1)))</f>
        <v>2</v>
      </c>
      <c r="M90" s="53" t="n">
        <f aca="false">J90+K90+L90</f>
        <v>6</v>
      </c>
      <c r="N90" s="41" t="str">
        <f aca="false">IF(M90&gt;=10,"أبطال",IF(M90&gt;=8,"أوفياء",IF(M90&gt;=6,"واعدون",IF(M90&gt;=4,"معرضون للفقد","نائمون"))))</f>
        <v>واعدون</v>
      </c>
      <c r="O90" s="47" t="n">
        <f aca="false">RANK(F90,$F$21:$F$220)+COUNTIF($F$21:F90,F90)-1</f>
        <v>107</v>
      </c>
    </row>
    <row r="91" customFormat="false" ht="15" hidden="false" customHeight="false" outlineLevel="0" collapsed="false">
      <c r="A91" s="41" t="s">
        <v>302</v>
      </c>
      <c r="B91" s="41" t="str">
        <f aca="false">INDEX(c_Name,MATCH($A91,c_ID,0))</f>
        <v>جود السبيعي</v>
      </c>
      <c r="C91" s="41" t="str">
        <f aca="false">INDEX(c_Seg,MATCH($A91,c_ID,0))</f>
        <v>شركات صغيرة</v>
      </c>
      <c r="D91" s="41" t="str">
        <f aca="false">INDEX(c_Region,MATCH($A91,c_ID,0))</f>
        <v>الوسطى</v>
      </c>
      <c r="E91" s="47" t="n">
        <f aca="false">COUNTIFS(d_Cust,$A91,d_Status,"مكتمل")</f>
        <v>3</v>
      </c>
      <c r="F91" s="42" t="n">
        <f aca="false">SUMIFS(d_Rev,d_Cust,$A91)</f>
        <v>2575</v>
      </c>
      <c r="G91" s="42" t="n">
        <f aca="false">SUMIFS(d_Profit,d_Cust,$A91)</f>
        <v>1020</v>
      </c>
      <c r="H91" s="52" t="n">
        <f aca="false">IF(COUNTIF(d_Cust,$A91)=0,"",SUMPRODUCT(MAX((d_Cust=$A91)*d_Date)))</f>
        <v>46116</v>
      </c>
      <c r="I91" s="47" t="n">
        <f aca="false">IF(H91="",$B$3-MIN(d_Date),$B$3-H91)</f>
        <v>180</v>
      </c>
      <c r="J91" s="47" t="n">
        <f aca="false">IF(I91&lt;=$B$6,4,IF(I91&lt;=$C$6,3,IF(I91&lt;=$D$6,2,1)))</f>
        <v>1</v>
      </c>
      <c r="K91" s="47" t="n">
        <f aca="false">IF(E91&gt;=$D$7,4,IF(E91&gt;=$C$7,3,IF(E91&gt;=$B$7,2,1)))</f>
        <v>2</v>
      </c>
      <c r="L91" s="47" t="n">
        <f aca="false">IF(F91&gt;=$D$8,4,IF(F91&gt;=$C$8,3,IF(F91&gt;=$B$8,2,1)))</f>
        <v>2</v>
      </c>
      <c r="M91" s="53" t="n">
        <f aca="false">J91+K91+L91</f>
        <v>5</v>
      </c>
      <c r="N91" s="41" t="str">
        <f aca="false">IF(M91&gt;=10,"أبطال",IF(M91&gt;=8,"أوفياء",IF(M91&gt;=6,"واعدون",IF(M91&gt;=4,"معرضون للفقد","نائمون"))))</f>
        <v>معرضون للفقد</v>
      </c>
      <c r="O91" s="47" t="n">
        <f aca="false">RANK(F91,$F$21:$F$220)+COUNTIF($F$21:F91,F91)-1</f>
        <v>146</v>
      </c>
    </row>
    <row r="92" customFormat="false" ht="15" hidden="false" customHeight="false" outlineLevel="0" collapsed="false">
      <c r="A92" s="41" t="s">
        <v>303</v>
      </c>
      <c r="B92" s="41" t="str">
        <f aca="false">INDEX(c_Name,MATCH($A92,c_ID,0))</f>
        <v>ناصر الحسيني</v>
      </c>
      <c r="C92" s="41" t="str">
        <f aca="false">INDEX(c_Seg,MATCH($A92,c_ID,0))</f>
        <v>أفراد</v>
      </c>
      <c r="D92" s="41" t="str">
        <f aca="false">INDEX(c_Region,MATCH($A92,c_ID,0))</f>
        <v>الشرقية</v>
      </c>
      <c r="E92" s="47" t="n">
        <f aca="false">COUNTIFS(d_Cust,$A92,d_Status,"مكتمل")</f>
        <v>5</v>
      </c>
      <c r="F92" s="42" t="n">
        <f aca="false">SUMIFS(d_Rev,d_Cust,$A92)</f>
        <v>7188</v>
      </c>
      <c r="G92" s="42" t="n">
        <f aca="false">SUMIFS(d_Profit,d_Cust,$A92)</f>
        <v>3268</v>
      </c>
      <c r="H92" s="52" t="n">
        <f aca="false">IF(COUNTIF(d_Cust,$A92)=0,"",SUMPRODUCT(MAX((d_Cust=$A92)*d_Date)))</f>
        <v>46273</v>
      </c>
      <c r="I92" s="47" t="n">
        <f aca="false">IF(H92="",$B$3-MIN(d_Date),$B$3-H92)</f>
        <v>23</v>
      </c>
      <c r="J92" s="47" t="n">
        <f aca="false">IF(I92&lt;=$B$6,4,IF(I92&lt;=$C$6,3,IF(I92&lt;=$D$6,2,1)))</f>
        <v>3</v>
      </c>
      <c r="K92" s="47" t="n">
        <f aca="false">IF(E92&gt;=$D$7,4,IF(E92&gt;=$C$7,3,IF(E92&gt;=$B$7,2,1)))</f>
        <v>3</v>
      </c>
      <c r="L92" s="47" t="n">
        <f aca="false">IF(F92&gt;=$D$8,4,IF(F92&gt;=$C$8,3,IF(F92&gt;=$B$8,2,1)))</f>
        <v>3</v>
      </c>
      <c r="M92" s="53" t="n">
        <f aca="false">J92+K92+L92</f>
        <v>9</v>
      </c>
      <c r="N92" s="41" t="str">
        <f aca="false">IF(M92&gt;=10,"أبطال",IF(M92&gt;=8,"أوفياء",IF(M92&gt;=6,"واعدون",IF(M92&gt;=4,"معرضون للفقد","نائمون"))))</f>
        <v>أوفياء</v>
      </c>
      <c r="O92" s="47" t="n">
        <f aca="false">RANK(F92,$F$21:$F$220)+COUNTIF($F$21:F92,F92)-1</f>
        <v>90</v>
      </c>
    </row>
    <row r="93" customFormat="false" ht="15" hidden="false" customHeight="false" outlineLevel="0" collapsed="false">
      <c r="A93" s="41" t="s">
        <v>304</v>
      </c>
      <c r="B93" s="41" t="str">
        <f aca="false">INDEX(c_Name,MATCH($A93,c_ID,0))</f>
        <v>سلمان السبيعي</v>
      </c>
      <c r="C93" s="41" t="str">
        <f aca="false">INDEX(c_Seg,MATCH($A93,c_ID,0))</f>
        <v>أفراد</v>
      </c>
      <c r="D93" s="41" t="str">
        <f aca="false">INDEX(c_Region,MATCH($A93,c_ID,0))</f>
        <v>الشرقية</v>
      </c>
      <c r="E93" s="47" t="n">
        <f aca="false">COUNTIFS(d_Cust,$A93,d_Status,"مكتمل")</f>
        <v>5</v>
      </c>
      <c r="F93" s="42" t="n">
        <f aca="false">SUMIFS(d_Rev,d_Cust,$A93)</f>
        <v>5858</v>
      </c>
      <c r="G93" s="42" t="n">
        <f aca="false">SUMIFS(d_Profit,d_Cust,$A93)</f>
        <v>1608</v>
      </c>
      <c r="H93" s="52" t="n">
        <f aca="false">IF(COUNTIF(d_Cust,$A93)=0,"",SUMPRODUCT(MAX((d_Cust=$A93)*d_Date)))</f>
        <v>46225</v>
      </c>
      <c r="I93" s="47" t="n">
        <f aca="false">IF(H93="",$B$3-MIN(d_Date),$B$3-H93)</f>
        <v>71</v>
      </c>
      <c r="J93" s="47" t="n">
        <f aca="false">IF(I93&lt;=$B$6,4,IF(I93&lt;=$C$6,3,IF(I93&lt;=$D$6,2,1)))</f>
        <v>2</v>
      </c>
      <c r="K93" s="47" t="n">
        <f aca="false">IF(E93&gt;=$D$7,4,IF(E93&gt;=$C$7,3,IF(E93&gt;=$B$7,2,1)))</f>
        <v>3</v>
      </c>
      <c r="L93" s="47" t="n">
        <f aca="false">IF(F93&gt;=$D$8,4,IF(F93&gt;=$C$8,3,IF(F93&gt;=$B$8,2,1)))</f>
        <v>2</v>
      </c>
      <c r="M93" s="53" t="n">
        <f aca="false">J93+K93+L93</f>
        <v>7</v>
      </c>
      <c r="N93" s="41" t="str">
        <f aca="false">IF(M93&gt;=10,"أبطال",IF(M93&gt;=8,"أوفياء",IF(M93&gt;=6,"واعدون",IF(M93&gt;=4,"معرضون للفقد","نائمون"))))</f>
        <v>واعدون</v>
      </c>
      <c r="O93" s="47" t="n">
        <f aca="false">RANK(F93,$F$21:$F$220)+COUNTIF($F$21:F93,F93)-1</f>
        <v>101</v>
      </c>
    </row>
    <row r="94" customFormat="false" ht="15" hidden="false" customHeight="false" outlineLevel="0" collapsed="false">
      <c r="A94" s="41" t="s">
        <v>305</v>
      </c>
      <c r="B94" s="41" t="str">
        <f aca="false">INDEX(c_Name,MATCH($A94,c_ID,0))</f>
        <v>سعد البلوي</v>
      </c>
      <c r="C94" s="41" t="str">
        <f aca="false">INDEX(c_Seg,MATCH($A94,c_ID,0))</f>
        <v>أفراد</v>
      </c>
      <c r="D94" s="41" t="str">
        <f aca="false">INDEX(c_Region,MATCH($A94,c_ID,0))</f>
        <v>الغربية</v>
      </c>
      <c r="E94" s="47" t="n">
        <f aca="false">COUNTIFS(d_Cust,$A94,d_Status,"مكتمل")</f>
        <v>0</v>
      </c>
      <c r="F94" s="42" t="n">
        <f aca="false">SUMIFS(d_Rev,d_Cust,$A94)</f>
        <v>0</v>
      </c>
      <c r="G94" s="42" t="n">
        <f aca="false">SUMIFS(d_Profit,d_Cust,$A94)</f>
        <v>0</v>
      </c>
      <c r="H94" s="52" t="str">
        <f aca="false">IF(COUNTIF(d_Cust,$A94)=0,"",SUMPRODUCT(MAX((d_Cust=$A94)*d_Date)))</f>
        <v/>
      </c>
      <c r="I94" s="47" t="n">
        <f aca="false">IF(H94="",$B$3-MIN(d_Date),$B$3-H94)</f>
        <v>365</v>
      </c>
      <c r="J94" s="47" t="n">
        <f aca="false">IF(I94&lt;=$B$6,4,IF(I94&lt;=$C$6,3,IF(I94&lt;=$D$6,2,1)))</f>
        <v>1</v>
      </c>
      <c r="K94" s="47" t="n">
        <f aca="false">IF(E94&gt;=$D$7,4,IF(E94&gt;=$C$7,3,IF(E94&gt;=$B$7,2,1)))</f>
        <v>1</v>
      </c>
      <c r="L94" s="47" t="n">
        <f aca="false">IF(F94&gt;=$D$8,4,IF(F94&gt;=$C$8,3,IF(F94&gt;=$B$8,2,1)))</f>
        <v>1</v>
      </c>
      <c r="M94" s="53" t="n">
        <f aca="false">J94+K94+L94</f>
        <v>3</v>
      </c>
      <c r="N94" s="41" t="str">
        <f aca="false">IF(M94&gt;=10,"أبطال",IF(M94&gt;=8,"أوفياء",IF(M94&gt;=6,"واعدون",IF(M94&gt;=4,"معرضون للفقد","نائمون"))))</f>
        <v>نائمون</v>
      </c>
      <c r="O94" s="47" t="n">
        <f aca="false">RANK(F94,$F$21:$F$220)+COUNTIF($F$21:F94,F94)-1</f>
        <v>192</v>
      </c>
    </row>
    <row r="95" customFormat="false" ht="15" hidden="false" customHeight="false" outlineLevel="0" collapsed="false">
      <c r="A95" s="41" t="s">
        <v>306</v>
      </c>
      <c r="B95" s="41" t="str">
        <f aca="false">INDEX(c_Name,MATCH($A95,c_ID,0))</f>
        <v>أحمد العنزي</v>
      </c>
      <c r="C95" s="41" t="str">
        <f aca="false">INDEX(c_Seg,MATCH($A95,c_ID,0))</f>
        <v>شركات صغيرة</v>
      </c>
      <c r="D95" s="41" t="str">
        <f aca="false">INDEX(c_Region,MATCH($A95,c_ID,0))</f>
        <v>الغربية</v>
      </c>
      <c r="E95" s="47" t="n">
        <f aca="false">COUNTIFS(d_Cust,$A95,d_Status,"مكتمل")</f>
        <v>20</v>
      </c>
      <c r="F95" s="42" t="n">
        <f aca="false">SUMIFS(d_Rev,d_Cust,$A95)</f>
        <v>34371</v>
      </c>
      <c r="G95" s="42" t="n">
        <f aca="false">SUMIFS(d_Profit,d_Cust,$A95)</f>
        <v>11186</v>
      </c>
      <c r="H95" s="52" t="n">
        <f aca="false">IF(COUNTIF(d_Cust,$A95)=0,"",SUMPRODUCT(MAX((d_Cust=$A95)*d_Date)))</f>
        <v>46281</v>
      </c>
      <c r="I95" s="47" t="n">
        <f aca="false">IF(H95="",$B$3-MIN(d_Date),$B$3-H95)</f>
        <v>15</v>
      </c>
      <c r="J95" s="47" t="n">
        <f aca="false">IF(I95&lt;=$B$6,4,IF(I95&lt;=$C$6,3,IF(I95&lt;=$D$6,2,1)))</f>
        <v>4</v>
      </c>
      <c r="K95" s="47" t="n">
        <f aca="false">IF(E95&gt;=$D$7,4,IF(E95&gt;=$C$7,3,IF(E95&gt;=$B$7,2,1)))</f>
        <v>4</v>
      </c>
      <c r="L95" s="47" t="n">
        <f aca="false">IF(F95&gt;=$D$8,4,IF(F95&gt;=$C$8,3,IF(F95&gt;=$B$8,2,1)))</f>
        <v>4</v>
      </c>
      <c r="M95" s="53" t="n">
        <f aca="false">J95+K95+L95</f>
        <v>12</v>
      </c>
      <c r="N95" s="41" t="str">
        <f aca="false">IF(M95&gt;=10,"أبطال",IF(M95&gt;=8,"أوفياء",IF(M95&gt;=6,"واعدون",IF(M95&gt;=4,"معرضون للفقد","نائمون"))))</f>
        <v>أبطال</v>
      </c>
      <c r="O95" s="47" t="n">
        <f aca="false">RANK(F95,$F$21:$F$220)+COUNTIF($F$21:F95,F95)-1</f>
        <v>13</v>
      </c>
    </row>
    <row r="96" customFormat="false" ht="15" hidden="false" customHeight="false" outlineLevel="0" collapsed="false">
      <c r="A96" s="41" t="s">
        <v>307</v>
      </c>
      <c r="B96" s="41" t="str">
        <f aca="false">INDEX(c_Name,MATCH($A96,c_ID,0))</f>
        <v>ريم السبيعي</v>
      </c>
      <c r="C96" s="41" t="str">
        <f aca="false">INDEX(c_Seg,MATCH($A96,c_ID,0))</f>
        <v>أفراد</v>
      </c>
      <c r="D96" s="41" t="str">
        <f aca="false">INDEX(c_Region,MATCH($A96,c_ID,0))</f>
        <v>الوسطى</v>
      </c>
      <c r="E96" s="47" t="n">
        <f aca="false">COUNTIFS(d_Cust,$A96,d_Status,"مكتمل")</f>
        <v>3</v>
      </c>
      <c r="F96" s="42" t="n">
        <f aca="false">SUMIFS(d_Rev,d_Cust,$A96)</f>
        <v>3495</v>
      </c>
      <c r="G96" s="42" t="n">
        <f aca="false">SUMIFS(d_Profit,d_Cust,$A96)</f>
        <v>1040</v>
      </c>
      <c r="H96" s="52" t="n">
        <f aca="false">IF(COUNTIF(d_Cust,$A96)=0,"",SUMPRODUCT(MAX((d_Cust=$A96)*d_Date)))</f>
        <v>46125</v>
      </c>
      <c r="I96" s="47" t="n">
        <f aca="false">IF(H96="",$B$3-MIN(d_Date),$B$3-H96)</f>
        <v>171</v>
      </c>
      <c r="J96" s="47" t="n">
        <f aca="false">IF(I96&lt;=$B$6,4,IF(I96&lt;=$C$6,3,IF(I96&lt;=$D$6,2,1)))</f>
        <v>1</v>
      </c>
      <c r="K96" s="47" t="n">
        <f aca="false">IF(E96&gt;=$D$7,4,IF(E96&gt;=$C$7,3,IF(E96&gt;=$B$7,2,1)))</f>
        <v>2</v>
      </c>
      <c r="L96" s="47" t="n">
        <f aca="false">IF(F96&gt;=$D$8,4,IF(F96&gt;=$C$8,3,IF(F96&gt;=$B$8,2,1)))</f>
        <v>2</v>
      </c>
      <c r="M96" s="53" t="n">
        <f aca="false">J96+K96+L96</f>
        <v>5</v>
      </c>
      <c r="N96" s="41" t="str">
        <f aca="false">IF(M96&gt;=10,"أبطال",IF(M96&gt;=8,"أوفياء",IF(M96&gt;=6,"واعدون",IF(M96&gt;=4,"معرضون للفقد","نائمون"))))</f>
        <v>معرضون للفقد</v>
      </c>
      <c r="O96" s="47" t="n">
        <f aca="false">RANK(F96,$F$21:$F$220)+COUNTIF($F$21:F96,F96)-1</f>
        <v>128</v>
      </c>
    </row>
    <row r="97" customFormat="false" ht="15" hidden="false" customHeight="false" outlineLevel="0" collapsed="false">
      <c r="A97" s="41" t="s">
        <v>308</v>
      </c>
      <c r="B97" s="41" t="str">
        <f aca="false">INDEX(c_Name,MATCH($A97,c_ID,0))</f>
        <v>سلمان العتيبي</v>
      </c>
      <c r="C97" s="41" t="str">
        <f aca="false">INDEX(c_Seg,MATCH($A97,c_ID,0))</f>
        <v>شركات صغيرة</v>
      </c>
      <c r="D97" s="41" t="str">
        <f aca="false">INDEX(c_Region,MATCH($A97,c_ID,0))</f>
        <v>الجنوبية</v>
      </c>
      <c r="E97" s="47" t="n">
        <f aca="false">COUNTIFS(d_Cust,$A97,d_Status,"مكتمل")</f>
        <v>1</v>
      </c>
      <c r="F97" s="42" t="n">
        <f aca="false">SUMIFS(d_Rev,d_Cust,$A97)</f>
        <v>2000</v>
      </c>
      <c r="G97" s="42" t="n">
        <f aca="false">SUMIFS(d_Profit,d_Cust,$A97)</f>
        <v>900</v>
      </c>
      <c r="H97" s="52" t="n">
        <f aca="false">IF(COUNTIF(d_Cust,$A97)=0,"",SUMPRODUCT(MAX((d_Cust=$A97)*d_Date)))</f>
        <v>46038</v>
      </c>
      <c r="I97" s="47" t="n">
        <f aca="false">IF(H97="",$B$3-MIN(d_Date),$B$3-H97)</f>
        <v>258</v>
      </c>
      <c r="J97" s="47" t="n">
        <f aca="false">IF(I97&lt;=$B$6,4,IF(I97&lt;=$C$6,3,IF(I97&lt;=$D$6,2,1)))</f>
        <v>1</v>
      </c>
      <c r="K97" s="47" t="n">
        <f aca="false">IF(E97&gt;=$D$7,4,IF(E97&gt;=$C$7,3,IF(E97&gt;=$B$7,2,1)))</f>
        <v>1</v>
      </c>
      <c r="L97" s="47" t="n">
        <f aca="false">IF(F97&gt;=$D$8,4,IF(F97&gt;=$C$8,3,IF(F97&gt;=$B$8,2,1)))</f>
        <v>1</v>
      </c>
      <c r="M97" s="53" t="n">
        <f aca="false">J97+K97+L97</f>
        <v>3</v>
      </c>
      <c r="N97" s="41" t="str">
        <f aca="false">IF(M97&gt;=10,"أبطال",IF(M97&gt;=8,"أوفياء",IF(M97&gt;=6,"واعدون",IF(M97&gt;=4,"معرضون للفقد","نائمون"))))</f>
        <v>نائمون</v>
      </c>
      <c r="O97" s="47" t="n">
        <f aca="false">RANK(F97,$F$21:$F$220)+COUNTIF($F$21:F97,F97)-1</f>
        <v>157</v>
      </c>
    </row>
    <row r="98" customFormat="false" ht="15" hidden="false" customHeight="false" outlineLevel="0" collapsed="false">
      <c r="A98" s="41" t="s">
        <v>309</v>
      </c>
      <c r="B98" s="41" t="str">
        <f aca="false">INDEX(c_Name,MATCH($A98,c_ID,0))</f>
        <v>ياسر العنزي</v>
      </c>
      <c r="C98" s="41" t="str">
        <f aca="false">INDEX(c_Seg,MATCH($A98,c_ID,0))</f>
        <v>أفراد</v>
      </c>
      <c r="D98" s="41" t="str">
        <f aca="false">INDEX(c_Region,MATCH($A98,c_ID,0))</f>
        <v>الوسطى</v>
      </c>
      <c r="E98" s="47" t="n">
        <f aca="false">COUNTIFS(d_Cust,$A98,d_Status,"مكتمل")</f>
        <v>2</v>
      </c>
      <c r="F98" s="42" t="n">
        <f aca="false">SUMIFS(d_Rev,d_Cust,$A98)</f>
        <v>1500</v>
      </c>
      <c r="G98" s="42" t="n">
        <f aca="false">SUMIFS(d_Profit,d_Cust,$A98)</f>
        <v>600</v>
      </c>
      <c r="H98" s="52" t="n">
        <f aca="false">IF(COUNTIF(d_Cust,$A98)=0,"",SUMPRODUCT(MAX((d_Cust=$A98)*d_Date)))</f>
        <v>46046</v>
      </c>
      <c r="I98" s="47" t="n">
        <f aca="false">IF(H98="",$B$3-MIN(d_Date),$B$3-H98)</f>
        <v>250</v>
      </c>
      <c r="J98" s="47" t="n">
        <f aca="false">IF(I98&lt;=$B$6,4,IF(I98&lt;=$C$6,3,IF(I98&lt;=$D$6,2,1)))</f>
        <v>1</v>
      </c>
      <c r="K98" s="47" t="n">
        <f aca="false">IF(E98&gt;=$D$7,4,IF(E98&gt;=$C$7,3,IF(E98&gt;=$B$7,2,1)))</f>
        <v>1</v>
      </c>
      <c r="L98" s="47" t="n">
        <f aca="false">IF(F98&gt;=$D$8,4,IF(F98&gt;=$C$8,3,IF(F98&gt;=$B$8,2,1)))</f>
        <v>1</v>
      </c>
      <c r="M98" s="53" t="n">
        <f aca="false">J98+K98+L98</f>
        <v>3</v>
      </c>
      <c r="N98" s="41" t="str">
        <f aca="false">IF(M98&gt;=10,"أبطال",IF(M98&gt;=8,"أوفياء",IF(M98&gt;=6,"واعدون",IF(M98&gt;=4,"معرضون للفقد","نائمون"))))</f>
        <v>نائمون</v>
      </c>
      <c r="O98" s="47" t="n">
        <f aca="false">RANK(F98,$F$21:$F$220)+COUNTIF($F$21:F98,F98)-1</f>
        <v>171</v>
      </c>
    </row>
    <row r="99" customFormat="false" ht="15" hidden="false" customHeight="false" outlineLevel="0" collapsed="false">
      <c r="A99" s="41" t="s">
        <v>310</v>
      </c>
      <c r="B99" s="41" t="str">
        <f aca="false">INDEX(c_Name,MATCH($A99,c_ID,0))</f>
        <v>طارق السبيعي</v>
      </c>
      <c r="C99" s="41" t="str">
        <f aca="false">INDEX(c_Seg,MATCH($A99,c_ID,0))</f>
        <v>أفراد</v>
      </c>
      <c r="D99" s="41" t="str">
        <f aca="false">INDEX(c_Region,MATCH($A99,c_ID,0))</f>
        <v>الوسطى</v>
      </c>
      <c r="E99" s="47" t="n">
        <f aca="false">COUNTIFS(d_Cust,$A99,d_Status,"مكتمل")</f>
        <v>6</v>
      </c>
      <c r="F99" s="42" t="n">
        <f aca="false">SUMIFS(d_Rev,d_Cust,$A99)</f>
        <v>6004</v>
      </c>
      <c r="G99" s="42" t="n">
        <f aca="false">SUMIFS(d_Profit,d_Cust,$A99)</f>
        <v>2294</v>
      </c>
      <c r="H99" s="52" t="n">
        <f aca="false">IF(COUNTIF(d_Cust,$A99)=0,"",SUMPRODUCT(MAX((d_Cust=$A99)*d_Date)))</f>
        <v>46264</v>
      </c>
      <c r="I99" s="47" t="n">
        <f aca="false">IF(H99="",$B$3-MIN(d_Date),$B$3-H99)</f>
        <v>32</v>
      </c>
      <c r="J99" s="47" t="n">
        <f aca="false">IF(I99&lt;=$B$6,4,IF(I99&lt;=$C$6,3,IF(I99&lt;=$D$6,2,1)))</f>
        <v>3</v>
      </c>
      <c r="K99" s="47" t="n">
        <f aca="false">IF(E99&gt;=$D$7,4,IF(E99&gt;=$C$7,3,IF(E99&gt;=$B$7,2,1)))</f>
        <v>3</v>
      </c>
      <c r="L99" s="47" t="n">
        <f aca="false">IF(F99&gt;=$D$8,4,IF(F99&gt;=$C$8,3,IF(F99&gt;=$B$8,2,1)))</f>
        <v>3</v>
      </c>
      <c r="M99" s="53" t="n">
        <f aca="false">J99+K99+L99</f>
        <v>9</v>
      </c>
      <c r="N99" s="41" t="str">
        <f aca="false">IF(M99&gt;=10,"أبطال",IF(M99&gt;=8,"أوفياء",IF(M99&gt;=6,"واعدون",IF(M99&gt;=4,"معرضون للفقد","نائمون"))))</f>
        <v>أوفياء</v>
      </c>
      <c r="O99" s="47" t="n">
        <f aca="false">RANK(F99,$F$21:$F$220)+COUNTIF($F$21:F99,F99)-1</f>
        <v>98</v>
      </c>
    </row>
    <row r="100" customFormat="false" ht="15" hidden="false" customHeight="false" outlineLevel="0" collapsed="false">
      <c r="A100" s="41" t="s">
        <v>311</v>
      </c>
      <c r="B100" s="41" t="str">
        <f aca="false">INDEX(c_Name,MATCH($A100,c_ID,0))</f>
        <v>لمى الحسيني</v>
      </c>
      <c r="C100" s="41" t="str">
        <f aca="false">INDEX(c_Seg,MATCH($A100,c_ID,0))</f>
        <v>أفراد</v>
      </c>
      <c r="D100" s="41" t="str">
        <f aca="false">INDEX(c_Region,MATCH($A100,c_ID,0))</f>
        <v>الوسطى</v>
      </c>
      <c r="E100" s="47" t="n">
        <f aca="false">COUNTIFS(d_Cust,$A100,d_Status,"مكتمل")</f>
        <v>19</v>
      </c>
      <c r="F100" s="42" t="n">
        <f aca="false">SUMIFS(d_Rev,d_Cust,$A100)</f>
        <v>18223</v>
      </c>
      <c r="G100" s="42" t="n">
        <f aca="false">SUMIFS(d_Profit,d_Cust,$A100)</f>
        <v>5178</v>
      </c>
      <c r="H100" s="52" t="n">
        <f aca="false">IF(COUNTIF(d_Cust,$A100)=0,"",SUMPRODUCT(MAX((d_Cust=$A100)*d_Date)))</f>
        <v>46287</v>
      </c>
      <c r="I100" s="47" t="n">
        <f aca="false">IF(H100="",$B$3-MIN(d_Date),$B$3-H100)</f>
        <v>9</v>
      </c>
      <c r="J100" s="47" t="n">
        <f aca="false">IF(I100&lt;=$B$6,4,IF(I100&lt;=$C$6,3,IF(I100&lt;=$D$6,2,1)))</f>
        <v>4</v>
      </c>
      <c r="K100" s="47" t="n">
        <f aca="false">IF(E100&gt;=$D$7,4,IF(E100&gt;=$C$7,3,IF(E100&gt;=$B$7,2,1)))</f>
        <v>4</v>
      </c>
      <c r="L100" s="47" t="n">
        <f aca="false">IF(F100&gt;=$D$8,4,IF(F100&gt;=$C$8,3,IF(F100&gt;=$B$8,2,1)))</f>
        <v>4</v>
      </c>
      <c r="M100" s="53" t="n">
        <f aca="false">J100+K100+L100</f>
        <v>12</v>
      </c>
      <c r="N100" s="41" t="str">
        <f aca="false">IF(M100&gt;=10,"أبطال",IF(M100&gt;=8,"أوفياء",IF(M100&gt;=6,"واعدون",IF(M100&gt;=4,"معرضون للفقد","نائمون"))))</f>
        <v>أبطال</v>
      </c>
      <c r="O100" s="47" t="n">
        <f aca="false">RANK(F100,$F$21:$F$220)+COUNTIF($F$21:F100,F100)-1</f>
        <v>30</v>
      </c>
    </row>
    <row r="101" customFormat="false" ht="15" hidden="false" customHeight="false" outlineLevel="0" collapsed="false">
      <c r="A101" s="41" t="s">
        <v>312</v>
      </c>
      <c r="B101" s="41" t="str">
        <f aca="false">INDEX(c_Name,MATCH($A101,c_ID,0))</f>
        <v>دانة الدوسري</v>
      </c>
      <c r="C101" s="41" t="str">
        <f aca="false">INDEX(c_Seg,MATCH($A101,c_ID,0))</f>
        <v>أفراد</v>
      </c>
      <c r="D101" s="41" t="str">
        <f aca="false">INDEX(c_Region,MATCH($A101,c_ID,0))</f>
        <v>الشرقية</v>
      </c>
      <c r="E101" s="47" t="n">
        <f aca="false">COUNTIFS(d_Cust,$A101,d_Status,"مكتمل")</f>
        <v>10</v>
      </c>
      <c r="F101" s="42" t="n">
        <f aca="false">SUMIFS(d_Rev,d_Cust,$A101)</f>
        <v>9792.5</v>
      </c>
      <c r="G101" s="42" t="n">
        <f aca="false">SUMIFS(d_Profit,d_Cust,$A101)</f>
        <v>3567.5</v>
      </c>
      <c r="H101" s="52" t="n">
        <f aca="false">IF(COUNTIF(d_Cust,$A101)=0,"",SUMPRODUCT(MAX((d_Cust=$A101)*d_Date)))</f>
        <v>46264</v>
      </c>
      <c r="I101" s="47" t="n">
        <f aca="false">IF(H101="",$B$3-MIN(d_Date),$B$3-H101)</f>
        <v>32</v>
      </c>
      <c r="J101" s="47" t="n">
        <f aca="false">IF(I101&lt;=$B$6,4,IF(I101&lt;=$C$6,3,IF(I101&lt;=$D$6,2,1)))</f>
        <v>3</v>
      </c>
      <c r="K101" s="47" t="n">
        <f aca="false">IF(E101&gt;=$D$7,4,IF(E101&gt;=$C$7,3,IF(E101&gt;=$B$7,2,1)))</f>
        <v>4</v>
      </c>
      <c r="L101" s="47" t="n">
        <f aca="false">IF(F101&gt;=$D$8,4,IF(F101&gt;=$C$8,3,IF(F101&gt;=$B$8,2,1)))</f>
        <v>3</v>
      </c>
      <c r="M101" s="53" t="n">
        <f aca="false">J101+K101+L101</f>
        <v>10</v>
      </c>
      <c r="N101" s="41" t="str">
        <f aca="false">IF(M101&gt;=10,"أبطال",IF(M101&gt;=8,"أوفياء",IF(M101&gt;=6,"واعدون",IF(M101&gt;=4,"معرضون للفقد","نائمون"))))</f>
        <v>أبطال</v>
      </c>
      <c r="O101" s="47" t="n">
        <f aca="false">RANK(F101,$F$21:$F$220)+COUNTIF($F$21:F101,F101)-1</f>
        <v>65</v>
      </c>
    </row>
    <row r="102" customFormat="false" ht="15" hidden="false" customHeight="false" outlineLevel="0" collapsed="false">
      <c r="A102" s="41" t="s">
        <v>313</v>
      </c>
      <c r="B102" s="41" t="str">
        <f aca="false">INDEX(c_Name,MATCH($A102,c_ID,0))</f>
        <v>نورة الدوسري</v>
      </c>
      <c r="C102" s="41" t="str">
        <f aca="false">INDEX(c_Seg,MATCH($A102,c_ID,0))</f>
        <v>أفراد</v>
      </c>
      <c r="D102" s="41" t="str">
        <f aca="false">INDEX(c_Region,MATCH($A102,c_ID,0))</f>
        <v>الغربية</v>
      </c>
      <c r="E102" s="47" t="n">
        <f aca="false">COUNTIFS(d_Cust,$A102,d_Status,"مكتمل")</f>
        <v>3</v>
      </c>
      <c r="F102" s="42" t="n">
        <f aca="false">SUMIFS(d_Rev,d_Cust,$A102)</f>
        <v>3089</v>
      </c>
      <c r="G102" s="42" t="n">
        <f aca="false">SUMIFS(d_Profit,d_Cust,$A102)</f>
        <v>914</v>
      </c>
      <c r="H102" s="52" t="n">
        <f aca="false">IF(COUNTIF(d_Cust,$A102)=0,"",SUMPRODUCT(MAX((d_Cust=$A102)*d_Date)))</f>
        <v>46275</v>
      </c>
      <c r="I102" s="47" t="n">
        <f aca="false">IF(H102="",$B$3-MIN(d_Date),$B$3-H102)</f>
        <v>21</v>
      </c>
      <c r="J102" s="47" t="n">
        <f aca="false">IF(I102&lt;=$B$6,4,IF(I102&lt;=$C$6,3,IF(I102&lt;=$D$6,2,1)))</f>
        <v>3</v>
      </c>
      <c r="K102" s="47" t="n">
        <f aca="false">IF(E102&gt;=$D$7,4,IF(E102&gt;=$C$7,3,IF(E102&gt;=$B$7,2,1)))</f>
        <v>2</v>
      </c>
      <c r="L102" s="47" t="n">
        <f aca="false">IF(F102&gt;=$D$8,4,IF(F102&gt;=$C$8,3,IF(F102&gt;=$B$8,2,1)))</f>
        <v>2</v>
      </c>
      <c r="M102" s="53" t="n">
        <f aca="false">J102+K102+L102</f>
        <v>7</v>
      </c>
      <c r="N102" s="41" t="str">
        <f aca="false">IF(M102&gt;=10,"أبطال",IF(M102&gt;=8,"أوفياء",IF(M102&gt;=6,"واعدون",IF(M102&gt;=4,"معرضون للفقد","نائمون"))))</f>
        <v>واعدون</v>
      </c>
      <c r="O102" s="47" t="n">
        <f aca="false">RANK(F102,$F$21:$F$220)+COUNTIF($F$21:F102,F102)-1</f>
        <v>135</v>
      </c>
    </row>
    <row r="103" customFormat="false" ht="15" hidden="false" customHeight="false" outlineLevel="0" collapsed="false">
      <c r="A103" s="41" t="s">
        <v>314</v>
      </c>
      <c r="B103" s="41" t="str">
        <f aca="false">INDEX(c_Name,MATCH($A103,c_ID,0))</f>
        <v>عبير الغامدي</v>
      </c>
      <c r="C103" s="41" t="str">
        <f aca="false">INDEX(c_Seg,MATCH($A103,c_ID,0))</f>
        <v>أفراد</v>
      </c>
      <c r="D103" s="41" t="str">
        <f aca="false">INDEX(c_Region,MATCH($A103,c_ID,0))</f>
        <v>الشرقية</v>
      </c>
      <c r="E103" s="47" t="n">
        <f aca="false">COUNTIFS(d_Cust,$A103,d_Status,"مكتمل")</f>
        <v>2</v>
      </c>
      <c r="F103" s="42" t="n">
        <f aca="false">SUMIFS(d_Rev,d_Cust,$A103)</f>
        <v>1218</v>
      </c>
      <c r="G103" s="42" t="n">
        <f aca="false">SUMIFS(d_Profit,d_Cust,$A103)</f>
        <v>533</v>
      </c>
      <c r="H103" s="52" t="n">
        <f aca="false">IF(COUNTIF(d_Cust,$A103)=0,"",SUMPRODUCT(MAX((d_Cust=$A103)*d_Date)))</f>
        <v>46205</v>
      </c>
      <c r="I103" s="47" t="n">
        <f aca="false">IF(H103="",$B$3-MIN(d_Date),$B$3-H103)</f>
        <v>91</v>
      </c>
      <c r="J103" s="47" t="n">
        <f aca="false">IF(I103&lt;=$B$6,4,IF(I103&lt;=$C$6,3,IF(I103&lt;=$D$6,2,1)))</f>
        <v>2</v>
      </c>
      <c r="K103" s="47" t="n">
        <f aca="false">IF(E103&gt;=$D$7,4,IF(E103&gt;=$C$7,3,IF(E103&gt;=$B$7,2,1)))</f>
        <v>1</v>
      </c>
      <c r="L103" s="47" t="n">
        <f aca="false">IF(F103&gt;=$D$8,4,IF(F103&gt;=$C$8,3,IF(F103&gt;=$B$8,2,1)))</f>
        <v>1</v>
      </c>
      <c r="M103" s="53" t="n">
        <f aca="false">J103+K103+L103</f>
        <v>4</v>
      </c>
      <c r="N103" s="41" t="str">
        <f aca="false">IF(M103&gt;=10,"أبطال",IF(M103&gt;=8,"أوفياء",IF(M103&gt;=6,"واعدون",IF(M103&gt;=4,"معرضون للفقد","نائمون"))))</f>
        <v>معرضون للفقد</v>
      </c>
      <c r="O103" s="47" t="n">
        <f aca="false">RANK(F103,$F$21:$F$220)+COUNTIF($F$21:F103,F103)-1</f>
        <v>176</v>
      </c>
    </row>
    <row r="104" customFormat="false" ht="15" hidden="false" customHeight="false" outlineLevel="0" collapsed="false">
      <c r="A104" s="41" t="s">
        <v>315</v>
      </c>
      <c r="B104" s="41" t="str">
        <f aca="false">INDEX(c_Name,MATCH($A104,c_ID,0))</f>
        <v>أحمد الحربي</v>
      </c>
      <c r="C104" s="41" t="str">
        <f aca="false">INDEX(c_Seg,MATCH($A104,c_ID,0))</f>
        <v>مؤسسات</v>
      </c>
      <c r="D104" s="41" t="str">
        <f aca="false">INDEX(c_Region,MATCH($A104,c_ID,0))</f>
        <v>الغربية</v>
      </c>
      <c r="E104" s="47" t="n">
        <f aca="false">COUNTIFS(d_Cust,$A104,d_Status,"مكتمل")</f>
        <v>10</v>
      </c>
      <c r="F104" s="42" t="n">
        <f aca="false">SUMIFS(d_Rev,d_Cust,$A104)</f>
        <v>72854</v>
      </c>
      <c r="G104" s="42" t="n">
        <f aca="false">SUMIFS(d_Profit,d_Cust,$A104)</f>
        <v>22344</v>
      </c>
      <c r="H104" s="52" t="n">
        <f aca="false">IF(COUNTIF(d_Cust,$A104)=0,"",SUMPRODUCT(MAX((d_Cust=$A104)*d_Date)))</f>
        <v>46293</v>
      </c>
      <c r="I104" s="47" t="n">
        <f aca="false">IF(H104="",$B$3-MIN(d_Date),$B$3-H104)</f>
        <v>3</v>
      </c>
      <c r="J104" s="47" t="n">
        <f aca="false">IF(I104&lt;=$B$6,4,IF(I104&lt;=$C$6,3,IF(I104&lt;=$D$6,2,1)))</f>
        <v>4</v>
      </c>
      <c r="K104" s="47" t="n">
        <f aca="false">IF(E104&gt;=$D$7,4,IF(E104&gt;=$C$7,3,IF(E104&gt;=$B$7,2,1)))</f>
        <v>4</v>
      </c>
      <c r="L104" s="47" t="n">
        <f aca="false">IF(F104&gt;=$D$8,4,IF(F104&gt;=$C$8,3,IF(F104&gt;=$B$8,2,1)))</f>
        <v>4</v>
      </c>
      <c r="M104" s="53" t="n">
        <f aca="false">J104+K104+L104</f>
        <v>12</v>
      </c>
      <c r="N104" s="41" t="str">
        <f aca="false">IF(M104&gt;=10,"أبطال",IF(M104&gt;=8,"أوفياء",IF(M104&gt;=6,"واعدون",IF(M104&gt;=4,"معرضون للفقد","نائمون"))))</f>
        <v>أبطال</v>
      </c>
      <c r="O104" s="47" t="n">
        <f aca="false">RANK(F104,$F$21:$F$220)+COUNTIF($F$21:F104,F104)-1</f>
        <v>3</v>
      </c>
    </row>
    <row r="105" customFormat="false" ht="15" hidden="false" customHeight="false" outlineLevel="0" collapsed="false">
      <c r="A105" s="41" t="s">
        <v>316</v>
      </c>
      <c r="B105" s="41" t="str">
        <f aca="false">INDEX(c_Name,MATCH($A105,c_ID,0))</f>
        <v>جود الشمري</v>
      </c>
      <c r="C105" s="41" t="str">
        <f aca="false">INDEX(c_Seg,MATCH($A105,c_ID,0))</f>
        <v>أفراد</v>
      </c>
      <c r="D105" s="41" t="str">
        <f aca="false">INDEX(c_Region,MATCH($A105,c_ID,0))</f>
        <v>الوسطى</v>
      </c>
      <c r="E105" s="47" t="n">
        <f aca="false">COUNTIFS(d_Cust,$A105,d_Status,"مكتمل")</f>
        <v>1</v>
      </c>
      <c r="F105" s="42" t="n">
        <f aca="false">SUMIFS(d_Rev,d_Cust,$A105)</f>
        <v>340</v>
      </c>
      <c r="G105" s="42" t="n">
        <f aca="false">SUMIFS(d_Profit,d_Cust,$A105)</f>
        <v>170</v>
      </c>
      <c r="H105" s="52" t="n">
        <f aca="false">IF(COUNTIF(d_Cust,$A105)=0,"",SUMPRODUCT(MAX((d_Cust=$A105)*d_Date)))</f>
        <v>46150</v>
      </c>
      <c r="I105" s="47" t="n">
        <f aca="false">IF(H105="",$B$3-MIN(d_Date),$B$3-H105)</f>
        <v>146</v>
      </c>
      <c r="J105" s="47" t="n">
        <f aca="false">IF(I105&lt;=$B$6,4,IF(I105&lt;=$C$6,3,IF(I105&lt;=$D$6,2,1)))</f>
        <v>1</v>
      </c>
      <c r="K105" s="47" t="n">
        <f aca="false">IF(E105&gt;=$D$7,4,IF(E105&gt;=$C$7,3,IF(E105&gt;=$B$7,2,1)))</f>
        <v>1</v>
      </c>
      <c r="L105" s="47" t="n">
        <f aca="false">IF(F105&gt;=$D$8,4,IF(F105&gt;=$C$8,3,IF(F105&gt;=$B$8,2,1)))</f>
        <v>1</v>
      </c>
      <c r="M105" s="53" t="n">
        <f aca="false">J105+K105+L105</f>
        <v>3</v>
      </c>
      <c r="N105" s="41" t="str">
        <f aca="false">IF(M105&gt;=10,"أبطال",IF(M105&gt;=8,"أوفياء",IF(M105&gt;=6,"واعدون",IF(M105&gt;=4,"معرضون للفقد","نائمون"))))</f>
        <v>نائمون</v>
      </c>
      <c r="O105" s="47" t="n">
        <f aca="false">RANK(F105,$F$21:$F$220)+COUNTIF($F$21:F105,F105)-1</f>
        <v>185</v>
      </c>
    </row>
    <row r="106" customFormat="false" ht="15" hidden="false" customHeight="false" outlineLevel="0" collapsed="false">
      <c r="A106" s="41" t="s">
        <v>317</v>
      </c>
      <c r="B106" s="41" t="str">
        <f aca="false">INDEX(c_Name,MATCH($A106,c_ID,0))</f>
        <v>ناصر القحطاني</v>
      </c>
      <c r="C106" s="41" t="str">
        <f aca="false">INDEX(c_Seg,MATCH($A106,c_ID,0))</f>
        <v>شركات صغيرة</v>
      </c>
      <c r="D106" s="41" t="str">
        <f aca="false">INDEX(c_Region,MATCH($A106,c_ID,0))</f>
        <v>الوسطى</v>
      </c>
      <c r="E106" s="47" t="n">
        <f aca="false">COUNTIFS(d_Cust,$A106,d_Status,"مكتمل")</f>
        <v>2</v>
      </c>
      <c r="F106" s="42" t="n">
        <f aca="false">SUMIFS(d_Rev,d_Cust,$A106)</f>
        <v>7520</v>
      </c>
      <c r="G106" s="42" t="n">
        <f aca="false">SUMIFS(d_Profit,d_Cust,$A106)</f>
        <v>1800</v>
      </c>
      <c r="H106" s="52" t="n">
        <f aca="false">IF(COUNTIF(d_Cust,$A106)=0,"",SUMPRODUCT(MAX((d_Cust=$A106)*d_Date)))</f>
        <v>46268</v>
      </c>
      <c r="I106" s="47" t="n">
        <f aca="false">IF(H106="",$B$3-MIN(d_Date),$B$3-H106)</f>
        <v>28</v>
      </c>
      <c r="J106" s="47" t="n">
        <f aca="false">IF(I106&lt;=$B$6,4,IF(I106&lt;=$C$6,3,IF(I106&lt;=$D$6,2,1)))</f>
        <v>3</v>
      </c>
      <c r="K106" s="47" t="n">
        <f aca="false">IF(E106&gt;=$D$7,4,IF(E106&gt;=$C$7,3,IF(E106&gt;=$B$7,2,1)))</f>
        <v>1</v>
      </c>
      <c r="L106" s="47" t="n">
        <f aca="false">IF(F106&gt;=$D$8,4,IF(F106&gt;=$C$8,3,IF(F106&gt;=$B$8,2,1)))</f>
        <v>3</v>
      </c>
      <c r="M106" s="53" t="n">
        <f aca="false">J106+K106+L106</f>
        <v>7</v>
      </c>
      <c r="N106" s="41" t="str">
        <f aca="false">IF(M106&gt;=10,"أبطال",IF(M106&gt;=8,"أوفياء",IF(M106&gt;=6,"واعدون",IF(M106&gt;=4,"معرضون للفقد","نائمون"))))</f>
        <v>واعدون</v>
      </c>
      <c r="O106" s="47" t="n">
        <f aca="false">RANK(F106,$F$21:$F$220)+COUNTIF($F$21:F106,F106)-1</f>
        <v>85</v>
      </c>
    </row>
    <row r="107" customFormat="false" ht="15" hidden="false" customHeight="false" outlineLevel="0" collapsed="false">
      <c r="A107" s="41" t="s">
        <v>318</v>
      </c>
      <c r="B107" s="41" t="str">
        <f aca="false">INDEX(c_Name,MATCH($A107,c_ID,0))</f>
        <v>خالد الدوسري</v>
      </c>
      <c r="C107" s="41" t="str">
        <f aca="false">INDEX(c_Seg,MATCH($A107,c_ID,0))</f>
        <v>أفراد</v>
      </c>
      <c r="D107" s="41" t="str">
        <f aca="false">INDEX(c_Region,MATCH($A107,c_ID,0))</f>
        <v>الوسطى</v>
      </c>
      <c r="E107" s="47" t="n">
        <f aca="false">COUNTIFS(d_Cust,$A107,d_Status,"مكتمل")</f>
        <v>0</v>
      </c>
      <c r="F107" s="42" t="n">
        <f aca="false">SUMIFS(d_Rev,d_Cust,$A107)</f>
        <v>0</v>
      </c>
      <c r="G107" s="42" t="n">
        <f aca="false">SUMIFS(d_Profit,d_Cust,$A107)</f>
        <v>0</v>
      </c>
      <c r="H107" s="52" t="str">
        <f aca="false">IF(COUNTIF(d_Cust,$A107)=0,"",SUMPRODUCT(MAX((d_Cust=$A107)*d_Date)))</f>
        <v/>
      </c>
      <c r="I107" s="47" t="n">
        <f aca="false">IF(H107="",$B$3-MIN(d_Date),$B$3-H107)</f>
        <v>365</v>
      </c>
      <c r="J107" s="47" t="n">
        <f aca="false">IF(I107&lt;=$B$6,4,IF(I107&lt;=$C$6,3,IF(I107&lt;=$D$6,2,1)))</f>
        <v>1</v>
      </c>
      <c r="K107" s="47" t="n">
        <f aca="false">IF(E107&gt;=$D$7,4,IF(E107&gt;=$C$7,3,IF(E107&gt;=$B$7,2,1)))</f>
        <v>1</v>
      </c>
      <c r="L107" s="47" t="n">
        <f aca="false">IF(F107&gt;=$D$8,4,IF(F107&gt;=$C$8,3,IF(F107&gt;=$B$8,2,1)))</f>
        <v>1</v>
      </c>
      <c r="M107" s="53" t="n">
        <f aca="false">J107+K107+L107</f>
        <v>3</v>
      </c>
      <c r="N107" s="41" t="str">
        <f aca="false">IF(M107&gt;=10,"أبطال",IF(M107&gt;=8,"أوفياء",IF(M107&gt;=6,"واعدون",IF(M107&gt;=4,"معرضون للفقد","نائمون"))))</f>
        <v>نائمون</v>
      </c>
      <c r="O107" s="47" t="n">
        <f aca="false">RANK(F107,$F$21:$F$220)+COUNTIF($F$21:F107,F107)-1</f>
        <v>193</v>
      </c>
    </row>
    <row r="108" customFormat="false" ht="15" hidden="false" customHeight="false" outlineLevel="0" collapsed="false">
      <c r="A108" s="41" t="s">
        <v>319</v>
      </c>
      <c r="B108" s="41" t="str">
        <f aca="false">INDEX(c_Name,MATCH($A108,c_ID,0))</f>
        <v>سعد التميمي</v>
      </c>
      <c r="C108" s="41" t="str">
        <f aca="false">INDEX(c_Seg,MATCH($A108,c_ID,0))</f>
        <v>مؤسسات</v>
      </c>
      <c r="D108" s="41" t="str">
        <f aca="false">INDEX(c_Region,MATCH($A108,c_ID,0))</f>
        <v>الغربية</v>
      </c>
      <c r="E108" s="47" t="n">
        <f aca="false">COUNTIFS(d_Cust,$A108,d_Status,"مكتمل")</f>
        <v>7</v>
      </c>
      <c r="F108" s="42" t="n">
        <f aca="false">SUMIFS(d_Rev,d_Cust,$A108)</f>
        <v>63222</v>
      </c>
      <c r="G108" s="42" t="n">
        <f aca="false">SUMIFS(d_Profit,d_Cust,$A108)</f>
        <v>23802</v>
      </c>
      <c r="H108" s="52" t="n">
        <f aca="false">IF(COUNTIF(d_Cust,$A108)=0,"",SUMPRODUCT(MAX((d_Cust=$A108)*d_Date)))</f>
        <v>46227</v>
      </c>
      <c r="I108" s="47" t="n">
        <f aca="false">IF(H108="",$B$3-MIN(d_Date),$B$3-H108)</f>
        <v>69</v>
      </c>
      <c r="J108" s="47" t="n">
        <f aca="false">IF(I108&lt;=$B$6,4,IF(I108&lt;=$C$6,3,IF(I108&lt;=$D$6,2,1)))</f>
        <v>2</v>
      </c>
      <c r="K108" s="47" t="n">
        <f aca="false">IF(E108&gt;=$D$7,4,IF(E108&gt;=$C$7,3,IF(E108&gt;=$B$7,2,1)))</f>
        <v>3</v>
      </c>
      <c r="L108" s="47" t="n">
        <f aca="false">IF(F108&gt;=$D$8,4,IF(F108&gt;=$C$8,3,IF(F108&gt;=$B$8,2,1)))</f>
        <v>4</v>
      </c>
      <c r="M108" s="53" t="n">
        <f aca="false">J108+K108+L108</f>
        <v>9</v>
      </c>
      <c r="N108" s="41" t="str">
        <f aca="false">IF(M108&gt;=10,"أبطال",IF(M108&gt;=8,"أوفياء",IF(M108&gt;=6,"واعدون",IF(M108&gt;=4,"معرضون للفقد","نائمون"))))</f>
        <v>أوفياء</v>
      </c>
      <c r="O108" s="47" t="n">
        <f aca="false">RANK(F108,$F$21:$F$220)+COUNTIF($F$21:F108,F108)-1</f>
        <v>5</v>
      </c>
    </row>
    <row r="109" customFormat="false" ht="15" hidden="false" customHeight="false" outlineLevel="0" collapsed="false">
      <c r="A109" s="41" t="s">
        <v>320</v>
      </c>
      <c r="B109" s="41" t="str">
        <f aca="false">INDEX(c_Name,MATCH($A109,c_ID,0))</f>
        <v>دانة التميمي</v>
      </c>
      <c r="C109" s="41" t="str">
        <f aca="false">INDEX(c_Seg,MATCH($A109,c_ID,0))</f>
        <v>أفراد</v>
      </c>
      <c r="D109" s="41" t="str">
        <f aca="false">INDEX(c_Region,MATCH($A109,c_ID,0))</f>
        <v>الوسطى</v>
      </c>
      <c r="E109" s="47" t="n">
        <f aca="false">COUNTIFS(d_Cust,$A109,d_Status,"مكتمل")</f>
        <v>2</v>
      </c>
      <c r="F109" s="42" t="n">
        <f aca="false">SUMIFS(d_Rev,d_Cust,$A109)</f>
        <v>1036</v>
      </c>
      <c r="G109" s="42" t="n">
        <f aca="false">SUMIFS(d_Profit,d_Cust,$A109)</f>
        <v>476</v>
      </c>
      <c r="H109" s="52" t="n">
        <f aca="false">IF(COUNTIF(d_Cust,$A109)=0,"",SUMPRODUCT(MAX((d_Cust=$A109)*d_Date)))</f>
        <v>46221</v>
      </c>
      <c r="I109" s="47" t="n">
        <f aca="false">IF(H109="",$B$3-MIN(d_Date),$B$3-H109)</f>
        <v>75</v>
      </c>
      <c r="J109" s="47" t="n">
        <f aca="false">IF(I109&lt;=$B$6,4,IF(I109&lt;=$C$6,3,IF(I109&lt;=$D$6,2,1)))</f>
        <v>2</v>
      </c>
      <c r="K109" s="47" t="n">
        <f aca="false">IF(E109&gt;=$D$7,4,IF(E109&gt;=$C$7,3,IF(E109&gt;=$B$7,2,1)))</f>
        <v>1</v>
      </c>
      <c r="L109" s="47" t="n">
        <f aca="false">IF(F109&gt;=$D$8,4,IF(F109&gt;=$C$8,3,IF(F109&gt;=$B$8,2,1)))</f>
        <v>1</v>
      </c>
      <c r="M109" s="53" t="n">
        <f aca="false">J109+K109+L109</f>
        <v>4</v>
      </c>
      <c r="N109" s="41" t="str">
        <f aca="false">IF(M109&gt;=10,"أبطال",IF(M109&gt;=8,"أوفياء",IF(M109&gt;=6,"واعدون",IF(M109&gt;=4,"معرضون للفقد","نائمون"))))</f>
        <v>معرضون للفقد</v>
      </c>
      <c r="O109" s="47" t="n">
        <f aca="false">RANK(F109,$F$21:$F$220)+COUNTIF($F$21:F109,F109)-1</f>
        <v>178</v>
      </c>
    </row>
    <row r="110" customFormat="false" ht="15" hidden="false" customHeight="false" outlineLevel="0" collapsed="false">
      <c r="A110" s="41" t="s">
        <v>321</v>
      </c>
      <c r="B110" s="41" t="str">
        <f aca="false">INDEX(c_Name,MATCH($A110,c_ID,0))</f>
        <v>ناصر الخالدي</v>
      </c>
      <c r="C110" s="41" t="str">
        <f aca="false">INDEX(c_Seg,MATCH($A110,c_ID,0))</f>
        <v>أفراد</v>
      </c>
      <c r="D110" s="41" t="str">
        <f aca="false">INDEX(c_Region,MATCH($A110,c_ID,0))</f>
        <v>الشرقية</v>
      </c>
      <c r="E110" s="47" t="n">
        <f aca="false">COUNTIFS(d_Cust,$A110,d_Status,"مكتمل")</f>
        <v>0</v>
      </c>
      <c r="F110" s="42" t="n">
        <f aca="false">SUMIFS(d_Rev,d_Cust,$A110)</f>
        <v>0</v>
      </c>
      <c r="G110" s="42" t="n">
        <f aca="false">SUMIFS(d_Profit,d_Cust,$A110)</f>
        <v>0</v>
      </c>
      <c r="H110" s="52" t="str">
        <f aca="false">IF(COUNTIF(d_Cust,$A110)=0,"",SUMPRODUCT(MAX((d_Cust=$A110)*d_Date)))</f>
        <v/>
      </c>
      <c r="I110" s="47" t="n">
        <f aca="false">IF(H110="",$B$3-MIN(d_Date),$B$3-H110)</f>
        <v>365</v>
      </c>
      <c r="J110" s="47" t="n">
        <f aca="false">IF(I110&lt;=$B$6,4,IF(I110&lt;=$C$6,3,IF(I110&lt;=$D$6,2,1)))</f>
        <v>1</v>
      </c>
      <c r="K110" s="47" t="n">
        <f aca="false">IF(E110&gt;=$D$7,4,IF(E110&gt;=$C$7,3,IF(E110&gt;=$B$7,2,1)))</f>
        <v>1</v>
      </c>
      <c r="L110" s="47" t="n">
        <f aca="false">IF(F110&gt;=$D$8,4,IF(F110&gt;=$C$8,3,IF(F110&gt;=$B$8,2,1)))</f>
        <v>1</v>
      </c>
      <c r="M110" s="53" t="n">
        <f aca="false">J110+K110+L110</f>
        <v>3</v>
      </c>
      <c r="N110" s="41" t="str">
        <f aca="false">IF(M110&gt;=10,"أبطال",IF(M110&gt;=8,"أوفياء",IF(M110&gt;=6,"واعدون",IF(M110&gt;=4,"معرضون للفقد","نائمون"))))</f>
        <v>نائمون</v>
      </c>
      <c r="O110" s="47" t="n">
        <f aca="false">RANK(F110,$F$21:$F$220)+COUNTIF($F$21:F110,F110)-1</f>
        <v>194</v>
      </c>
    </row>
    <row r="111" customFormat="false" ht="15" hidden="false" customHeight="false" outlineLevel="0" collapsed="false">
      <c r="A111" s="41" t="s">
        <v>322</v>
      </c>
      <c r="B111" s="41" t="str">
        <f aca="false">INDEX(c_Name,MATCH($A111,c_ID,0))</f>
        <v>نورة البلوي</v>
      </c>
      <c r="C111" s="41" t="str">
        <f aca="false">INDEX(c_Seg,MATCH($A111,c_ID,0))</f>
        <v>أفراد</v>
      </c>
      <c r="D111" s="41" t="str">
        <f aca="false">INDEX(c_Region,MATCH($A111,c_ID,0))</f>
        <v>الغربية</v>
      </c>
      <c r="E111" s="47" t="n">
        <f aca="false">COUNTIFS(d_Cust,$A111,d_Status,"مكتمل")</f>
        <v>6</v>
      </c>
      <c r="F111" s="42" t="n">
        <f aca="false">SUMIFS(d_Rev,d_Cust,$A111)</f>
        <v>6398</v>
      </c>
      <c r="G111" s="42" t="n">
        <f aca="false">SUMIFS(d_Profit,d_Cust,$A111)</f>
        <v>2748</v>
      </c>
      <c r="H111" s="52" t="n">
        <f aca="false">IF(COUNTIF(d_Cust,$A111)=0,"",SUMPRODUCT(MAX((d_Cust=$A111)*d_Date)))</f>
        <v>46280</v>
      </c>
      <c r="I111" s="47" t="n">
        <f aca="false">IF(H111="",$B$3-MIN(d_Date),$B$3-H111)</f>
        <v>16</v>
      </c>
      <c r="J111" s="47" t="n">
        <f aca="false">IF(I111&lt;=$B$6,4,IF(I111&lt;=$C$6,3,IF(I111&lt;=$D$6,2,1)))</f>
        <v>4</v>
      </c>
      <c r="K111" s="47" t="n">
        <f aca="false">IF(E111&gt;=$D$7,4,IF(E111&gt;=$C$7,3,IF(E111&gt;=$B$7,2,1)))</f>
        <v>3</v>
      </c>
      <c r="L111" s="47" t="n">
        <f aca="false">IF(F111&gt;=$D$8,4,IF(F111&gt;=$C$8,3,IF(F111&gt;=$B$8,2,1)))</f>
        <v>3</v>
      </c>
      <c r="M111" s="53" t="n">
        <f aca="false">J111+K111+L111</f>
        <v>10</v>
      </c>
      <c r="N111" s="41" t="str">
        <f aca="false">IF(M111&gt;=10,"أبطال",IF(M111&gt;=8,"أوفياء",IF(M111&gt;=6,"واعدون",IF(M111&gt;=4,"معرضون للفقد","نائمون"))))</f>
        <v>أبطال</v>
      </c>
      <c r="O111" s="47" t="n">
        <f aca="false">RANK(F111,$F$21:$F$220)+COUNTIF($F$21:F111,F111)-1</f>
        <v>94</v>
      </c>
    </row>
    <row r="112" customFormat="false" ht="15" hidden="false" customHeight="false" outlineLevel="0" collapsed="false">
      <c r="A112" s="41" t="s">
        <v>323</v>
      </c>
      <c r="B112" s="41" t="str">
        <f aca="false">INDEX(c_Name,MATCH($A112,c_ID,0))</f>
        <v>ليلى الدوسري</v>
      </c>
      <c r="C112" s="41" t="str">
        <f aca="false">INDEX(c_Seg,MATCH($A112,c_ID,0))</f>
        <v>أفراد</v>
      </c>
      <c r="D112" s="41" t="str">
        <f aca="false">INDEX(c_Region,MATCH($A112,c_ID,0))</f>
        <v>الشرقية</v>
      </c>
      <c r="E112" s="47" t="n">
        <f aca="false">COUNTIFS(d_Cust,$A112,d_Status,"مكتمل")</f>
        <v>10</v>
      </c>
      <c r="F112" s="42" t="n">
        <f aca="false">SUMIFS(d_Rev,d_Cust,$A112)</f>
        <v>7636</v>
      </c>
      <c r="G112" s="42" t="n">
        <f aca="false">SUMIFS(d_Profit,d_Cust,$A112)</f>
        <v>3026</v>
      </c>
      <c r="H112" s="52" t="n">
        <f aca="false">IF(COUNTIF(d_Cust,$A112)=0,"",SUMPRODUCT(MAX((d_Cust=$A112)*d_Date)))</f>
        <v>46231</v>
      </c>
      <c r="I112" s="47" t="n">
        <f aca="false">IF(H112="",$B$3-MIN(d_Date),$B$3-H112)</f>
        <v>65</v>
      </c>
      <c r="J112" s="47" t="n">
        <f aca="false">IF(I112&lt;=$B$6,4,IF(I112&lt;=$C$6,3,IF(I112&lt;=$D$6,2,1)))</f>
        <v>2</v>
      </c>
      <c r="K112" s="47" t="n">
        <f aca="false">IF(E112&gt;=$D$7,4,IF(E112&gt;=$C$7,3,IF(E112&gt;=$B$7,2,1)))</f>
        <v>4</v>
      </c>
      <c r="L112" s="47" t="n">
        <f aca="false">IF(F112&gt;=$D$8,4,IF(F112&gt;=$C$8,3,IF(F112&gt;=$B$8,2,1)))</f>
        <v>3</v>
      </c>
      <c r="M112" s="53" t="n">
        <f aca="false">J112+K112+L112</f>
        <v>9</v>
      </c>
      <c r="N112" s="41" t="str">
        <f aca="false">IF(M112&gt;=10,"أبطال",IF(M112&gt;=8,"أوفياء",IF(M112&gt;=6,"واعدون",IF(M112&gt;=4,"معرضون للفقد","نائمون"))))</f>
        <v>أوفياء</v>
      </c>
      <c r="O112" s="47" t="n">
        <f aca="false">RANK(F112,$F$21:$F$220)+COUNTIF($F$21:F112,F112)-1</f>
        <v>84</v>
      </c>
    </row>
    <row r="113" customFormat="false" ht="15" hidden="false" customHeight="false" outlineLevel="0" collapsed="false">
      <c r="A113" s="41" t="s">
        <v>324</v>
      </c>
      <c r="B113" s="41" t="str">
        <f aca="false">INDEX(c_Name,MATCH($A113,c_ID,0))</f>
        <v>عبير الحسيني</v>
      </c>
      <c r="C113" s="41" t="str">
        <f aca="false">INDEX(c_Seg,MATCH($A113,c_ID,0))</f>
        <v>شركات صغيرة</v>
      </c>
      <c r="D113" s="41" t="str">
        <f aca="false">INDEX(c_Region,MATCH($A113,c_ID,0))</f>
        <v>الشرقية</v>
      </c>
      <c r="E113" s="47" t="n">
        <f aca="false">COUNTIFS(d_Cust,$A113,d_Status,"مكتمل")</f>
        <v>2</v>
      </c>
      <c r="F113" s="42" t="n">
        <f aca="false">SUMIFS(d_Rev,d_Cust,$A113)</f>
        <v>7665</v>
      </c>
      <c r="G113" s="42" t="n">
        <f aca="false">SUMIFS(d_Profit,d_Cust,$A113)</f>
        <v>2605</v>
      </c>
      <c r="H113" s="52" t="n">
        <f aca="false">IF(COUNTIF(d_Cust,$A113)=0,"",SUMPRODUCT(MAX((d_Cust=$A113)*d_Date)))</f>
        <v>46294</v>
      </c>
      <c r="I113" s="47" t="n">
        <f aca="false">IF(H113="",$B$3-MIN(d_Date),$B$3-H113)</f>
        <v>2</v>
      </c>
      <c r="J113" s="47" t="n">
        <f aca="false">IF(I113&lt;=$B$6,4,IF(I113&lt;=$C$6,3,IF(I113&lt;=$D$6,2,1)))</f>
        <v>4</v>
      </c>
      <c r="K113" s="47" t="n">
        <f aca="false">IF(E113&gt;=$D$7,4,IF(E113&gt;=$C$7,3,IF(E113&gt;=$B$7,2,1)))</f>
        <v>1</v>
      </c>
      <c r="L113" s="47" t="n">
        <f aca="false">IF(F113&gt;=$D$8,4,IF(F113&gt;=$C$8,3,IF(F113&gt;=$B$8,2,1)))</f>
        <v>3</v>
      </c>
      <c r="M113" s="53" t="n">
        <f aca="false">J113+K113+L113</f>
        <v>8</v>
      </c>
      <c r="N113" s="41" t="str">
        <f aca="false">IF(M113&gt;=10,"أبطال",IF(M113&gt;=8,"أوفياء",IF(M113&gt;=6,"واعدون",IF(M113&gt;=4,"معرضون للفقد","نائمون"))))</f>
        <v>أوفياء</v>
      </c>
      <c r="O113" s="47" t="n">
        <f aca="false">RANK(F113,$F$21:$F$220)+COUNTIF($F$21:F113,F113)-1</f>
        <v>83</v>
      </c>
    </row>
    <row r="114" customFormat="false" ht="15" hidden="false" customHeight="false" outlineLevel="0" collapsed="false">
      <c r="A114" s="41" t="s">
        <v>325</v>
      </c>
      <c r="B114" s="41" t="str">
        <f aca="false">INDEX(c_Name,MATCH($A114,c_ID,0))</f>
        <v>منى الشهري</v>
      </c>
      <c r="C114" s="41" t="str">
        <f aca="false">INDEX(c_Seg,MATCH($A114,c_ID,0))</f>
        <v>أفراد</v>
      </c>
      <c r="D114" s="41" t="str">
        <f aca="false">INDEX(c_Region,MATCH($A114,c_ID,0))</f>
        <v>الشرقية</v>
      </c>
      <c r="E114" s="47" t="n">
        <f aca="false">COUNTIFS(d_Cust,$A114,d_Status,"مكتمل")</f>
        <v>0</v>
      </c>
      <c r="F114" s="42" t="n">
        <f aca="false">SUMIFS(d_Rev,d_Cust,$A114)</f>
        <v>0</v>
      </c>
      <c r="G114" s="42" t="n">
        <f aca="false">SUMIFS(d_Profit,d_Cust,$A114)</f>
        <v>0</v>
      </c>
      <c r="H114" s="52" t="n">
        <f aca="false">IF(COUNTIF(d_Cust,$A114)=0,"",SUMPRODUCT(MAX((d_Cust=$A114)*d_Date)))</f>
        <v>46274</v>
      </c>
      <c r="I114" s="47" t="n">
        <f aca="false">IF(H114="",$B$3-MIN(d_Date),$B$3-H114)</f>
        <v>22</v>
      </c>
      <c r="J114" s="47" t="n">
        <f aca="false">IF(I114&lt;=$B$6,4,IF(I114&lt;=$C$6,3,IF(I114&lt;=$D$6,2,1)))</f>
        <v>3</v>
      </c>
      <c r="K114" s="47" t="n">
        <f aca="false">IF(E114&gt;=$D$7,4,IF(E114&gt;=$C$7,3,IF(E114&gt;=$B$7,2,1)))</f>
        <v>1</v>
      </c>
      <c r="L114" s="47" t="n">
        <f aca="false">IF(F114&gt;=$D$8,4,IF(F114&gt;=$C$8,3,IF(F114&gt;=$B$8,2,1)))</f>
        <v>1</v>
      </c>
      <c r="M114" s="53" t="n">
        <f aca="false">J114+K114+L114</f>
        <v>5</v>
      </c>
      <c r="N114" s="41" t="str">
        <f aca="false">IF(M114&gt;=10,"أبطال",IF(M114&gt;=8,"أوفياء",IF(M114&gt;=6,"واعدون",IF(M114&gt;=4,"معرضون للفقد","نائمون"))))</f>
        <v>معرضون للفقد</v>
      </c>
      <c r="O114" s="47" t="n">
        <f aca="false">RANK(F114,$F$21:$F$220)+COUNTIF($F$21:F114,F114)-1</f>
        <v>195</v>
      </c>
    </row>
    <row r="115" customFormat="false" ht="15" hidden="false" customHeight="false" outlineLevel="0" collapsed="false">
      <c r="A115" s="41" t="s">
        <v>326</v>
      </c>
      <c r="B115" s="41" t="str">
        <f aca="false">INDEX(c_Name,MATCH($A115,c_ID,0))</f>
        <v>دانة القحطاني</v>
      </c>
      <c r="C115" s="41" t="str">
        <f aca="false">INDEX(c_Seg,MATCH($A115,c_ID,0))</f>
        <v>أفراد</v>
      </c>
      <c r="D115" s="41" t="str">
        <f aca="false">INDEX(c_Region,MATCH($A115,c_ID,0))</f>
        <v>الوسطى</v>
      </c>
      <c r="E115" s="47" t="n">
        <f aca="false">COUNTIFS(d_Cust,$A115,d_Status,"مكتمل")</f>
        <v>14</v>
      </c>
      <c r="F115" s="42" t="n">
        <f aca="false">SUMIFS(d_Rev,d_Cust,$A115)</f>
        <v>11168</v>
      </c>
      <c r="G115" s="42" t="n">
        <f aca="false">SUMIFS(d_Profit,d_Cust,$A115)</f>
        <v>4663</v>
      </c>
      <c r="H115" s="52" t="n">
        <f aca="false">IF(COUNTIF(d_Cust,$A115)=0,"",SUMPRODUCT(MAX((d_Cust=$A115)*d_Date)))</f>
        <v>46295</v>
      </c>
      <c r="I115" s="47" t="n">
        <f aca="false">IF(H115="",$B$3-MIN(d_Date),$B$3-H115)</f>
        <v>1</v>
      </c>
      <c r="J115" s="47" t="n">
        <f aca="false">IF(I115&lt;=$B$6,4,IF(I115&lt;=$C$6,3,IF(I115&lt;=$D$6,2,1)))</f>
        <v>4</v>
      </c>
      <c r="K115" s="47" t="n">
        <f aca="false">IF(E115&gt;=$D$7,4,IF(E115&gt;=$C$7,3,IF(E115&gt;=$B$7,2,1)))</f>
        <v>4</v>
      </c>
      <c r="L115" s="47" t="n">
        <f aca="false">IF(F115&gt;=$D$8,4,IF(F115&gt;=$C$8,3,IF(F115&gt;=$B$8,2,1)))</f>
        <v>3</v>
      </c>
      <c r="M115" s="53" t="n">
        <f aca="false">J115+K115+L115</f>
        <v>11</v>
      </c>
      <c r="N115" s="41" t="str">
        <f aca="false">IF(M115&gt;=10,"أبطال",IF(M115&gt;=8,"أوفياء",IF(M115&gt;=6,"واعدون",IF(M115&gt;=4,"معرضون للفقد","نائمون"))))</f>
        <v>أبطال</v>
      </c>
      <c r="O115" s="47" t="n">
        <f aca="false">RANK(F115,$F$21:$F$220)+COUNTIF($F$21:F115,F115)-1</f>
        <v>58</v>
      </c>
    </row>
    <row r="116" customFormat="false" ht="15" hidden="false" customHeight="false" outlineLevel="0" collapsed="false">
      <c r="A116" s="41" t="s">
        <v>327</v>
      </c>
      <c r="B116" s="41" t="str">
        <f aca="false">INDEX(c_Name,MATCH($A116,c_ID,0))</f>
        <v>ناصر التميمي</v>
      </c>
      <c r="C116" s="41" t="str">
        <f aca="false">INDEX(c_Seg,MATCH($A116,c_ID,0))</f>
        <v>أفراد</v>
      </c>
      <c r="D116" s="41" t="str">
        <f aca="false">INDEX(c_Region,MATCH($A116,c_ID,0))</f>
        <v>الجنوبية</v>
      </c>
      <c r="E116" s="47" t="n">
        <f aca="false">COUNTIFS(d_Cust,$A116,d_Status,"مكتمل")</f>
        <v>2</v>
      </c>
      <c r="F116" s="42" t="n">
        <f aca="false">SUMIFS(d_Rev,d_Cust,$A116)</f>
        <v>2735</v>
      </c>
      <c r="G116" s="42" t="n">
        <f aca="false">SUMIFS(d_Profit,d_Cust,$A116)</f>
        <v>905</v>
      </c>
      <c r="H116" s="52" t="n">
        <f aca="false">IF(COUNTIF(d_Cust,$A116)=0,"",SUMPRODUCT(MAX((d_Cust=$A116)*d_Date)))</f>
        <v>46261</v>
      </c>
      <c r="I116" s="47" t="n">
        <f aca="false">IF(H116="",$B$3-MIN(d_Date),$B$3-H116)</f>
        <v>35</v>
      </c>
      <c r="J116" s="47" t="n">
        <f aca="false">IF(I116&lt;=$B$6,4,IF(I116&lt;=$C$6,3,IF(I116&lt;=$D$6,2,1)))</f>
        <v>3</v>
      </c>
      <c r="K116" s="47" t="n">
        <f aca="false">IF(E116&gt;=$D$7,4,IF(E116&gt;=$C$7,3,IF(E116&gt;=$B$7,2,1)))</f>
        <v>1</v>
      </c>
      <c r="L116" s="47" t="n">
        <f aca="false">IF(F116&gt;=$D$8,4,IF(F116&gt;=$C$8,3,IF(F116&gt;=$B$8,2,1)))</f>
        <v>2</v>
      </c>
      <c r="M116" s="53" t="n">
        <f aca="false">J116+K116+L116</f>
        <v>6</v>
      </c>
      <c r="N116" s="41" t="str">
        <f aca="false">IF(M116&gt;=10,"أبطال",IF(M116&gt;=8,"أوفياء",IF(M116&gt;=6,"واعدون",IF(M116&gt;=4,"معرضون للفقد","نائمون"))))</f>
        <v>واعدون</v>
      </c>
      <c r="O116" s="47" t="n">
        <f aca="false">RANK(F116,$F$21:$F$220)+COUNTIF($F$21:F116,F116)-1</f>
        <v>144</v>
      </c>
    </row>
    <row r="117" customFormat="false" ht="15" hidden="false" customHeight="false" outlineLevel="0" collapsed="false">
      <c r="A117" s="41" t="s">
        <v>328</v>
      </c>
      <c r="B117" s="41" t="str">
        <f aca="false">INDEX(c_Name,MATCH($A117,c_ID,0))</f>
        <v>عبدالله الشهري</v>
      </c>
      <c r="C117" s="41" t="str">
        <f aca="false">INDEX(c_Seg,MATCH($A117,c_ID,0))</f>
        <v>أفراد</v>
      </c>
      <c r="D117" s="41" t="str">
        <f aca="false">INDEX(c_Region,MATCH($A117,c_ID,0))</f>
        <v>الشرقية</v>
      </c>
      <c r="E117" s="47" t="n">
        <f aca="false">COUNTIFS(d_Cust,$A117,d_Status,"مكتمل")</f>
        <v>4</v>
      </c>
      <c r="F117" s="42" t="n">
        <f aca="false">SUMIFS(d_Rev,d_Cust,$A117)</f>
        <v>4536</v>
      </c>
      <c r="G117" s="42" t="n">
        <f aca="false">SUMIFS(d_Profit,d_Cust,$A117)</f>
        <v>686</v>
      </c>
      <c r="H117" s="52" t="n">
        <f aca="false">IF(COUNTIF(d_Cust,$A117)=0,"",SUMPRODUCT(MAX((d_Cust=$A117)*d_Date)))</f>
        <v>46220</v>
      </c>
      <c r="I117" s="47" t="n">
        <f aca="false">IF(H117="",$B$3-MIN(d_Date),$B$3-H117)</f>
        <v>76</v>
      </c>
      <c r="J117" s="47" t="n">
        <f aca="false">IF(I117&lt;=$B$6,4,IF(I117&lt;=$C$6,3,IF(I117&lt;=$D$6,2,1)))</f>
        <v>2</v>
      </c>
      <c r="K117" s="47" t="n">
        <f aca="false">IF(E117&gt;=$D$7,4,IF(E117&gt;=$C$7,3,IF(E117&gt;=$B$7,2,1)))</f>
        <v>2</v>
      </c>
      <c r="L117" s="47" t="n">
        <f aca="false">IF(F117&gt;=$D$8,4,IF(F117&gt;=$C$8,3,IF(F117&gt;=$B$8,2,1)))</f>
        <v>2</v>
      </c>
      <c r="M117" s="53" t="n">
        <f aca="false">J117+K117+L117</f>
        <v>6</v>
      </c>
      <c r="N117" s="41" t="str">
        <f aca="false">IF(M117&gt;=10,"أبطال",IF(M117&gt;=8,"أوفياء",IF(M117&gt;=6,"واعدون",IF(M117&gt;=4,"معرضون للفقد","نائمون"))))</f>
        <v>واعدون</v>
      </c>
      <c r="O117" s="47" t="n">
        <f aca="false">RANK(F117,$F$21:$F$220)+COUNTIF($F$21:F117,F117)-1</f>
        <v>113</v>
      </c>
    </row>
    <row r="118" customFormat="false" ht="15" hidden="false" customHeight="false" outlineLevel="0" collapsed="false">
      <c r="A118" s="41" t="s">
        <v>329</v>
      </c>
      <c r="B118" s="41" t="str">
        <f aca="false">INDEX(c_Name,MATCH($A118,c_ID,0))</f>
        <v>فهد القحطاني</v>
      </c>
      <c r="C118" s="41" t="str">
        <f aca="false">INDEX(c_Seg,MATCH($A118,c_ID,0))</f>
        <v>شركات صغيرة</v>
      </c>
      <c r="D118" s="41" t="str">
        <f aca="false">INDEX(c_Region,MATCH($A118,c_ID,0))</f>
        <v>الغربية</v>
      </c>
      <c r="E118" s="47" t="n">
        <f aca="false">COUNTIFS(d_Cust,$A118,d_Status,"مكتمل")</f>
        <v>2</v>
      </c>
      <c r="F118" s="42" t="n">
        <f aca="false">SUMIFS(d_Rev,d_Cust,$A118)</f>
        <v>1406</v>
      </c>
      <c r="G118" s="42" t="n">
        <f aca="false">SUMIFS(d_Profit,d_Cust,$A118)</f>
        <v>466</v>
      </c>
      <c r="H118" s="52" t="n">
        <f aca="false">IF(COUNTIF(d_Cust,$A118)=0,"",SUMPRODUCT(MAX((d_Cust=$A118)*d_Date)))</f>
        <v>46137</v>
      </c>
      <c r="I118" s="47" t="n">
        <f aca="false">IF(H118="",$B$3-MIN(d_Date),$B$3-H118)</f>
        <v>159</v>
      </c>
      <c r="J118" s="47" t="n">
        <f aca="false">IF(I118&lt;=$B$6,4,IF(I118&lt;=$C$6,3,IF(I118&lt;=$D$6,2,1)))</f>
        <v>1</v>
      </c>
      <c r="K118" s="47" t="n">
        <f aca="false">IF(E118&gt;=$D$7,4,IF(E118&gt;=$C$7,3,IF(E118&gt;=$B$7,2,1)))</f>
        <v>1</v>
      </c>
      <c r="L118" s="47" t="n">
        <f aca="false">IF(F118&gt;=$D$8,4,IF(F118&gt;=$C$8,3,IF(F118&gt;=$B$8,2,1)))</f>
        <v>1</v>
      </c>
      <c r="M118" s="53" t="n">
        <f aca="false">J118+K118+L118</f>
        <v>3</v>
      </c>
      <c r="N118" s="41" t="str">
        <f aca="false">IF(M118&gt;=10,"أبطال",IF(M118&gt;=8,"أوفياء",IF(M118&gt;=6,"واعدون",IF(M118&gt;=4,"معرضون للفقد","نائمون"))))</f>
        <v>نائمون</v>
      </c>
      <c r="O118" s="47" t="n">
        <f aca="false">RANK(F118,$F$21:$F$220)+COUNTIF($F$21:F118,F118)-1</f>
        <v>172</v>
      </c>
    </row>
    <row r="119" customFormat="false" ht="15" hidden="false" customHeight="false" outlineLevel="0" collapsed="false">
      <c r="A119" s="41" t="s">
        <v>330</v>
      </c>
      <c r="B119" s="41" t="str">
        <f aca="false">INDEX(c_Name,MATCH($A119,c_ID,0))</f>
        <v>سارة السبيعي</v>
      </c>
      <c r="C119" s="41" t="str">
        <f aca="false">INDEX(c_Seg,MATCH($A119,c_ID,0))</f>
        <v>شركات صغيرة</v>
      </c>
      <c r="D119" s="41" t="str">
        <f aca="false">INDEX(c_Region,MATCH($A119,c_ID,0))</f>
        <v>الشرقية</v>
      </c>
      <c r="E119" s="47" t="n">
        <f aca="false">COUNTIFS(d_Cust,$A119,d_Status,"مكتمل")</f>
        <v>9</v>
      </c>
      <c r="F119" s="42" t="n">
        <f aca="false">SUMIFS(d_Rev,d_Cust,$A119)</f>
        <v>19261.5</v>
      </c>
      <c r="G119" s="42" t="n">
        <f aca="false">SUMIFS(d_Profit,d_Cust,$A119)</f>
        <v>6401.5</v>
      </c>
      <c r="H119" s="52" t="n">
        <f aca="false">IF(COUNTIF(d_Cust,$A119)=0,"",SUMPRODUCT(MAX((d_Cust=$A119)*d_Date)))</f>
        <v>46230</v>
      </c>
      <c r="I119" s="47" t="n">
        <f aca="false">IF(H119="",$B$3-MIN(d_Date),$B$3-H119)</f>
        <v>66</v>
      </c>
      <c r="J119" s="47" t="n">
        <f aca="false">IF(I119&lt;=$B$6,4,IF(I119&lt;=$C$6,3,IF(I119&lt;=$D$6,2,1)))</f>
        <v>2</v>
      </c>
      <c r="K119" s="47" t="n">
        <f aca="false">IF(E119&gt;=$D$7,4,IF(E119&gt;=$C$7,3,IF(E119&gt;=$B$7,2,1)))</f>
        <v>3</v>
      </c>
      <c r="L119" s="47" t="n">
        <f aca="false">IF(F119&gt;=$D$8,4,IF(F119&gt;=$C$8,3,IF(F119&gt;=$B$8,2,1)))</f>
        <v>4</v>
      </c>
      <c r="M119" s="53" t="n">
        <f aca="false">J119+K119+L119</f>
        <v>9</v>
      </c>
      <c r="N119" s="41" t="str">
        <f aca="false">IF(M119&gt;=10,"أبطال",IF(M119&gt;=8,"أوفياء",IF(M119&gt;=6,"واعدون",IF(M119&gt;=4,"معرضون للفقد","نائمون"))))</f>
        <v>أوفياء</v>
      </c>
      <c r="O119" s="47" t="n">
        <f aca="false">RANK(F119,$F$21:$F$220)+COUNTIF($F$21:F119,F119)-1</f>
        <v>26</v>
      </c>
    </row>
    <row r="120" customFormat="false" ht="15" hidden="false" customHeight="false" outlineLevel="0" collapsed="false">
      <c r="A120" s="41" t="s">
        <v>331</v>
      </c>
      <c r="B120" s="41" t="str">
        <f aca="false">INDEX(c_Name,MATCH($A120,c_ID,0))</f>
        <v>ليلى الخالدي</v>
      </c>
      <c r="C120" s="41" t="str">
        <f aca="false">INDEX(c_Seg,MATCH($A120,c_ID,0))</f>
        <v>أفراد</v>
      </c>
      <c r="D120" s="41" t="str">
        <f aca="false">INDEX(c_Region,MATCH($A120,c_ID,0))</f>
        <v>الوسطى</v>
      </c>
      <c r="E120" s="47" t="n">
        <f aca="false">COUNTIFS(d_Cust,$A120,d_Status,"مكتمل")</f>
        <v>3</v>
      </c>
      <c r="F120" s="42" t="n">
        <f aca="false">SUMIFS(d_Rev,d_Cust,$A120)</f>
        <v>5230</v>
      </c>
      <c r="G120" s="42" t="n">
        <f aca="false">SUMIFS(d_Profit,d_Cust,$A120)</f>
        <v>1350</v>
      </c>
      <c r="H120" s="52" t="n">
        <f aca="false">IF(COUNTIF(d_Cust,$A120)=0,"",SUMPRODUCT(MAX((d_Cust=$A120)*d_Date)))</f>
        <v>46162</v>
      </c>
      <c r="I120" s="47" t="n">
        <f aca="false">IF(H120="",$B$3-MIN(d_Date),$B$3-H120)</f>
        <v>134</v>
      </c>
      <c r="J120" s="47" t="n">
        <f aca="false">IF(I120&lt;=$B$6,4,IF(I120&lt;=$C$6,3,IF(I120&lt;=$D$6,2,1)))</f>
        <v>1</v>
      </c>
      <c r="K120" s="47" t="n">
        <f aca="false">IF(E120&gt;=$D$7,4,IF(E120&gt;=$C$7,3,IF(E120&gt;=$B$7,2,1)))</f>
        <v>2</v>
      </c>
      <c r="L120" s="47" t="n">
        <f aca="false">IF(F120&gt;=$D$8,4,IF(F120&gt;=$C$8,3,IF(F120&gt;=$B$8,2,1)))</f>
        <v>2</v>
      </c>
      <c r="M120" s="53" t="n">
        <f aca="false">J120+K120+L120</f>
        <v>5</v>
      </c>
      <c r="N120" s="41" t="str">
        <f aca="false">IF(M120&gt;=10,"أبطال",IF(M120&gt;=8,"أوفياء",IF(M120&gt;=6,"واعدون",IF(M120&gt;=4,"معرضون للفقد","نائمون"))))</f>
        <v>معرضون للفقد</v>
      </c>
      <c r="O120" s="47" t="n">
        <f aca="false">RANK(F120,$F$21:$F$220)+COUNTIF($F$21:F120,F120)-1</f>
        <v>108</v>
      </c>
    </row>
    <row r="121" customFormat="false" ht="15" hidden="false" customHeight="false" outlineLevel="0" collapsed="false">
      <c r="A121" s="41" t="s">
        <v>332</v>
      </c>
      <c r="B121" s="41" t="str">
        <f aca="false">INDEX(c_Name,MATCH($A121,c_ID,0))</f>
        <v>ليلى الحسيني</v>
      </c>
      <c r="C121" s="41" t="str">
        <f aca="false">INDEX(c_Seg,MATCH($A121,c_ID,0))</f>
        <v>أفراد</v>
      </c>
      <c r="D121" s="41" t="str">
        <f aca="false">INDEX(c_Region,MATCH($A121,c_ID,0))</f>
        <v>الشرقية</v>
      </c>
      <c r="E121" s="47" t="n">
        <f aca="false">COUNTIFS(d_Cust,$A121,d_Status,"مكتمل")</f>
        <v>3</v>
      </c>
      <c r="F121" s="42" t="n">
        <f aca="false">SUMIFS(d_Rev,d_Cust,$A121)</f>
        <v>2120</v>
      </c>
      <c r="G121" s="42" t="n">
        <f aca="false">SUMIFS(d_Profit,d_Cust,$A121)</f>
        <v>1120</v>
      </c>
      <c r="H121" s="52" t="n">
        <f aca="false">IF(COUNTIF(d_Cust,$A121)=0,"",SUMPRODUCT(MAX((d_Cust=$A121)*d_Date)))</f>
        <v>46152</v>
      </c>
      <c r="I121" s="47" t="n">
        <f aca="false">IF(H121="",$B$3-MIN(d_Date),$B$3-H121)</f>
        <v>144</v>
      </c>
      <c r="J121" s="47" t="n">
        <f aca="false">IF(I121&lt;=$B$6,4,IF(I121&lt;=$C$6,3,IF(I121&lt;=$D$6,2,1)))</f>
        <v>1</v>
      </c>
      <c r="K121" s="47" t="n">
        <f aca="false">IF(E121&gt;=$D$7,4,IF(E121&gt;=$C$7,3,IF(E121&gt;=$B$7,2,1)))</f>
        <v>2</v>
      </c>
      <c r="L121" s="47" t="n">
        <f aca="false">IF(F121&gt;=$D$8,4,IF(F121&gt;=$C$8,3,IF(F121&gt;=$B$8,2,1)))</f>
        <v>1</v>
      </c>
      <c r="M121" s="53" t="n">
        <f aca="false">J121+K121+L121</f>
        <v>4</v>
      </c>
      <c r="N121" s="41" t="str">
        <f aca="false">IF(M121&gt;=10,"أبطال",IF(M121&gt;=8,"أوفياء",IF(M121&gt;=6,"واعدون",IF(M121&gt;=4,"معرضون للفقد","نائمون"))))</f>
        <v>معرضون للفقد</v>
      </c>
      <c r="O121" s="47" t="n">
        <f aca="false">RANK(F121,$F$21:$F$220)+COUNTIF($F$21:F121,F121)-1</f>
        <v>156</v>
      </c>
    </row>
    <row r="122" customFormat="false" ht="15" hidden="false" customHeight="false" outlineLevel="0" collapsed="false">
      <c r="A122" s="41" t="s">
        <v>333</v>
      </c>
      <c r="B122" s="41" t="str">
        <f aca="false">INDEX(c_Name,MATCH($A122,c_ID,0))</f>
        <v>جود الحربي</v>
      </c>
      <c r="C122" s="41" t="str">
        <f aca="false">INDEX(c_Seg,MATCH($A122,c_ID,0))</f>
        <v>أفراد</v>
      </c>
      <c r="D122" s="41" t="str">
        <f aca="false">INDEX(c_Region,MATCH($A122,c_ID,0))</f>
        <v>الوسطى</v>
      </c>
      <c r="E122" s="47" t="n">
        <f aca="false">COUNTIFS(d_Cust,$A122,d_Status,"مكتمل")</f>
        <v>8</v>
      </c>
      <c r="F122" s="42" t="n">
        <f aca="false">SUMIFS(d_Rev,d_Cust,$A122)</f>
        <v>9740</v>
      </c>
      <c r="G122" s="42" t="n">
        <f aca="false">SUMIFS(d_Profit,d_Cust,$A122)</f>
        <v>3345</v>
      </c>
      <c r="H122" s="52" t="n">
        <f aca="false">IF(COUNTIF(d_Cust,$A122)=0,"",SUMPRODUCT(MAX((d_Cust=$A122)*d_Date)))</f>
        <v>46261</v>
      </c>
      <c r="I122" s="47" t="n">
        <f aca="false">IF(H122="",$B$3-MIN(d_Date),$B$3-H122)</f>
        <v>35</v>
      </c>
      <c r="J122" s="47" t="n">
        <f aca="false">IF(I122&lt;=$B$6,4,IF(I122&lt;=$C$6,3,IF(I122&lt;=$D$6,2,1)))</f>
        <v>3</v>
      </c>
      <c r="K122" s="47" t="n">
        <f aca="false">IF(E122&gt;=$D$7,4,IF(E122&gt;=$C$7,3,IF(E122&gt;=$B$7,2,1)))</f>
        <v>3</v>
      </c>
      <c r="L122" s="47" t="n">
        <f aca="false">IF(F122&gt;=$D$8,4,IF(F122&gt;=$C$8,3,IF(F122&gt;=$B$8,2,1)))</f>
        <v>3</v>
      </c>
      <c r="M122" s="53" t="n">
        <f aca="false">J122+K122+L122</f>
        <v>9</v>
      </c>
      <c r="N122" s="41" t="str">
        <f aca="false">IF(M122&gt;=10,"أبطال",IF(M122&gt;=8,"أوفياء",IF(M122&gt;=6,"واعدون",IF(M122&gt;=4,"معرضون للفقد","نائمون"))))</f>
        <v>أوفياء</v>
      </c>
      <c r="O122" s="47" t="n">
        <f aca="false">RANK(F122,$F$21:$F$220)+COUNTIF($F$21:F122,F122)-1</f>
        <v>66</v>
      </c>
    </row>
    <row r="123" customFormat="false" ht="15" hidden="false" customHeight="false" outlineLevel="0" collapsed="false">
      <c r="A123" s="41" t="s">
        <v>334</v>
      </c>
      <c r="B123" s="41" t="str">
        <f aca="false">INDEX(c_Name,MATCH($A123,c_ID,0))</f>
        <v>ناصر الغامدي</v>
      </c>
      <c r="C123" s="41" t="str">
        <f aca="false">INDEX(c_Seg,MATCH($A123,c_ID,0))</f>
        <v>أفراد</v>
      </c>
      <c r="D123" s="41" t="str">
        <f aca="false">INDEX(c_Region,MATCH($A123,c_ID,0))</f>
        <v>الغربية</v>
      </c>
      <c r="E123" s="47" t="n">
        <f aca="false">COUNTIFS(d_Cust,$A123,d_Status,"مكتمل")</f>
        <v>30</v>
      </c>
      <c r="F123" s="42" t="n">
        <f aca="false">SUMIFS(d_Rev,d_Cust,$A123)</f>
        <v>29492.5</v>
      </c>
      <c r="G123" s="42" t="n">
        <f aca="false">SUMIFS(d_Profit,d_Cust,$A123)</f>
        <v>10372.5</v>
      </c>
      <c r="H123" s="52" t="n">
        <f aca="false">IF(COUNTIF(d_Cust,$A123)=0,"",SUMPRODUCT(MAX((d_Cust=$A123)*d_Date)))</f>
        <v>46280</v>
      </c>
      <c r="I123" s="47" t="n">
        <f aca="false">IF(H123="",$B$3-MIN(d_Date),$B$3-H123)</f>
        <v>16</v>
      </c>
      <c r="J123" s="47" t="n">
        <f aca="false">IF(I123&lt;=$B$6,4,IF(I123&lt;=$C$6,3,IF(I123&lt;=$D$6,2,1)))</f>
        <v>4</v>
      </c>
      <c r="K123" s="47" t="n">
        <f aca="false">IF(E123&gt;=$D$7,4,IF(E123&gt;=$C$7,3,IF(E123&gt;=$B$7,2,1)))</f>
        <v>4</v>
      </c>
      <c r="L123" s="47" t="n">
        <f aca="false">IF(F123&gt;=$D$8,4,IF(F123&gt;=$C$8,3,IF(F123&gt;=$B$8,2,1)))</f>
        <v>4</v>
      </c>
      <c r="M123" s="53" t="n">
        <f aca="false">J123+K123+L123</f>
        <v>12</v>
      </c>
      <c r="N123" s="41" t="str">
        <f aca="false">IF(M123&gt;=10,"أبطال",IF(M123&gt;=8,"أوفياء",IF(M123&gt;=6,"واعدون",IF(M123&gt;=4,"معرضون للفقد","نائمون"))))</f>
        <v>أبطال</v>
      </c>
      <c r="O123" s="47" t="n">
        <f aca="false">RANK(F123,$F$21:$F$220)+COUNTIF($F$21:F123,F123)-1</f>
        <v>14</v>
      </c>
    </row>
    <row r="124" customFormat="false" ht="15" hidden="false" customHeight="false" outlineLevel="0" collapsed="false">
      <c r="A124" s="41" t="s">
        <v>335</v>
      </c>
      <c r="B124" s="41" t="str">
        <f aca="false">INDEX(c_Name,MATCH($A124,c_ID,0))</f>
        <v>نورة الحربي</v>
      </c>
      <c r="C124" s="41" t="str">
        <f aca="false">INDEX(c_Seg,MATCH($A124,c_ID,0))</f>
        <v>أفراد</v>
      </c>
      <c r="D124" s="41" t="str">
        <f aca="false">INDEX(c_Region,MATCH($A124,c_ID,0))</f>
        <v>الشرقية</v>
      </c>
      <c r="E124" s="47" t="n">
        <f aca="false">COUNTIFS(d_Cust,$A124,d_Status,"مكتمل")</f>
        <v>13</v>
      </c>
      <c r="F124" s="42" t="n">
        <f aca="false">SUMIFS(d_Rev,d_Cust,$A124)</f>
        <v>17064</v>
      </c>
      <c r="G124" s="42" t="n">
        <f aca="false">SUMIFS(d_Profit,d_Cust,$A124)</f>
        <v>4239</v>
      </c>
      <c r="H124" s="52" t="n">
        <f aca="false">IF(COUNTIF(d_Cust,$A124)=0,"",SUMPRODUCT(MAX((d_Cust=$A124)*d_Date)))</f>
        <v>46295</v>
      </c>
      <c r="I124" s="47" t="n">
        <f aca="false">IF(H124="",$B$3-MIN(d_Date),$B$3-H124)</f>
        <v>1</v>
      </c>
      <c r="J124" s="47" t="n">
        <f aca="false">IF(I124&lt;=$B$6,4,IF(I124&lt;=$C$6,3,IF(I124&lt;=$D$6,2,1)))</f>
        <v>4</v>
      </c>
      <c r="K124" s="47" t="n">
        <f aca="false">IF(E124&gt;=$D$7,4,IF(E124&gt;=$C$7,3,IF(E124&gt;=$B$7,2,1)))</f>
        <v>4</v>
      </c>
      <c r="L124" s="47" t="n">
        <f aca="false">IF(F124&gt;=$D$8,4,IF(F124&gt;=$C$8,3,IF(F124&gt;=$B$8,2,1)))</f>
        <v>4</v>
      </c>
      <c r="M124" s="53" t="n">
        <f aca="false">J124+K124+L124</f>
        <v>12</v>
      </c>
      <c r="N124" s="41" t="str">
        <f aca="false">IF(M124&gt;=10,"أبطال",IF(M124&gt;=8,"أوفياء",IF(M124&gt;=6,"واعدون",IF(M124&gt;=4,"معرضون للفقد","نائمون"))))</f>
        <v>أبطال</v>
      </c>
      <c r="O124" s="47" t="n">
        <f aca="false">RANK(F124,$F$21:$F$220)+COUNTIF($F$21:F124,F124)-1</f>
        <v>31</v>
      </c>
    </row>
    <row r="125" customFormat="false" ht="15" hidden="false" customHeight="false" outlineLevel="0" collapsed="false">
      <c r="A125" s="41" t="s">
        <v>336</v>
      </c>
      <c r="B125" s="41" t="str">
        <f aca="false">INDEX(c_Name,MATCH($A125,c_ID,0))</f>
        <v>طارق الزهراني</v>
      </c>
      <c r="C125" s="41" t="str">
        <f aca="false">INDEX(c_Seg,MATCH($A125,c_ID,0))</f>
        <v>أفراد</v>
      </c>
      <c r="D125" s="41" t="str">
        <f aca="false">INDEX(c_Region,MATCH($A125,c_ID,0))</f>
        <v>الجنوبية</v>
      </c>
      <c r="E125" s="47" t="n">
        <f aca="false">COUNTIFS(d_Cust,$A125,d_Status,"مكتمل")</f>
        <v>3</v>
      </c>
      <c r="F125" s="42" t="n">
        <f aca="false">SUMIFS(d_Rev,d_Cust,$A125)</f>
        <v>4255</v>
      </c>
      <c r="G125" s="42" t="n">
        <f aca="false">SUMIFS(d_Profit,d_Cust,$A125)</f>
        <v>1525</v>
      </c>
      <c r="H125" s="52" t="n">
        <f aca="false">IF(COUNTIF(d_Cust,$A125)=0,"",SUMPRODUCT(MAX((d_Cust=$A125)*d_Date)))</f>
        <v>46167</v>
      </c>
      <c r="I125" s="47" t="n">
        <f aca="false">IF(H125="",$B$3-MIN(d_Date),$B$3-H125)</f>
        <v>129</v>
      </c>
      <c r="J125" s="47" t="n">
        <f aca="false">IF(I125&lt;=$B$6,4,IF(I125&lt;=$C$6,3,IF(I125&lt;=$D$6,2,1)))</f>
        <v>1</v>
      </c>
      <c r="K125" s="47" t="n">
        <f aca="false">IF(E125&gt;=$D$7,4,IF(E125&gt;=$C$7,3,IF(E125&gt;=$B$7,2,1)))</f>
        <v>2</v>
      </c>
      <c r="L125" s="47" t="n">
        <f aca="false">IF(F125&gt;=$D$8,4,IF(F125&gt;=$C$8,3,IF(F125&gt;=$B$8,2,1)))</f>
        <v>2</v>
      </c>
      <c r="M125" s="53" t="n">
        <f aca="false">J125+K125+L125</f>
        <v>5</v>
      </c>
      <c r="N125" s="41" t="str">
        <f aca="false">IF(M125&gt;=10,"أبطال",IF(M125&gt;=8,"أوفياء",IF(M125&gt;=6,"واعدون",IF(M125&gt;=4,"معرضون للفقد","نائمون"))))</f>
        <v>معرضون للفقد</v>
      </c>
      <c r="O125" s="47" t="n">
        <f aca="false">RANK(F125,$F$21:$F$220)+COUNTIF($F$21:F125,F125)-1</f>
        <v>118</v>
      </c>
    </row>
    <row r="126" customFormat="false" ht="15" hidden="false" customHeight="false" outlineLevel="0" collapsed="false">
      <c r="A126" s="41" t="s">
        <v>337</v>
      </c>
      <c r="B126" s="41" t="str">
        <f aca="false">INDEX(c_Name,MATCH($A126,c_ID,0))</f>
        <v>ليلى السبيعي</v>
      </c>
      <c r="C126" s="41" t="str">
        <f aca="false">INDEX(c_Seg,MATCH($A126,c_ID,0))</f>
        <v>أفراد</v>
      </c>
      <c r="D126" s="41" t="str">
        <f aca="false">INDEX(c_Region,MATCH($A126,c_ID,0))</f>
        <v>الجنوبية</v>
      </c>
      <c r="E126" s="47" t="n">
        <f aca="false">COUNTIFS(d_Cust,$A126,d_Status,"مكتمل")</f>
        <v>4</v>
      </c>
      <c r="F126" s="42" t="n">
        <f aca="false">SUMIFS(d_Rev,d_Cust,$A126)</f>
        <v>1663</v>
      </c>
      <c r="G126" s="42" t="n">
        <f aca="false">SUMIFS(d_Profit,d_Cust,$A126)</f>
        <v>643</v>
      </c>
      <c r="H126" s="52" t="n">
        <f aca="false">IF(COUNTIF(d_Cust,$A126)=0,"",SUMPRODUCT(MAX((d_Cust=$A126)*d_Date)))</f>
        <v>46014</v>
      </c>
      <c r="I126" s="47" t="n">
        <f aca="false">IF(H126="",$B$3-MIN(d_Date),$B$3-H126)</f>
        <v>282</v>
      </c>
      <c r="J126" s="47" t="n">
        <f aca="false">IF(I126&lt;=$B$6,4,IF(I126&lt;=$C$6,3,IF(I126&lt;=$D$6,2,1)))</f>
        <v>1</v>
      </c>
      <c r="K126" s="47" t="n">
        <f aca="false">IF(E126&gt;=$D$7,4,IF(E126&gt;=$C$7,3,IF(E126&gt;=$B$7,2,1)))</f>
        <v>2</v>
      </c>
      <c r="L126" s="47" t="n">
        <f aca="false">IF(F126&gt;=$D$8,4,IF(F126&gt;=$C$8,3,IF(F126&gt;=$B$8,2,1)))</f>
        <v>1</v>
      </c>
      <c r="M126" s="53" t="n">
        <f aca="false">J126+K126+L126</f>
        <v>4</v>
      </c>
      <c r="N126" s="41" t="str">
        <f aca="false">IF(M126&gt;=10,"أبطال",IF(M126&gt;=8,"أوفياء",IF(M126&gt;=6,"واعدون",IF(M126&gt;=4,"معرضون للفقد","نائمون"))))</f>
        <v>معرضون للفقد</v>
      </c>
      <c r="O126" s="47" t="n">
        <f aca="false">RANK(F126,$F$21:$F$220)+COUNTIF($F$21:F126,F126)-1</f>
        <v>167</v>
      </c>
    </row>
    <row r="127" customFormat="false" ht="15" hidden="false" customHeight="false" outlineLevel="0" collapsed="false">
      <c r="A127" s="41" t="s">
        <v>338</v>
      </c>
      <c r="B127" s="41" t="str">
        <f aca="false">INDEX(c_Name,MATCH($A127,c_ID,0))</f>
        <v>سارة الزهراني</v>
      </c>
      <c r="C127" s="41" t="str">
        <f aca="false">INDEX(c_Seg,MATCH($A127,c_ID,0))</f>
        <v>أفراد</v>
      </c>
      <c r="D127" s="41" t="str">
        <f aca="false">INDEX(c_Region,MATCH($A127,c_ID,0))</f>
        <v>الغربية</v>
      </c>
      <c r="E127" s="47" t="n">
        <f aca="false">COUNTIFS(d_Cust,$A127,d_Status,"مكتمل")</f>
        <v>5</v>
      </c>
      <c r="F127" s="42" t="n">
        <f aca="false">SUMIFS(d_Rev,d_Cust,$A127)</f>
        <v>4211</v>
      </c>
      <c r="G127" s="42" t="n">
        <f aca="false">SUMIFS(d_Profit,d_Cust,$A127)</f>
        <v>1346</v>
      </c>
      <c r="H127" s="52" t="n">
        <f aca="false">IF(COUNTIF(d_Cust,$A127)=0,"",SUMPRODUCT(MAX((d_Cust=$A127)*d_Date)))</f>
        <v>46289</v>
      </c>
      <c r="I127" s="47" t="n">
        <f aca="false">IF(H127="",$B$3-MIN(d_Date),$B$3-H127)</f>
        <v>7</v>
      </c>
      <c r="J127" s="47" t="n">
        <f aca="false">IF(I127&lt;=$B$6,4,IF(I127&lt;=$C$6,3,IF(I127&lt;=$D$6,2,1)))</f>
        <v>4</v>
      </c>
      <c r="K127" s="47" t="n">
        <f aca="false">IF(E127&gt;=$D$7,4,IF(E127&gt;=$C$7,3,IF(E127&gt;=$B$7,2,1)))</f>
        <v>3</v>
      </c>
      <c r="L127" s="47" t="n">
        <f aca="false">IF(F127&gt;=$D$8,4,IF(F127&gt;=$C$8,3,IF(F127&gt;=$B$8,2,1)))</f>
        <v>2</v>
      </c>
      <c r="M127" s="53" t="n">
        <f aca="false">J127+K127+L127</f>
        <v>9</v>
      </c>
      <c r="N127" s="41" t="str">
        <f aca="false">IF(M127&gt;=10,"أبطال",IF(M127&gt;=8,"أوفياء",IF(M127&gt;=6,"واعدون",IF(M127&gt;=4,"معرضون للفقد","نائمون"))))</f>
        <v>أوفياء</v>
      </c>
      <c r="O127" s="47" t="n">
        <f aca="false">RANK(F127,$F$21:$F$220)+COUNTIF($F$21:F127,F127)-1</f>
        <v>119</v>
      </c>
    </row>
    <row r="128" customFormat="false" ht="15" hidden="false" customHeight="false" outlineLevel="0" collapsed="false">
      <c r="A128" s="41" t="s">
        <v>339</v>
      </c>
      <c r="B128" s="41" t="str">
        <f aca="false">INDEX(c_Name,MATCH($A128,c_ID,0))</f>
        <v>خالد السبيعي</v>
      </c>
      <c r="C128" s="41" t="str">
        <f aca="false">INDEX(c_Seg,MATCH($A128,c_ID,0))</f>
        <v>مؤسسات</v>
      </c>
      <c r="D128" s="41" t="str">
        <f aca="false">INDEX(c_Region,MATCH($A128,c_ID,0))</f>
        <v>الجنوبية</v>
      </c>
      <c r="E128" s="47" t="n">
        <f aca="false">COUNTIFS(d_Cust,$A128,d_Status,"مكتمل")</f>
        <v>12</v>
      </c>
      <c r="F128" s="42" t="n">
        <f aca="false">SUMIFS(d_Rev,d_Cust,$A128)</f>
        <v>76998.5</v>
      </c>
      <c r="G128" s="42" t="n">
        <f aca="false">SUMIFS(d_Profit,d_Cust,$A128)</f>
        <v>32128.5</v>
      </c>
      <c r="H128" s="52" t="n">
        <f aca="false">IF(COUNTIF(d_Cust,$A128)=0,"",SUMPRODUCT(MAX((d_Cust=$A128)*d_Date)))</f>
        <v>46265</v>
      </c>
      <c r="I128" s="47" t="n">
        <f aca="false">IF(H128="",$B$3-MIN(d_Date),$B$3-H128)</f>
        <v>31</v>
      </c>
      <c r="J128" s="47" t="n">
        <f aca="false">IF(I128&lt;=$B$6,4,IF(I128&lt;=$C$6,3,IF(I128&lt;=$D$6,2,1)))</f>
        <v>3</v>
      </c>
      <c r="K128" s="47" t="n">
        <f aca="false">IF(E128&gt;=$D$7,4,IF(E128&gt;=$C$7,3,IF(E128&gt;=$B$7,2,1)))</f>
        <v>4</v>
      </c>
      <c r="L128" s="47" t="n">
        <f aca="false">IF(F128&gt;=$D$8,4,IF(F128&gt;=$C$8,3,IF(F128&gt;=$B$8,2,1)))</f>
        <v>4</v>
      </c>
      <c r="M128" s="53" t="n">
        <f aca="false">J128+K128+L128</f>
        <v>11</v>
      </c>
      <c r="N128" s="41" t="str">
        <f aca="false">IF(M128&gt;=10,"أبطال",IF(M128&gt;=8,"أوفياء",IF(M128&gt;=6,"واعدون",IF(M128&gt;=4,"معرضون للفقد","نائمون"))))</f>
        <v>أبطال</v>
      </c>
      <c r="O128" s="47" t="n">
        <f aca="false">RANK(F128,$F$21:$F$220)+COUNTIF($F$21:F128,F128)-1</f>
        <v>2</v>
      </c>
    </row>
    <row r="129" customFormat="false" ht="15" hidden="false" customHeight="false" outlineLevel="0" collapsed="false">
      <c r="A129" s="41" t="s">
        <v>340</v>
      </c>
      <c r="B129" s="41" t="str">
        <f aca="false">INDEX(c_Name,MATCH($A129,c_ID,0))</f>
        <v>سعد الشهري</v>
      </c>
      <c r="C129" s="41" t="str">
        <f aca="false">INDEX(c_Seg,MATCH($A129,c_ID,0))</f>
        <v>أفراد</v>
      </c>
      <c r="D129" s="41" t="str">
        <f aca="false">INDEX(c_Region,MATCH($A129,c_ID,0))</f>
        <v>الوسطى</v>
      </c>
      <c r="E129" s="47" t="n">
        <f aca="false">COUNTIFS(d_Cust,$A129,d_Status,"مكتمل")</f>
        <v>12</v>
      </c>
      <c r="F129" s="42" t="n">
        <f aca="false">SUMIFS(d_Rev,d_Cust,$A129)</f>
        <v>9527.5</v>
      </c>
      <c r="G129" s="42" t="n">
        <f aca="false">SUMIFS(d_Profit,d_Cust,$A129)</f>
        <v>3472.5</v>
      </c>
      <c r="H129" s="52" t="n">
        <f aca="false">IF(COUNTIF(d_Cust,$A129)=0,"",SUMPRODUCT(MAX((d_Cust=$A129)*d_Date)))</f>
        <v>46269</v>
      </c>
      <c r="I129" s="47" t="n">
        <f aca="false">IF(H129="",$B$3-MIN(d_Date),$B$3-H129)</f>
        <v>27</v>
      </c>
      <c r="J129" s="47" t="n">
        <f aca="false">IF(I129&lt;=$B$6,4,IF(I129&lt;=$C$6,3,IF(I129&lt;=$D$6,2,1)))</f>
        <v>3</v>
      </c>
      <c r="K129" s="47" t="n">
        <f aca="false">IF(E129&gt;=$D$7,4,IF(E129&gt;=$C$7,3,IF(E129&gt;=$B$7,2,1)))</f>
        <v>4</v>
      </c>
      <c r="L129" s="47" t="n">
        <f aca="false">IF(F129&gt;=$D$8,4,IF(F129&gt;=$C$8,3,IF(F129&gt;=$B$8,2,1)))</f>
        <v>3</v>
      </c>
      <c r="M129" s="53" t="n">
        <f aca="false">J129+K129+L129</f>
        <v>10</v>
      </c>
      <c r="N129" s="41" t="str">
        <f aca="false">IF(M129&gt;=10,"أبطال",IF(M129&gt;=8,"أوفياء",IF(M129&gt;=6,"واعدون",IF(M129&gt;=4,"معرضون للفقد","نائمون"))))</f>
        <v>أبطال</v>
      </c>
      <c r="O129" s="47" t="n">
        <f aca="false">RANK(F129,$F$21:$F$220)+COUNTIF($F$21:F129,F129)-1</f>
        <v>68</v>
      </c>
    </row>
    <row r="130" customFormat="false" ht="15" hidden="false" customHeight="false" outlineLevel="0" collapsed="false">
      <c r="A130" s="41" t="s">
        <v>341</v>
      </c>
      <c r="B130" s="41" t="str">
        <f aca="false">INDEX(c_Name,MATCH($A130,c_ID,0))</f>
        <v>منى الحسيني</v>
      </c>
      <c r="C130" s="41" t="str">
        <f aca="false">INDEX(c_Seg,MATCH($A130,c_ID,0))</f>
        <v>أفراد</v>
      </c>
      <c r="D130" s="41" t="str">
        <f aca="false">INDEX(c_Region,MATCH($A130,c_ID,0))</f>
        <v>الجنوبية</v>
      </c>
      <c r="E130" s="47" t="n">
        <f aca="false">COUNTIFS(d_Cust,$A130,d_Status,"مكتمل")</f>
        <v>8</v>
      </c>
      <c r="F130" s="42" t="n">
        <f aca="false">SUMIFS(d_Rev,d_Cust,$A130)</f>
        <v>4422</v>
      </c>
      <c r="G130" s="42" t="n">
        <f aca="false">SUMIFS(d_Profit,d_Cust,$A130)</f>
        <v>1707</v>
      </c>
      <c r="H130" s="52" t="n">
        <f aca="false">IF(COUNTIF(d_Cust,$A130)=0,"",SUMPRODUCT(MAX((d_Cust=$A130)*d_Date)))</f>
        <v>46277</v>
      </c>
      <c r="I130" s="47" t="n">
        <f aca="false">IF(H130="",$B$3-MIN(d_Date),$B$3-H130)</f>
        <v>19</v>
      </c>
      <c r="J130" s="47" t="n">
        <f aca="false">IF(I130&lt;=$B$6,4,IF(I130&lt;=$C$6,3,IF(I130&lt;=$D$6,2,1)))</f>
        <v>3</v>
      </c>
      <c r="K130" s="47" t="n">
        <f aca="false">IF(E130&gt;=$D$7,4,IF(E130&gt;=$C$7,3,IF(E130&gt;=$B$7,2,1)))</f>
        <v>3</v>
      </c>
      <c r="L130" s="47" t="n">
        <f aca="false">IF(F130&gt;=$D$8,4,IF(F130&gt;=$C$8,3,IF(F130&gt;=$B$8,2,1)))</f>
        <v>2</v>
      </c>
      <c r="M130" s="53" t="n">
        <f aca="false">J130+K130+L130</f>
        <v>8</v>
      </c>
      <c r="N130" s="41" t="str">
        <f aca="false">IF(M130&gt;=10,"أبطال",IF(M130&gt;=8,"أوفياء",IF(M130&gt;=6,"واعدون",IF(M130&gt;=4,"معرضون للفقد","نائمون"))))</f>
        <v>أوفياء</v>
      </c>
      <c r="O130" s="47" t="n">
        <f aca="false">RANK(F130,$F$21:$F$220)+COUNTIF($F$21:F130,F130)-1</f>
        <v>117</v>
      </c>
    </row>
    <row r="131" customFormat="false" ht="15" hidden="false" customHeight="false" outlineLevel="0" collapsed="false">
      <c r="A131" s="41" t="s">
        <v>342</v>
      </c>
      <c r="B131" s="41" t="str">
        <f aca="false">INDEX(c_Name,MATCH($A131,c_ID,0))</f>
        <v>دانة الحربي</v>
      </c>
      <c r="C131" s="41" t="str">
        <f aca="false">INDEX(c_Seg,MATCH($A131,c_ID,0))</f>
        <v>شركات صغيرة</v>
      </c>
      <c r="D131" s="41" t="str">
        <f aca="false">INDEX(c_Region,MATCH($A131,c_ID,0))</f>
        <v>الشرقية</v>
      </c>
      <c r="E131" s="47" t="n">
        <f aca="false">COUNTIFS(d_Cust,$A131,d_Status,"مكتمل")</f>
        <v>8</v>
      </c>
      <c r="F131" s="42" t="n">
        <f aca="false">SUMIFS(d_Rev,d_Cust,$A131)</f>
        <v>18238.5</v>
      </c>
      <c r="G131" s="42" t="n">
        <f aca="false">SUMIFS(d_Profit,d_Cust,$A131)</f>
        <v>5353.5</v>
      </c>
      <c r="H131" s="52" t="n">
        <f aca="false">IF(COUNTIF(d_Cust,$A131)=0,"",SUMPRODUCT(MAX((d_Cust=$A131)*d_Date)))</f>
        <v>46243</v>
      </c>
      <c r="I131" s="47" t="n">
        <f aca="false">IF(H131="",$B$3-MIN(d_Date),$B$3-H131)</f>
        <v>53</v>
      </c>
      <c r="J131" s="47" t="n">
        <f aca="false">IF(I131&lt;=$B$6,4,IF(I131&lt;=$C$6,3,IF(I131&lt;=$D$6,2,1)))</f>
        <v>2</v>
      </c>
      <c r="K131" s="47" t="n">
        <f aca="false">IF(E131&gt;=$D$7,4,IF(E131&gt;=$C$7,3,IF(E131&gt;=$B$7,2,1)))</f>
        <v>3</v>
      </c>
      <c r="L131" s="47" t="n">
        <f aca="false">IF(F131&gt;=$D$8,4,IF(F131&gt;=$C$8,3,IF(F131&gt;=$B$8,2,1)))</f>
        <v>4</v>
      </c>
      <c r="M131" s="53" t="n">
        <f aca="false">J131+K131+L131</f>
        <v>9</v>
      </c>
      <c r="N131" s="41" t="str">
        <f aca="false">IF(M131&gt;=10,"أبطال",IF(M131&gt;=8,"أوفياء",IF(M131&gt;=6,"واعدون",IF(M131&gt;=4,"معرضون للفقد","نائمون"))))</f>
        <v>أوفياء</v>
      </c>
      <c r="O131" s="47" t="n">
        <f aca="false">RANK(F131,$F$21:$F$220)+COUNTIF($F$21:F131,F131)-1</f>
        <v>29</v>
      </c>
    </row>
    <row r="132" customFormat="false" ht="15" hidden="false" customHeight="false" outlineLevel="0" collapsed="false">
      <c r="A132" s="41" t="s">
        <v>343</v>
      </c>
      <c r="B132" s="41" t="str">
        <f aca="false">INDEX(c_Name,MATCH($A132,c_ID,0))</f>
        <v>سلمان الحسيني</v>
      </c>
      <c r="C132" s="41" t="str">
        <f aca="false">INDEX(c_Seg,MATCH($A132,c_ID,0))</f>
        <v>شركات صغيرة</v>
      </c>
      <c r="D132" s="41" t="str">
        <f aca="false">INDEX(c_Region,MATCH($A132,c_ID,0))</f>
        <v>الجنوبية</v>
      </c>
      <c r="E132" s="47" t="n">
        <f aca="false">COUNTIFS(d_Cust,$A132,d_Status,"مكتمل")</f>
        <v>1</v>
      </c>
      <c r="F132" s="42" t="n">
        <f aca="false">SUMIFS(d_Rev,d_Cust,$A132)</f>
        <v>1620</v>
      </c>
      <c r="G132" s="42" t="n">
        <f aca="false">SUMIFS(d_Profit,d_Cust,$A132)</f>
        <v>630</v>
      </c>
      <c r="H132" s="52" t="n">
        <f aca="false">IF(COUNTIF(d_Cust,$A132)=0,"",SUMPRODUCT(MAX((d_Cust=$A132)*d_Date)))</f>
        <v>45969</v>
      </c>
      <c r="I132" s="47" t="n">
        <f aca="false">IF(H132="",$B$3-MIN(d_Date),$B$3-H132)</f>
        <v>327</v>
      </c>
      <c r="J132" s="47" t="n">
        <f aca="false">IF(I132&lt;=$B$6,4,IF(I132&lt;=$C$6,3,IF(I132&lt;=$D$6,2,1)))</f>
        <v>1</v>
      </c>
      <c r="K132" s="47" t="n">
        <f aca="false">IF(E132&gt;=$D$7,4,IF(E132&gt;=$C$7,3,IF(E132&gt;=$B$7,2,1)))</f>
        <v>1</v>
      </c>
      <c r="L132" s="47" t="n">
        <f aca="false">IF(F132&gt;=$D$8,4,IF(F132&gt;=$C$8,3,IF(F132&gt;=$B$8,2,1)))</f>
        <v>1</v>
      </c>
      <c r="M132" s="53" t="n">
        <f aca="false">J132+K132+L132</f>
        <v>3</v>
      </c>
      <c r="N132" s="41" t="str">
        <f aca="false">IF(M132&gt;=10,"أبطال",IF(M132&gt;=8,"أوفياء",IF(M132&gt;=6,"واعدون",IF(M132&gt;=4,"معرضون للفقد","نائمون"))))</f>
        <v>نائمون</v>
      </c>
      <c r="O132" s="47" t="n">
        <f aca="false">RANK(F132,$F$21:$F$220)+COUNTIF($F$21:F132,F132)-1</f>
        <v>168</v>
      </c>
    </row>
    <row r="133" customFormat="false" ht="15" hidden="false" customHeight="false" outlineLevel="0" collapsed="false">
      <c r="A133" s="41" t="s">
        <v>344</v>
      </c>
      <c r="B133" s="41" t="str">
        <f aca="false">INDEX(c_Name,MATCH($A133,c_ID,0))</f>
        <v>خالد القحطاني</v>
      </c>
      <c r="C133" s="41" t="str">
        <f aca="false">INDEX(c_Seg,MATCH($A133,c_ID,0))</f>
        <v>أفراد</v>
      </c>
      <c r="D133" s="41" t="str">
        <f aca="false">INDEX(c_Region,MATCH($A133,c_ID,0))</f>
        <v>الغربية</v>
      </c>
      <c r="E133" s="47" t="n">
        <f aca="false">COUNTIFS(d_Cust,$A133,d_Status,"مكتمل")</f>
        <v>6</v>
      </c>
      <c r="F133" s="42" t="n">
        <f aca="false">SUMIFS(d_Rev,d_Cust,$A133)</f>
        <v>3237</v>
      </c>
      <c r="G133" s="42" t="n">
        <f aca="false">SUMIFS(d_Profit,d_Cust,$A133)</f>
        <v>1227</v>
      </c>
      <c r="H133" s="52" t="n">
        <f aca="false">IF(COUNTIF(d_Cust,$A133)=0,"",SUMPRODUCT(MAX((d_Cust=$A133)*d_Date)))</f>
        <v>46161</v>
      </c>
      <c r="I133" s="47" t="n">
        <f aca="false">IF(H133="",$B$3-MIN(d_Date),$B$3-H133)</f>
        <v>135</v>
      </c>
      <c r="J133" s="47" t="n">
        <f aca="false">IF(I133&lt;=$B$6,4,IF(I133&lt;=$C$6,3,IF(I133&lt;=$D$6,2,1)))</f>
        <v>1</v>
      </c>
      <c r="K133" s="47" t="n">
        <f aca="false">IF(E133&gt;=$D$7,4,IF(E133&gt;=$C$7,3,IF(E133&gt;=$B$7,2,1)))</f>
        <v>3</v>
      </c>
      <c r="L133" s="47" t="n">
        <f aca="false">IF(F133&gt;=$D$8,4,IF(F133&gt;=$C$8,3,IF(F133&gt;=$B$8,2,1)))</f>
        <v>2</v>
      </c>
      <c r="M133" s="53" t="n">
        <f aca="false">J133+K133+L133</f>
        <v>6</v>
      </c>
      <c r="N133" s="41" t="str">
        <f aca="false">IF(M133&gt;=10,"أبطال",IF(M133&gt;=8,"أوفياء",IF(M133&gt;=6,"واعدون",IF(M133&gt;=4,"معرضون للفقد","نائمون"))))</f>
        <v>واعدون</v>
      </c>
      <c r="O133" s="47" t="n">
        <f aca="false">RANK(F133,$F$21:$F$220)+COUNTIF($F$21:F133,F133)-1</f>
        <v>133</v>
      </c>
    </row>
    <row r="134" customFormat="false" ht="15" hidden="false" customHeight="false" outlineLevel="0" collapsed="false">
      <c r="A134" s="41" t="s">
        <v>345</v>
      </c>
      <c r="B134" s="41" t="str">
        <f aca="false">INDEX(c_Name,MATCH($A134,c_ID,0))</f>
        <v>عبدالله العنزي</v>
      </c>
      <c r="C134" s="41" t="str">
        <f aca="false">INDEX(c_Seg,MATCH($A134,c_ID,0))</f>
        <v>أفراد</v>
      </c>
      <c r="D134" s="41" t="str">
        <f aca="false">INDEX(c_Region,MATCH($A134,c_ID,0))</f>
        <v>الغربية</v>
      </c>
      <c r="E134" s="47" t="n">
        <f aca="false">COUNTIFS(d_Cust,$A134,d_Status,"مكتمل")</f>
        <v>16</v>
      </c>
      <c r="F134" s="42" t="n">
        <f aca="false">SUMIFS(d_Rev,d_Cust,$A134)</f>
        <v>15172</v>
      </c>
      <c r="G134" s="42" t="n">
        <f aca="false">SUMIFS(d_Profit,d_Cust,$A134)</f>
        <v>5262</v>
      </c>
      <c r="H134" s="52" t="n">
        <f aca="false">IF(COUNTIF(d_Cust,$A134)=0,"",SUMPRODUCT(MAX((d_Cust=$A134)*d_Date)))</f>
        <v>46277</v>
      </c>
      <c r="I134" s="47" t="n">
        <f aca="false">IF(H134="",$B$3-MIN(d_Date),$B$3-H134)</f>
        <v>19</v>
      </c>
      <c r="J134" s="47" t="n">
        <f aca="false">IF(I134&lt;=$B$6,4,IF(I134&lt;=$C$6,3,IF(I134&lt;=$D$6,2,1)))</f>
        <v>3</v>
      </c>
      <c r="K134" s="47" t="n">
        <f aca="false">IF(E134&gt;=$D$7,4,IF(E134&gt;=$C$7,3,IF(E134&gt;=$B$7,2,1)))</f>
        <v>4</v>
      </c>
      <c r="L134" s="47" t="n">
        <f aca="false">IF(F134&gt;=$D$8,4,IF(F134&gt;=$C$8,3,IF(F134&gt;=$B$8,2,1)))</f>
        <v>4</v>
      </c>
      <c r="M134" s="53" t="n">
        <f aca="false">J134+K134+L134</f>
        <v>11</v>
      </c>
      <c r="N134" s="41" t="str">
        <f aca="false">IF(M134&gt;=10,"أبطال",IF(M134&gt;=8,"أوفياء",IF(M134&gt;=6,"واعدون",IF(M134&gt;=4,"معرضون للفقد","نائمون"))))</f>
        <v>أبطال</v>
      </c>
      <c r="O134" s="47" t="n">
        <f aca="false">RANK(F134,$F$21:$F$220)+COUNTIF($F$21:F134,F134)-1</f>
        <v>38</v>
      </c>
    </row>
    <row r="135" customFormat="false" ht="15" hidden="false" customHeight="false" outlineLevel="0" collapsed="false">
      <c r="A135" s="41" t="s">
        <v>346</v>
      </c>
      <c r="B135" s="41" t="str">
        <f aca="false">INDEX(c_Name,MATCH($A135,c_ID,0))</f>
        <v>لمى التميمي</v>
      </c>
      <c r="C135" s="41" t="str">
        <f aca="false">INDEX(c_Seg,MATCH($A135,c_ID,0))</f>
        <v>أفراد</v>
      </c>
      <c r="D135" s="41" t="str">
        <f aca="false">INDEX(c_Region,MATCH($A135,c_ID,0))</f>
        <v>الشرقية</v>
      </c>
      <c r="E135" s="47" t="n">
        <f aca="false">COUNTIFS(d_Cust,$A135,d_Status,"مكتمل")</f>
        <v>4</v>
      </c>
      <c r="F135" s="42" t="n">
        <f aca="false">SUMIFS(d_Rev,d_Cust,$A135)</f>
        <v>3274</v>
      </c>
      <c r="G135" s="42" t="n">
        <f aca="false">SUMIFS(d_Profit,d_Cust,$A135)</f>
        <v>1414</v>
      </c>
      <c r="H135" s="52" t="n">
        <f aca="false">IF(COUNTIF(d_Cust,$A135)=0,"",SUMPRODUCT(MAX((d_Cust=$A135)*d_Date)))</f>
        <v>46128</v>
      </c>
      <c r="I135" s="47" t="n">
        <f aca="false">IF(H135="",$B$3-MIN(d_Date),$B$3-H135)</f>
        <v>168</v>
      </c>
      <c r="J135" s="47" t="n">
        <f aca="false">IF(I135&lt;=$B$6,4,IF(I135&lt;=$C$6,3,IF(I135&lt;=$D$6,2,1)))</f>
        <v>1</v>
      </c>
      <c r="K135" s="47" t="n">
        <f aca="false">IF(E135&gt;=$D$7,4,IF(E135&gt;=$C$7,3,IF(E135&gt;=$B$7,2,1)))</f>
        <v>2</v>
      </c>
      <c r="L135" s="47" t="n">
        <f aca="false">IF(F135&gt;=$D$8,4,IF(F135&gt;=$C$8,3,IF(F135&gt;=$B$8,2,1)))</f>
        <v>2</v>
      </c>
      <c r="M135" s="53" t="n">
        <f aca="false">J135+K135+L135</f>
        <v>5</v>
      </c>
      <c r="N135" s="41" t="str">
        <f aca="false">IF(M135&gt;=10,"أبطال",IF(M135&gt;=8,"أوفياء",IF(M135&gt;=6,"واعدون",IF(M135&gt;=4,"معرضون للفقد","نائمون"))))</f>
        <v>معرضون للفقد</v>
      </c>
      <c r="O135" s="47" t="n">
        <f aca="false">RANK(F135,$F$21:$F$220)+COUNTIF($F$21:F135,F135)-1</f>
        <v>132</v>
      </c>
    </row>
    <row r="136" customFormat="false" ht="15" hidden="false" customHeight="false" outlineLevel="0" collapsed="false">
      <c r="A136" s="41" t="s">
        <v>347</v>
      </c>
      <c r="B136" s="41" t="str">
        <f aca="false">INDEX(c_Name,MATCH($A136,c_ID,0))</f>
        <v>محمد الشمري</v>
      </c>
      <c r="C136" s="41" t="str">
        <f aca="false">INDEX(c_Seg,MATCH($A136,c_ID,0))</f>
        <v>أفراد</v>
      </c>
      <c r="D136" s="41" t="str">
        <f aca="false">INDEX(c_Region,MATCH($A136,c_ID,0))</f>
        <v>الغربية</v>
      </c>
      <c r="E136" s="47" t="n">
        <f aca="false">COUNTIFS(d_Cust,$A136,d_Status,"مكتمل")</f>
        <v>8</v>
      </c>
      <c r="F136" s="42" t="n">
        <f aca="false">SUMIFS(d_Rev,d_Cust,$A136)</f>
        <v>10924</v>
      </c>
      <c r="G136" s="42" t="n">
        <f aca="false">SUMIFS(d_Profit,d_Cust,$A136)</f>
        <v>3284</v>
      </c>
      <c r="H136" s="52" t="n">
        <f aca="false">IF(COUNTIF(d_Cust,$A136)=0,"",SUMPRODUCT(MAX((d_Cust=$A136)*d_Date)))</f>
        <v>46269</v>
      </c>
      <c r="I136" s="47" t="n">
        <f aca="false">IF(H136="",$B$3-MIN(d_Date),$B$3-H136)</f>
        <v>27</v>
      </c>
      <c r="J136" s="47" t="n">
        <f aca="false">IF(I136&lt;=$B$6,4,IF(I136&lt;=$C$6,3,IF(I136&lt;=$D$6,2,1)))</f>
        <v>3</v>
      </c>
      <c r="K136" s="47" t="n">
        <f aca="false">IF(E136&gt;=$D$7,4,IF(E136&gt;=$C$7,3,IF(E136&gt;=$B$7,2,1)))</f>
        <v>3</v>
      </c>
      <c r="L136" s="47" t="n">
        <f aca="false">IF(F136&gt;=$D$8,4,IF(F136&gt;=$C$8,3,IF(F136&gt;=$B$8,2,1)))</f>
        <v>3</v>
      </c>
      <c r="M136" s="53" t="n">
        <f aca="false">J136+K136+L136</f>
        <v>9</v>
      </c>
      <c r="N136" s="41" t="str">
        <f aca="false">IF(M136&gt;=10,"أبطال",IF(M136&gt;=8,"أوفياء",IF(M136&gt;=6,"واعدون",IF(M136&gt;=4,"معرضون للفقد","نائمون"))))</f>
        <v>أوفياء</v>
      </c>
      <c r="O136" s="47" t="n">
        <f aca="false">RANK(F136,$F$21:$F$220)+COUNTIF($F$21:F136,F136)-1</f>
        <v>61</v>
      </c>
    </row>
    <row r="137" customFormat="false" ht="15" hidden="false" customHeight="false" outlineLevel="0" collapsed="false">
      <c r="A137" s="41" t="s">
        <v>348</v>
      </c>
      <c r="B137" s="41" t="str">
        <f aca="false">INDEX(c_Name,MATCH($A137,c_ID,0))</f>
        <v>عبير القحطاني</v>
      </c>
      <c r="C137" s="41" t="str">
        <f aca="false">INDEX(c_Seg,MATCH($A137,c_ID,0))</f>
        <v>شركات صغيرة</v>
      </c>
      <c r="D137" s="41" t="str">
        <f aca="false">INDEX(c_Region,MATCH($A137,c_ID,0))</f>
        <v>الغربية</v>
      </c>
      <c r="E137" s="47" t="n">
        <f aca="false">COUNTIFS(d_Cust,$A137,d_Status,"مكتمل")</f>
        <v>11</v>
      </c>
      <c r="F137" s="42" t="n">
        <f aca="false">SUMIFS(d_Rev,d_Cust,$A137)</f>
        <v>37584</v>
      </c>
      <c r="G137" s="42" t="n">
        <f aca="false">SUMIFS(d_Profit,d_Cust,$A137)</f>
        <v>10074</v>
      </c>
      <c r="H137" s="52" t="n">
        <f aca="false">IF(COUNTIF(d_Cust,$A137)=0,"",SUMPRODUCT(MAX((d_Cust=$A137)*d_Date)))</f>
        <v>46269</v>
      </c>
      <c r="I137" s="47" t="n">
        <f aca="false">IF(H137="",$B$3-MIN(d_Date),$B$3-H137)</f>
        <v>27</v>
      </c>
      <c r="J137" s="47" t="n">
        <f aca="false">IF(I137&lt;=$B$6,4,IF(I137&lt;=$C$6,3,IF(I137&lt;=$D$6,2,1)))</f>
        <v>3</v>
      </c>
      <c r="K137" s="47" t="n">
        <f aca="false">IF(E137&gt;=$D$7,4,IF(E137&gt;=$C$7,3,IF(E137&gt;=$B$7,2,1)))</f>
        <v>4</v>
      </c>
      <c r="L137" s="47" t="n">
        <f aca="false">IF(F137&gt;=$D$8,4,IF(F137&gt;=$C$8,3,IF(F137&gt;=$B$8,2,1)))</f>
        <v>4</v>
      </c>
      <c r="M137" s="53" t="n">
        <f aca="false">J137+K137+L137</f>
        <v>11</v>
      </c>
      <c r="N137" s="41" t="str">
        <f aca="false">IF(M137&gt;=10,"أبطال",IF(M137&gt;=8,"أوفياء",IF(M137&gt;=6,"واعدون",IF(M137&gt;=4,"معرضون للفقد","نائمون"))))</f>
        <v>أبطال</v>
      </c>
      <c r="O137" s="47" t="n">
        <f aca="false">RANK(F137,$F$21:$F$220)+COUNTIF($F$21:F137,F137)-1</f>
        <v>9</v>
      </c>
    </row>
    <row r="138" customFormat="false" ht="15" hidden="false" customHeight="false" outlineLevel="0" collapsed="false">
      <c r="A138" s="41" t="s">
        <v>349</v>
      </c>
      <c r="B138" s="41" t="str">
        <f aca="false">INDEX(c_Name,MATCH($A138,c_ID,0))</f>
        <v>خالد الزهراني</v>
      </c>
      <c r="C138" s="41" t="str">
        <f aca="false">INDEX(c_Seg,MATCH($A138,c_ID,0))</f>
        <v>أفراد</v>
      </c>
      <c r="D138" s="41" t="str">
        <f aca="false">INDEX(c_Region,MATCH($A138,c_ID,0))</f>
        <v>الوسطى</v>
      </c>
      <c r="E138" s="47" t="n">
        <f aca="false">COUNTIFS(d_Cust,$A138,d_Status,"مكتمل")</f>
        <v>12</v>
      </c>
      <c r="F138" s="42" t="n">
        <f aca="false">SUMIFS(d_Rev,d_Cust,$A138)</f>
        <v>14491</v>
      </c>
      <c r="G138" s="42" t="n">
        <f aca="false">SUMIFS(d_Profit,d_Cust,$A138)</f>
        <v>5241</v>
      </c>
      <c r="H138" s="52" t="n">
        <f aca="false">IF(COUNTIF(d_Cust,$A138)=0,"",SUMPRODUCT(MAX((d_Cust=$A138)*d_Date)))</f>
        <v>46285</v>
      </c>
      <c r="I138" s="47" t="n">
        <f aca="false">IF(H138="",$B$3-MIN(d_Date),$B$3-H138)</f>
        <v>11</v>
      </c>
      <c r="J138" s="47" t="n">
        <f aca="false">IF(I138&lt;=$B$6,4,IF(I138&lt;=$C$6,3,IF(I138&lt;=$D$6,2,1)))</f>
        <v>4</v>
      </c>
      <c r="K138" s="47" t="n">
        <f aca="false">IF(E138&gt;=$D$7,4,IF(E138&gt;=$C$7,3,IF(E138&gt;=$B$7,2,1)))</f>
        <v>4</v>
      </c>
      <c r="L138" s="47" t="n">
        <f aca="false">IF(F138&gt;=$D$8,4,IF(F138&gt;=$C$8,3,IF(F138&gt;=$B$8,2,1)))</f>
        <v>4</v>
      </c>
      <c r="M138" s="53" t="n">
        <f aca="false">J138+K138+L138</f>
        <v>12</v>
      </c>
      <c r="N138" s="41" t="str">
        <f aca="false">IF(M138&gt;=10,"أبطال",IF(M138&gt;=8,"أوفياء",IF(M138&gt;=6,"واعدون",IF(M138&gt;=4,"معرضون للفقد","نائمون"))))</f>
        <v>أبطال</v>
      </c>
      <c r="O138" s="47" t="n">
        <f aca="false">RANK(F138,$F$21:$F$220)+COUNTIF($F$21:F138,F138)-1</f>
        <v>42</v>
      </c>
    </row>
    <row r="139" customFormat="false" ht="15" hidden="false" customHeight="false" outlineLevel="0" collapsed="false">
      <c r="A139" s="41" t="s">
        <v>350</v>
      </c>
      <c r="B139" s="41" t="str">
        <f aca="false">INDEX(c_Name,MATCH($A139,c_ID,0))</f>
        <v>نورة التميمي</v>
      </c>
      <c r="C139" s="41" t="str">
        <f aca="false">INDEX(c_Seg,MATCH($A139,c_ID,0))</f>
        <v>شركات صغيرة</v>
      </c>
      <c r="D139" s="41" t="str">
        <f aca="false">INDEX(c_Region,MATCH($A139,c_ID,0))</f>
        <v>الغربية</v>
      </c>
      <c r="E139" s="47" t="n">
        <f aca="false">COUNTIFS(d_Cust,$A139,d_Status,"مكتمل")</f>
        <v>5</v>
      </c>
      <c r="F139" s="42" t="n">
        <f aca="false">SUMIFS(d_Rev,d_Cust,$A139)</f>
        <v>7317</v>
      </c>
      <c r="G139" s="42" t="n">
        <f aca="false">SUMIFS(d_Profit,d_Cust,$A139)</f>
        <v>1462</v>
      </c>
      <c r="H139" s="52" t="n">
        <f aca="false">IF(COUNTIF(d_Cust,$A139)=0,"",SUMPRODUCT(MAX((d_Cust=$A139)*d_Date)))</f>
        <v>46111</v>
      </c>
      <c r="I139" s="47" t="n">
        <f aca="false">IF(H139="",$B$3-MIN(d_Date),$B$3-H139)</f>
        <v>185</v>
      </c>
      <c r="J139" s="47" t="n">
        <f aca="false">IF(I139&lt;=$B$6,4,IF(I139&lt;=$C$6,3,IF(I139&lt;=$D$6,2,1)))</f>
        <v>1</v>
      </c>
      <c r="K139" s="47" t="n">
        <f aca="false">IF(E139&gt;=$D$7,4,IF(E139&gt;=$C$7,3,IF(E139&gt;=$B$7,2,1)))</f>
        <v>3</v>
      </c>
      <c r="L139" s="47" t="n">
        <f aca="false">IF(F139&gt;=$D$8,4,IF(F139&gt;=$C$8,3,IF(F139&gt;=$B$8,2,1)))</f>
        <v>3</v>
      </c>
      <c r="M139" s="53" t="n">
        <f aca="false">J139+K139+L139</f>
        <v>7</v>
      </c>
      <c r="N139" s="41" t="str">
        <f aca="false">IF(M139&gt;=10,"أبطال",IF(M139&gt;=8,"أوفياء",IF(M139&gt;=6,"واعدون",IF(M139&gt;=4,"معرضون للفقد","نائمون"))))</f>
        <v>واعدون</v>
      </c>
      <c r="O139" s="47" t="n">
        <f aca="false">RANK(F139,$F$21:$F$220)+COUNTIF($F$21:F139,F139)-1</f>
        <v>87</v>
      </c>
    </row>
    <row r="140" customFormat="false" ht="15" hidden="false" customHeight="false" outlineLevel="0" collapsed="false">
      <c r="A140" s="41" t="s">
        <v>351</v>
      </c>
      <c r="B140" s="41" t="str">
        <f aca="false">INDEX(c_Name,MATCH($A140,c_ID,0))</f>
        <v>منى البلوي</v>
      </c>
      <c r="C140" s="41" t="str">
        <f aca="false">INDEX(c_Seg,MATCH($A140,c_ID,0))</f>
        <v>أفراد</v>
      </c>
      <c r="D140" s="41" t="str">
        <f aca="false">INDEX(c_Region,MATCH($A140,c_ID,0))</f>
        <v>الوسطى</v>
      </c>
      <c r="E140" s="47" t="n">
        <f aca="false">COUNTIFS(d_Cust,$A140,d_Status,"مكتمل")</f>
        <v>3</v>
      </c>
      <c r="F140" s="42" t="n">
        <f aca="false">SUMIFS(d_Rev,d_Cust,$A140)</f>
        <v>3318</v>
      </c>
      <c r="G140" s="42" t="n">
        <f aca="false">SUMIFS(d_Profit,d_Cust,$A140)</f>
        <v>1338</v>
      </c>
      <c r="H140" s="52" t="n">
        <f aca="false">IF(COUNTIF(d_Cust,$A140)=0,"",SUMPRODUCT(MAX((d_Cust=$A140)*d_Date)))</f>
        <v>46184</v>
      </c>
      <c r="I140" s="47" t="n">
        <f aca="false">IF(H140="",$B$3-MIN(d_Date),$B$3-H140)</f>
        <v>112</v>
      </c>
      <c r="J140" s="47" t="n">
        <f aca="false">IF(I140&lt;=$B$6,4,IF(I140&lt;=$C$6,3,IF(I140&lt;=$D$6,2,1)))</f>
        <v>2</v>
      </c>
      <c r="K140" s="47" t="n">
        <f aca="false">IF(E140&gt;=$D$7,4,IF(E140&gt;=$C$7,3,IF(E140&gt;=$B$7,2,1)))</f>
        <v>2</v>
      </c>
      <c r="L140" s="47" t="n">
        <f aca="false">IF(F140&gt;=$D$8,4,IF(F140&gt;=$C$8,3,IF(F140&gt;=$B$8,2,1)))</f>
        <v>2</v>
      </c>
      <c r="M140" s="53" t="n">
        <f aca="false">J140+K140+L140</f>
        <v>6</v>
      </c>
      <c r="N140" s="41" t="str">
        <f aca="false">IF(M140&gt;=10,"أبطال",IF(M140&gt;=8,"أوفياء",IF(M140&gt;=6,"واعدون",IF(M140&gt;=4,"معرضون للفقد","نائمون"))))</f>
        <v>واعدون</v>
      </c>
      <c r="O140" s="47" t="n">
        <f aca="false">RANK(F140,$F$21:$F$220)+COUNTIF($F$21:F140,F140)-1</f>
        <v>131</v>
      </c>
    </row>
    <row r="141" customFormat="false" ht="15" hidden="false" customHeight="false" outlineLevel="0" collapsed="false">
      <c r="A141" s="41" t="s">
        <v>352</v>
      </c>
      <c r="B141" s="41" t="str">
        <f aca="false">INDEX(c_Name,MATCH($A141,c_ID,0))</f>
        <v>منى الزهراني</v>
      </c>
      <c r="C141" s="41" t="str">
        <f aca="false">INDEX(c_Seg,MATCH($A141,c_ID,0))</f>
        <v>أفراد</v>
      </c>
      <c r="D141" s="41" t="str">
        <f aca="false">INDEX(c_Region,MATCH($A141,c_ID,0))</f>
        <v>الشرقية</v>
      </c>
      <c r="E141" s="47" t="n">
        <f aca="false">COUNTIFS(d_Cust,$A141,d_Status,"مكتمل")</f>
        <v>1</v>
      </c>
      <c r="F141" s="42" t="n">
        <f aca="false">SUMIFS(d_Rev,d_Cust,$A141)</f>
        <v>570</v>
      </c>
      <c r="G141" s="42" t="n">
        <f aca="false">SUMIFS(d_Profit,d_Cust,$A141)</f>
        <v>240</v>
      </c>
      <c r="H141" s="52" t="n">
        <f aca="false">IF(COUNTIF(d_Cust,$A141)=0,"",SUMPRODUCT(MAX((d_Cust=$A141)*d_Date)))</f>
        <v>46089</v>
      </c>
      <c r="I141" s="47" t="n">
        <f aca="false">IF(H141="",$B$3-MIN(d_Date),$B$3-H141)</f>
        <v>207</v>
      </c>
      <c r="J141" s="47" t="n">
        <f aca="false">IF(I141&lt;=$B$6,4,IF(I141&lt;=$C$6,3,IF(I141&lt;=$D$6,2,1)))</f>
        <v>1</v>
      </c>
      <c r="K141" s="47" t="n">
        <f aca="false">IF(E141&gt;=$D$7,4,IF(E141&gt;=$C$7,3,IF(E141&gt;=$B$7,2,1)))</f>
        <v>1</v>
      </c>
      <c r="L141" s="47" t="n">
        <f aca="false">IF(F141&gt;=$D$8,4,IF(F141&gt;=$C$8,3,IF(F141&gt;=$B$8,2,1)))</f>
        <v>1</v>
      </c>
      <c r="M141" s="53" t="n">
        <f aca="false">J141+K141+L141</f>
        <v>3</v>
      </c>
      <c r="N141" s="41" t="str">
        <f aca="false">IF(M141&gt;=10,"أبطال",IF(M141&gt;=8,"أوفياء",IF(M141&gt;=6,"واعدون",IF(M141&gt;=4,"معرضون للفقد","نائمون"))))</f>
        <v>نائمون</v>
      </c>
      <c r="O141" s="47" t="n">
        <f aca="false">RANK(F141,$F$21:$F$220)+COUNTIF($F$21:F141,F141)-1</f>
        <v>182</v>
      </c>
    </row>
    <row r="142" customFormat="false" ht="15" hidden="false" customHeight="false" outlineLevel="0" collapsed="false">
      <c r="A142" s="41" t="s">
        <v>353</v>
      </c>
      <c r="B142" s="41" t="str">
        <f aca="false">INDEX(c_Name,MATCH($A142,c_ID,0))</f>
        <v>أحمد الحسيني</v>
      </c>
      <c r="C142" s="41" t="str">
        <f aca="false">INDEX(c_Seg,MATCH($A142,c_ID,0))</f>
        <v>أفراد</v>
      </c>
      <c r="D142" s="41" t="str">
        <f aca="false">INDEX(c_Region,MATCH($A142,c_ID,0))</f>
        <v>الشرقية</v>
      </c>
      <c r="E142" s="47" t="n">
        <f aca="false">COUNTIFS(d_Cust,$A142,d_Status,"مكتمل")</f>
        <v>1</v>
      </c>
      <c r="F142" s="42" t="n">
        <f aca="false">SUMIFS(d_Rev,d_Cust,$A142)</f>
        <v>266</v>
      </c>
      <c r="G142" s="42" t="n">
        <f aca="false">SUMIFS(d_Profit,d_Cust,$A142)</f>
        <v>76</v>
      </c>
      <c r="H142" s="52" t="n">
        <f aca="false">IF(COUNTIF(d_Cust,$A142)=0,"",SUMPRODUCT(MAX((d_Cust=$A142)*d_Date)))</f>
        <v>46167</v>
      </c>
      <c r="I142" s="47" t="n">
        <f aca="false">IF(H142="",$B$3-MIN(d_Date),$B$3-H142)</f>
        <v>129</v>
      </c>
      <c r="J142" s="47" t="n">
        <f aca="false">IF(I142&lt;=$B$6,4,IF(I142&lt;=$C$6,3,IF(I142&lt;=$D$6,2,1)))</f>
        <v>1</v>
      </c>
      <c r="K142" s="47" t="n">
        <f aca="false">IF(E142&gt;=$D$7,4,IF(E142&gt;=$C$7,3,IF(E142&gt;=$B$7,2,1)))</f>
        <v>1</v>
      </c>
      <c r="L142" s="47" t="n">
        <f aca="false">IF(F142&gt;=$D$8,4,IF(F142&gt;=$C$8,3,IF(F142&gt;=$B$8,2,1)))</f>
        <v>1</v>
      </c>
      <c r="M142" s="53" t="n">
        <f aca="false">J142+K142+L142</f>
        <v>3</v>
      </c>
      <c r="N142" s="41" t="str">
        <f aca="false">IF(M142&gt;=10,"أبطال",IF(M142&gt;=8,"أوفياء",IF(M142&gt;=6,"واعدون",IF(M142&gt;=4,"معرضون للفقد","نائمون"))))</f>
        <v>نائمون</v>
      </c>
      <c r="O142" s="47" t="n">
        <f aca="false">RANK(F142,$F$21:$F$220)+COUNTIF($F$21:F142,F142)-1</f>
        <v>187</v>
      </c>
    </row>
    <row r="143" customFormat="false" ht="15" hidden="false" customHeight="false" outlineLevel="0" collapsed="false">
      <c r="A143" s="41" t="s">
        <v>354</v>
      </c>
      <c r="B143" s="41" t="str">
        <f aca="false">INDEX(c_Name,MATCH($A143,c_ID,0))</f>
        <v>عبير الشمري</v>
      </c>
      <c r="C143" s="41" t="str">
        <f aca="false">INDEX(c_Seg,MATCH($A143,c_ID,0))</f>
        <v>أفراد</v>
      </c>
      <c r="D143" s="41" t="str">
        <f aca="false">INDEX(c_Region,MATCH($A143,c_ID,0))</f>
        <v>الجنوبية</v>
      </c>
      <c r="E143" s="47" t="n">
        <f aca="false">COUNTIFS(d_Cust,$A143,d_Status,"مكتمل")</f>
        <v>3</v>
      </c>
      <c r="F143" s="42" t="n">
        <f aca="false">SUMIFS(d_Rev,d_Cust,$A143)</f>
        <v>1845.5</v>
      </c>
      <c r="G143" s="42" t="n">
        <f aca="false">SUMIFS(d_Profit,d_Cust,$A143)</f>
        <v>735.5</v>
      </c>
      <c r="H143" s="52" t="n">
        <f aca="false">IF(COUNTIF(d_Cust,$A143)=0,"",SUMPRODUCT(MAX((d_Cust=$A143)*d_Date)))</f>
        <v>46289</v>
      </c>
      <c r="I143" s="47" t="n">
        <f aca="false">IF(H143="",$B$3-MIN(d_Date),$B$3-H143)</f>
        <v>7</v>
      </c>
      <c r="J143" s="47" t="n">
        <f aca="false">IF(I143&lt;=$B$6,4,IF(I143&lt;=$C$6,3,IF(I143&lt;=$D$6,2,1)))</f>
        <v>4</v>
      </c>
      <c r="K143" s="47" t="n">
        <f aca="false">IF(E143&gt;=$D$7,4,IF(E143&gt;=$C$7,3,IF(E143&gt;=$B$7,2,1)))</f>
        <v>2</v>
      </c>
      <c r="L143" s="47" t="n">
        <f aca="false">IF(F143&gt;=$D$8,4,IF(F143&gt;=$C$8,3,IF(F143&gt;=$B$8,2,1)))</f>
        <v>1</v>
      </c>
      <c r="M143" s="53" t="n">
        <f aca="false">J143+K143+L143</f>
        <v>7</v>
      </c>
      <c r="N143" s="41" t="str">
        <f aca="false">IF(M143&gt;=10,"أبطال",IF(M143&gt;=8,"أوفياء",IF(M143&gt;=6,"واعدون",IF(M143&gt;=4,"معرضون للفقد","نائمون"))))</f>
        <v>واعدون</v>
      </c>
      <c r="O143" s="47" t="n">
        <f aca="false">RANK(F143,$F$21:$F$220)+COUNTIF($F$21:F143,F143)-1</f>
        <v>162</v>
      </c>
    </row>
    <row r="144" customFormat="false" ht="15" hidden="false" customHeight="false" outlineLevel="0" collapsed="false">
      <c r="A144" s="41" t="s">
        <v>355</v>
      </c>
      <c r="B144" s="41" t="str">
        <f aca="false">INDEX(c_Name,MATCH($A144,c_ID,0))</f>
        <v>جود القحطاني</v>
      </c>
      <c r="C144" s="41" t="str">
        <f aca="false">INDEX(c_Seg,MATCH($A144,c_ID,0))</f>
        <v>شركات صغيرة</v>
      </c>
      <c r="D144" s="41" t="str">
        <f aca="false">INDEX(c_Region,MATCH($A144,c_ID,0))</f>
        <v>الجنوبية</v>
      </c>
      <c r="E144" s="47" t="n">
        <f aca="false">COUNTIFS(d_Cust,$A144,d_Status,"مكتمل")</f>
        <v>12</v>
      </c>
      <c r="F144" s="42" t="n">
        <f aca="false">SUMIFS(d_Rev,d_Cust,$A144)</f>
        <v>19312</v>
      </c>
      <c r="G144" s="42" t="n">
        <f aca="false">SUMIFS(d_Profit,d_Cust,$A144)</f>
        <v>6467</v>
      </c>
      <c r="H144" s="52" t="n">
        <f aca="false">IF(COUNTIF(d_Cust,$A144)=0,"",SUMPRODUCT(MAX((d_Cust=$A144)*d_Date)))</f>
        <v>46291</v>
      </c>
      <c r="I144" s="47" t="n">
        <f aca="false">IF(H144="",$B$3-MIN(d_Date),$B$3-H144)</f>
        <v>5</v>
      </c>
      <c r="J144" s="47" t="n">
        <f aca="false">IF(I144&lt;=$B$6,4,IF(I144&lt;=$C$6,3,IF(I144&lt;=$D$6,2,1)))</f>
        <v>4</v>
      </c>
      <c r="K144" s="47" t="n">
        <f aca="false">IF(E144&gt;=$D$7,4,IF(E144&gt;=$C$7,3,IF(E144&gt;=$B$7,2,1)))</f>
        <v>4</v>
      </c>
      <c r="L144" s="47" t="n">
        <f aca="false">IF(F144&gt;=$D$8,4,IF(F144&gt;=$C$8,3,IF(F144&gt;=$B$8,2,1)))</f>
        <v>4</v>
      </c>
      <c r="M144" s="53" t="n">
        <f aca="false">J144+K144+L144</f>
        <v>12</v>
      </c>
      <c r="N144" s="41" t="str">
        <f aca="false">IF(M144&gt;=10,"أبطال",IF(M144&gt;=8,"أوفياء",IF(M144&gt;=6,"واعدون",IF(M144&gt;=4,"معرضون للفقد","نائمون"))))</f>
        <v>أبطال</v>
      </c>
      <c r="O144" s="47" t="n">
        <f aca="false">RANK(F144,$F$21:$F$220)+COUNTIF($F$21:F144,F144)-1</f>
        <v>25</v>
      </c>
    </row>
    <row r="145" customFormat="false" ht="15" hidden="false" customHeight="false" outlineLevel="0" collapsed="false">
      <c r="A145" s="41" t="s">
        <v>356</v>
      </c>
      <c r="B145" s="41" t="str">
        <f aca="false">INDEX(c_Name,MATCH($A145,c_ID,0))</f>
        <v>هند البلوي</v>
      </c>
      <c r="C145" s="41" t="str">
        <f aca="false">INDEX(c_Seg,MATCH($A145,c_ID,0))</f>
        <v>أفراد</v>
      </c>
      <c r="D145" s="41" t="str">
        <f aca="false">INDEX(c_Region,MATCH($A145,c_ID,0))</f>
        <v>الغربية</v>
      </c>
      <c r="E145" s="47" t="n">
        <f aca="false">COUNTIFS(d_Cust,$A145,d_Status,"مكتمل")</f>
        <v>9</v>
      </c>
      <c r="F145" s="42" t="n">
        <f aca="false">SUMIFS(d_Rev,d_Cust,$A145)</f>
        <v>7825</v>
      </c>
      <c r="G145" s="42" t="n">
        <f aca="false">SUMIFS(d_Profit,d_Cust,$A145)</f>
        <v>2565</v>
      </c>
      <c r="H145" s="52" t="n">
        <f aca="false">IF(COUNTIF(d_Cust,$A145)=0,"",SUMPRODUCT(MAX((d_Cust=$A145)*d_Date)))</f>
        <v>46284</v>
      </c>
      <c r="I145" s="47" t="n">
        <f aca="false">IF(H145="",$B$3-MIN(d_Date),$B$3-H145)</f>
        <v>12</v>
      </c>
      <c r="J145" s="47" t="n">
        <f aca="false">IF(I145&lt;=$B$6,4,IF(I145&lt;=$C$6,3,IF(I145&lt;=$D$6,2,1)))</f>
        <v>4</v>
      </c>
      <c r="K145" s="47" t="n">
        <f aca="false">IF(E145&gt;=$D$7,4,IF(E145&gt;=$C$7,3,IF(E145&gt;=$B$7,2,1)))</f>
        <v>3</v>
      </c>
      <c r="L145" s="47" t="n">
        <f aca="false">IF(F145&gt;=$D$8,4,IF(F145&gt;=$C$8,3,IF(F145&gt;=$B$8,2,1)))</f>
        <v>3</v>
      </c>
      <c r="M145" s="53" t="n">
        <f aca="false">J145+K145+L145</f>
        <v>10</v>
      </c>
      <c r="N145" s="41" t="str">
        <f aca="false">IF(M145&gt;=10,"أبطال",IF(M145&gt;=8,"أوفياء",IF(M145&gt;=6,"واعدون",IF(M145&gt;=4,"معرضون للفقد","نائمون"))))</f>
        <v>أبطال</v>
      </c>
      <c r="O145" s="47" t="n">
        <f aca="false">RANK(F145,$F$21:$F$220)+COUNTIF($F$21:F145,F145)-1</f>
        <v>81</v>
      </c>
    </row>
    <row r="146" customFormat="false" ht="15" hidden="false" customHeight="false" outlineLevel="0" collapsed="false">
      <c r="A146" s="41" t="s">
        <v>357</v>
      </c>
      <c r="B146" s="41" t="str">
        <f aca="false">INDEX(c_Name,MATCH($A146,c_ID,0))</f>
        <v>منى الحربي</v>
      </c>
      <c r="C146" s="41" t="str">
        <f aca="false">INDEX(c_Seg,MATCH($A146,c_ID,0))</f>
        <v>أفراد</v>
      </c>
      <c r="D146" s="41" t="str">
        <f aca="false">INDEX(c_Region,MATCH($A146,c_ID,0))</f>
        <v>الوسطى</v>
      </c>
      <c r="E146" s="47" t="n">
        <f aca="false">COUNTIFS(d_Cust,$A146,d_Status,"مكتمل")</f>
        <v>17</v>
      </c>
      <c r="F146" s="42" t="n">
        <f aca="false">SUMIFS(d_Rev,d_Cust,$A146)</f>
        <v>16258</v>
      </c>
      <c r="G146" s="42" t="n">
        <f aca="false">SUMIFS(d_Profit,d_Cust,$A146)</f>
        <v>5113</v>
      </c>
      <c r="H146" s="52" t="n">
        <f aca="false">IF(COUNTIF(d_Cust,$A146)=0,"",SUMPRODUCT(MAX((d_Cust=$A146)*d_Date)))</f>
        <v>46259</v>
      </c>
      <c r="I146" s="47" t="n">
        <f aca="false">IF(H146="",$B$3-MIN(d_Date),$B$3-H146)</f>
        <v>37</v>
      </c>
      <c r="J146" s="47" t="n">
        <f aca="false">IF(I146&lt;=$B$6,4,IF(I146&lt;=$C$6,3,IF(I146&lt;=$D$6,2,1)))</f>
        <v>3</v>
      </c>
      <c r="K146" s="47" t="n">
        <f aca="false">IF(E146&gt;=$D$7,4,IF(E146&gt;=$C$7,3,IF(E146&gt;=$B$7,2,1)))</f>
        <v>4</v>
      </c>
      <c r="L146" s="47" t="n">
        <f aca="false">IF(F146&gt;=$D$8,4,IF(F146&gt;=$C$8,3,IF(F146&gt;=$B$8,2,1)))</f>
        <v>4</v>
      </c>
      <c r="M146" s="53" t="n">
        <f aca="false">J146+K146+L146</f>
        <v>11</v>
      </c>
      <c r="N146" s="41" t="str">
        <f aca="false">IF(M146&gt;=10,"أبطال",IF(M146&gt;=8,"أوفياء",IF(M146&gt;=6,"واعدون",IF(M146&gt;=4,"معرضون للفقد","نائمون"))))</f>
        <v>أبطال</v>
      </c>
      <c r="O146" s="47" t="n">
        <f aca="false">RANK(F146,$F$21:$F$220)+COUNTIF($F$21:F146,F146)-1</f>
        <v>33</v>
      </c>
    </row>
    <row r="147" customFormat="false" ht="15" hidden="false" customHeight="false" outlineLevel="0" collapsed="false">
      <c r="A147" s="41" t="s">
        <v>358</v>
      </c>
      <c r="B147" s="41" t="str">
        <f aca="false">INDEX(c_Name,MATCH($A147,c_ID,0))</f>
        <v>ليلى الشهري</v>
      </c>
      <c r="C147" s="41" t="str">
        <f aca="false">INDEX(c_Seg,MATCH($A147,c_ID,0))</f>
        <v>شركات صغيرة</v>
      </c>
      <c r="D147" s="41" t="str">
        <f aca="false">INDEX(c_Region,MATCH($A147,c_ID,0))</f>
        <v>الوسطى</v>
      </c>
      <c r="E147" s="47" t="n">
        <f aca="false">COUNTIFS(d_Cust,$A147,d_Status,"مكتمل")</f>
        <v>3</v>
      </c>
      <c r="F147" s="42" t="n">
        <f aca="false">SUMIFS(d_Rev,d_Cust,$A147)</f>
        <v>1382</v>
      </c>
      <c r="G147" s="42" t="n">
        <f aca="false">SUMIFS(d_Profit,d_Cust,$A147)</f>
        <v>562</v>
      </c>
      <c r="H147" s="52" t="n">
        <f aca="false">IF(COUNTIF(d_Cust,$A147)=0,"",SUMPRODUCT(MAX((d_Cust=$A147)*d_Date)))</f>
        <v>46150</v>
      </c>
      <c r="I147" s="47" t="n">
        <f aca="false">IF(H147="",$B$3-MIN(d_Date),$B$3-H147)</f>
        <v>146</v>
      </c>
      <c r="J147" s="47" t="n">
        <f aca="false">IF(I147&lt;=$B$6,4,IF(I147&lt;=$C$6,3,IF(I147&lt;=$D$6,2,1)))</f>
        <v>1</v>
      </c>
      <c r="K147" s="47" t="n">
        <f aca="false">IF(E147&gt;=$D$7,4,IF(E147&gt;=$C$7,3,IF(E147&gt;=$B$7,2,1)))</f>
        <v>2</v>
      </c>
      <c r="L147" s="47" t="n">
        <f aca="false">IF(F147&gt;=$D$8,4,IF(F147&gt;=$C$8,3,IF(F147&gt;=$B$8,2,1)))</f>
        <v>1</v>
      </c>
      <c r="M147" s="53" t="n">
        <f aca="false">J147+K147+L147</f>
        <v>4</v>
      </c>
      <c r="N147" s="41" t="str">
        <f aca="false">IF(M147&gt;=10,"أبطال",IF(M147&gt;=8,"أوفياء",IF(M147&gt;=6,"واعدون",IF(M147&gt;=4,"معرضون للفقد","نائمون"))))</f>
        <v>معرضون للفقد</v>
      </c>
      <c r="O147" s="47" t="n">
        <f aca="false">RANK(F147,$F$21:$F$220)+COUNTIF($F$21:F147,F147)-1</f>
        <v>173</v>
      </c>
    </row>
    <row r="148" customFormat="false" ht="15" hidden="false" customHeight="false" outlineLevel="0" collapsed="false">
      <c r="A148" s="41" t="s">
        <v>359</v>
      </c>
      <c r="B148" s="41" t="str">
        <f aca="false">INDEX(c_Name,MATCH($A148,c_ID,0))</f>
        <v>ريم البلوي</v>
      </c>
      <c r="C148" s="41" t="str">
        <f aca="false">INDEX(c_Seg,MATCH($A148,c_ID,0))</f>
        <v>أفراد</v>
      </c>
      <c r="D148" s="41" t="str">
        <f aca="false">INDEX(c_Region,MATCH($A148,c_ID,0))</f>
        <v>الوسطى</v>
      </c>
      <c r="E148" s="47" t="n">
        <f aca="false">COUNTIFS(d_Cust,$A148,d_Status,"مكتمل")</f>
        <v>1</v>
      </c>
      <c r="F148" s="42" t="n">
        <f aca="false">SUMIFS(d_Rev,d_Cust,$A148)</f>
        <v>76.5</v>
      </c>
      <c r="G148" s="42" t="n">
        <f aca="false">SUMIFS(d_Profit,d_Cust,$A148)</f>
        <v>31.5</v>
      </c>
      <c r="H148" s="52" t="n">
        <f aca="false">IF(COUNTIF(d_Cust,$A148)=0,"",SUMPRODUCT(MAX((d_Cust=$A148)*d_Date)))</f>
        <v>45977</v>
      </c>
      <c r="I148" s="47" t="n">
        <f aca="false">IF(H148="",$B$3-MIN(d_Date),$B$3-H148)</f>
        <v>319</v>
      </c>
      <c r="J148" s="47" t="n">
        <f aca="false">IF(I148&lt;=$B$6,4,IF(I148&lt;=$C$6,3,IF(I148&lt;=$D$6,2,1)))</f>
        <v>1</v>
      </c>
      <c r="K148" s="47" t="n">
        <f aca="false">IF(E148&gt;=$D$7,4,IF(E148&gt;=$C$7,3,IF(E148&gt;=$B$7,2,1)))</f>
        <v>1</v>
      </c>
      <c r="L148" s="47" t="n">
        <f aca="false">IF(F148&gt;=$D$8,4,IF(F148&gt;=$C$8,3,IF(F148&gt;=$B$8,2,1)))</f>
        <v>1</v>
      </c>
      <c r="M148" s="53" t="n">
        <f aca="false">J148+K148+L148</f>
        <v>3</v>
      </c>
      <c r="N148" s="41" t="str">
        <f aca="false">IF(M148&gt;=10,"أبطال",IF(M148&gt;=8,"أوفياء",IF(M148&gt;=6,"واعدون",IF(M148&gt;=4,"معرضون للفقد","نائمون"))))</f>
        <v>نائمون</v>
      </c>
      <c r="O148" s="47" t="n">
        <f aca="false">RANK(F148,$F$21:$F$220)+COUNTIF($F$21:F148,F148)-1</f>
        <v>189</v>
      </c>
    </row>
    <row r="149" customFormat="false" ht="15" hidden="false" customHeight="false" outlineLevel="0" collapsed="false">
      <c r="A149" s="41" t="s">
        <v>360</v>
      </c>
      <c r="B149" s="41" t="str">
        <f aca="false">INDEX(c_Name,MATCH($A149,c_ID,0))</f>
        <v>ليلى العتيبي</v>
      </c>
      <c r="C149" s="41" t="str">
        <f aca="false">INDEX(c_Seg,MATCH($A149,c_ID,0))</f>
        <v>أفراد</v>
      </c>
      <c r="D149" s="41" t="str">
        <f aca="false">INDEX(c_Region,MATCH($A149,c_ID,0))</f>
        <v>الغربية</v>
      </c>
      <c r="E149" s="47" t="n">
        <f aca="false">COUNTIFS(d_Cust,$A149,d_Status,"مكتمل")</f>
        <v>1</v>
      </c>
      <c r="F149" s="42" t="n">
        <f aca="false">SUMIFS(d_Rev,d_Cust,$A149)</f>
        <v>382.5</v>
      </c>
      <c r="G149" s="42" t="n">
        <f aca="false">SUMIFS(d_Profit,d_Cust,$A149)</f>
        <v>122.5</v>
      </c>
      <c r="H149" s="52" t="n">
        <f aca="false">IF(COUNTIF(d_Cust,$A149)=0,"",SUMPRODUCT(MAX((d_Cust=$A149)*d_Date)))</f>
        <v>46249</v>
      </c>
      <c r="I149" s="47" t="n">
        <f aca="false">IF(H149="",$B$3-MIN(d_Date),$B$3-H149)</f>
        <v>47</v>
      </c>
      <c r="J149" s="47" t="n">
        <f aca="false">IF(I149&lt;=$B$6,4,IF(I149&lt;=$C$6,3,IF(I149&lt;=$D$6,2,1)))</f>
        <v>3</v>
      </c>
      <c r="K149" s="47" t="n">
        <f aca="false">IF(E149&gt;=$D$7,4,IF(E149&gt;=$C$7,3,IF(E149&gt;=$B$7,2,1)))</f>
        <v>1</v>
      </c>
      <c r="L149" s="47" t="n">
        <f aca="false">IF(F149&gt;=$D$8,4,IF(F149&gt;=$C$8,3,IF(F149&gt;=$B$8,2,1)))</f>
        <v>1</v>
      </c>
      <c r="M149" s="53" t="n">
        <f aca="false">J149+K149+L149</f>
        <v>5</v>
      </c>
      <c r="N149" s="41" t="str">
        <f aca="false">IF(M149&gt;=10,"أبطال",IF(M149&gt;=8,"أوفياء",IF(M149&gt;=6,"واعدون",IF(M149&gt;=4,"معرضون للفقد","نائمون"))))</f>
        <v>معرضون للفقد</v>
      </c>
      <c r="O149" s="47" t="n">
        <f aca="false">RANK(F149,$F$21:$F$220)+COUNTIF($F$21:F149,F149)-1</f>
        <v>184</v>
      </c>
    </row>
    <row r="150" customFormat="false" ht="15" hidden="false" customHeight="false" outlineLevel="0" collapsed="false">
      <c r="A150" s="41" t="s">
        <v>361</v>
      </c>
      <c r="B150" s="41" t="str">
        <f aca="false">INDEX(c_Name,MATCH($A150,c_ID,0))</f>
        <v>دانة المطيري</v>
      </c>
      <c r="C150" s="41" t="str">
        <f aca="false">INDEX(c_Seg,MATCH($A150,c_ID,0))</f>
        <v>أفراد</v>
      </c>
      <c r="D150" s="41" t="str">
        <f aca="false">INDEX(c_Region,MATCH($A150,c_ID,0))</f>
        <v>الشرقية</v>
      </c>
      <c r="E150" s="47" t="n">
        <f aca="false">COUNTIFS(d_Cust,$A150,d_Status,"مكتمل")</f>
        <v>23</v>
      </c>
      <c r="F150" s="42" t="n">
        <f aca="false">SUMIFS(d_Rev,d_Cust,$A150)</f>
        <v>21525</v>
      </c>
      <c r="G150" s="42" t="n">
        <f aca="false">SUMIFS(d_Profit,d_Cust,$A150)</f>
        <v>7800</v>
      </c>
      <c r="H150" s="52" t="n">
        <f aca="false">IF(COUNTIF(d_Cust,$A150)=0,"",SUMPRODUCT(MAX((d_Cust=$A150)*d_Date)))</f>
        <v>46295</v>
      </c>
      <c r="I150" s="47" t="n">
        <f aca="false">IF(H150="",$B$3-MIN(d_Date),$B$3-H150)</f>
        <v>1</v>
      </c>
      <c r="J150" s="47" t="n">
        <f aca="false">IF(I150&lt;=$B$6,4,IF(I150&lt;=$C$6,3,IF(I150&lt;=$D$6,2,1)))</f>
        <v>4</v>
      </c>
      <c r="K150" s="47" t="n">
        <f aca="false">IF(E150&gt;=$D$7,4,IF(E150&gt;=$C$7,3,IF(E150&gt;=$B$7,2,1)))</f>
        <v>4</v>
      </c>
      <c r="L150" s="47" t="n">
        <f aca="false">IF(F150&gt;=$D$8,4,IF(F150&gt;=$C$8,3,IF(F150&gt;=$B$8,2,1)))</f>
        <v>4</v>
      </c>
      <c r="M150" s="53" t="n">
        <f aca="false">J150+K150+L150</f>
        <v>12</v>
      </c>
      <c r="N150" s="41" t="str">
        <f aca="false">IF(M150&gt;=10,"أبطال",IF(M150&gt;=8,"أوفياء",IF(M150&gt;=6,"واعدون",IF(M150&gt;=4,"معرضون للفقد","نائمون"))))</f>
        <v>أبطال</v>
      </c>
      <c r="O150" s="47" t="n">
        <f aca="false">RANK(F150,$F$21:$F$220)+COUNTIF($F$21:F150,F150)-1</f>
        <v>23</v>
      </c>
    </row>
    <row r="151" customFormat="false" ht="15" hidden="false" customHeight="false" outlineLevel="0" collapsed="false">
      <c r="A151" s="41" t="s">
        <v>362</v>
      </c>
      <c r="B151" s="41" t="str">
        <f aca="false">INDEX(c_Name,MATCH($A151,c_ID,0))</f>
        <v>محمد العتيبي</v>
      </c>
      <c r="C151" s="41" t="str">
        <f aca="false">INDEX(c_Seg,MATCH($A151,c_ID,0))</f>
        <v>أفراد</v>
      </c>
      <c r="D151" s="41" t="str">
        <f aca="false">INDEX(c_Region,MATCH($A151,c_ID,0))</f>
        <v>الغربية</v>
      </c>
      <c r="E151" s="47" t="n">
        <f aca="false">COUNTIFS(d_Cust,$A151,d_Status,"مكتمل")</f>
        <v>5</v>
      </c>
      <c r="F151" s="42" t="n">
        <f aca="false">SUMIFS(d_Rev,d_Cust,$A151)</f>
        <v>1910.5</v>
      </c>
      <c r="G151" s="42" t="n">
        <f aca="false">SUMIFS(d_Profit,d_Cust,$A151)</f>
        <v>955.5</v>
      </c>
      <c r="H151" s="52" t="n">
        <f aca="false">IF(COUNTIF(d_Cust,$A151)=0,"",SUMPRODUCT(MAX((d_Cust=$A151)*d_Date)))</f>
        <v>46273</v>
      </c>
      <c r="I151" s="47" t="n">
        <f aca="false">IF(H151="",$B$3-MIN(d_Date),$B$3-H151)</f>
        <v>23</v>
      </c>
      <c r="J151" s="47" t="n">
        <f aca="false">IF(I151&lt;=$B$6,4,IF(I151&lt;=$C$6,3,IF(I151&lt;=$D$6,2,1)))</f>
        <v>3</v>
      </c>
      <c r="K151" s="47" t="n">
        <f aca="false">IF(E151&gt;=$D$7,4,IF(E151&gt;=$C$7,3,IF(E151&gt;=$B$7,2,1)))</f>
        <v>3</v>
      </c>
      <c r="L151" s="47" t="n">
        <f aca="false">IF(F151&gt;=$D$8,4,IF(F151&gt;=$C$8,3,IF(F151&gt;=$B$8,2,1)))</f>
        <v>1</v>
      </c>
      <c r="M151" s="53" t="n">
        <f aca="false">J151+K151+L151</f>
        <v>7</v>
      </c>
      <c r="N151" s="41" t="str">
        <f aca="false">IF(M151&gt;=10,"أبطال",IF(M151&gt;=8,"أوفياء",IF(M151&gt;=6,"واعدون",IF(M151&gt;=4,"معرضون للفقد","نائمون"))))</f>
        <v>واعدون</v>
      </c>
      <c r="O151" s="47" t="n">
        <f aca="false">RANK(F151,$F$21:$F$220)+COUNTIF($F$21:F151,F151)-1</f>
        <v>160</v>
      </c>
    </row>
    <row r="152" customFormat="false" ht="15" hidden="false" customHeight="false" outlineLevel="0" collapsed="false">
      <c r="A152" s="41" t="s">
        <v>363</v>
      </c>
      <c r="B152" s="41" t="str">
        <f aca="false">INDEX(c_Name,MATCH($A152,c_ID,0))</f>
        <v>سلمان البلوي</v>
      </c>
      <c r="C152" s="41" t="str">
        <f aca="false">INDEX(c_Seg,MATCH($A152,c_ID,0))</f>
        <v>أفراد</v>
      </c>
      <c r="D152" s="41" t="str">
        <f aca="false">INDEX(c_Region,MATCH($A152,c_ID,0))</f>
        <v>الوسطى</v>
      </c>
      <c r="E152" s="47" t="n">
        <f aca="false">COUNTIFS(d_Cust,$A152,d_Status,"مكتمل")</f>
        <v>7</v>
      </c>
      <c r="F152" s="42" t="n">
        <f aca="false">SUMIFS(d_Rev,d_Cust,$A152)</f>
        <v>2913</v>
      </c>
      <c r="G152" s="42" t="n">
        <f aca="false">SUMIFS(d_Profit,d_Cust,$A152)</f>
        <v>1168</v>
      </c>
      <c r="H152" s="52" t="n">
        <f aca="false">IF(COUNTIF(d_Cust,$A152)=0,"",SUMPRODUCT(MAX((d_Cust=$A152)*d_Date)))</f>
        <v>46255</v>
      </c>
      <c r="I152" s="47" t="n">
        <f aca="false">IF(H152="",$B$3-MIN(d_Date),$B$3-H152)</f>
        <v>41</v>
      </c>
      <c r="J152" s="47" t="n">
        <f aca="false">IF(I152&lt;=$B$6,4,IF(I152&lt;=$C$6,3,IF(I152&lt;=$D$6,2,1)))</f>
        <v>3</v>
      </c>
      <c r="K152" s="47" t="n">
        <f aca="false">IF(E152&gt;=$D$7,4,IF(E152&gt;=$C$7,3,IF(E152&gt;=$B$7,2,1)))</f>
        <v>3</v>
      </c>
      <c r="L152" s="47" t="n">
        <f aca="false">IF(F152&gt;=$D$8,4,IF(F152&gt;=$C$8,3,IF(F152&gt;=$B$8,2,1)))</f>
        <v>2</v>
      </c>
      <c r="M152" s="53" t="n">
        <f aca="false">J152+K152+L152</f>
        <v>8</v>
      </c>
      <c r="N152" s="41" t="str">
        <f aca="false">IF(M152&gt;=10,"أبطال",IF(M152&gt;=8,"أوفياء",IF(M152&gt;=6,"واعدون",IF(M152&gt;=4,"معرضون للفقد","نائمون"))))</f>
        <v>أوفياء</v>
      </c>
      <c r="O152" s="47" t="n">
        <f aca="false">RANK(F152,$F$21:$F$220)+COUNTIF($F$21:F152,F152)-1</f>
        <v>138</v>
      </c>
    </row>
    <row r="153" customFormat="false" ht="15" hidden="false" customHeight="false" outlineLevel="0" collapsed="false">
      <c r="A153" s="41" t="s">
        <v>364</v>
      </c>
      <c r="B153" s="41" t="str">
        <f aca="false">INDEX(c_Name,MATCH($A153,c_ID,0))</f>
        <v>عبير الدوسري</v>
      </c>
      <c r="C153" s="41" t="str">
        <f aca="false">INDEX(c_Seg,MATCH($A153,c_ID,0))</f>
        <v>أفراد</v>
      </c>
      <c r="D153" s="41" t="str">
        <f aca="false">INDEX(c_Region,MATCH($A153,c_ID,0))</f>
        <v>الشرقية</v>
      </c>
      <c r="E153" s="47" t="n">
        <f aca="false">COUNTIFS(d_Cust,$A153,d_Status,"مكتمل")</f>
        <v>13</v>
      </c>
      <c r="F153" s="42" t="n">
        <f aca="false">SUMIFS(d_Rev,d_Cust,$A153)</f>
        <v>13817</v>
      </c>
      <c r="G153" s="42" t="n">
        <f aca="false">SUMIFS(d_Profit,d_Cust,$A153)</f>
        <v>4202</v>
      </c>
      <c r="H153" s="52" t="n">
        <f aca="false">IF(COUNTIF(d_Cust,$A153)=0,"",SUMPRODUCT(MAX((d_Cust=$A153)*d_Date)))</f>
        <v>46287</v>
      </c>
      <c r="I153" s="47" t="n">
        <f aca="false">IF(H153="",$B$3-MIN(d_Date),$B$3-H153)</f>
        <v>9</v>
      </c>
      <c r="J153" s="47" t="n">
        <f aca="false">IF(I153&lt;=$B$6,4,IF(I153&lt;=$C$6,3,IF(I153&lt;=$D$6,2,1)))</f>
        <v>4</v>
      </c>
      <c r="K153" s="47" t="n">
        <f aca="false">IF(E153&gt;=$D$7,4,IF(E153&gt;=$C$7,3,IF(E153&gt;=$B$7,2,1)))</f>
        <v>4</v>
      </c>
      <c r="L153" s="47" t="n">
        <f aca="false">IF(F153&gt;=$D$8,4,IF(F153&gt;=$C$8,3,IF(F153&gt;=$B$8,2,1)))</f>
        <v>4</v>
      </c>
      <c r="M153" s="53" t="n">
        <f aca="false">J153+K153+L153</f>
        <v>12</v>
      </c>
      <c r="N153" s="41" t="str">
        <f aca="false">IF(M153&gt;=10,"أبطال",IF(M153&gt;=8,"أوفياء",IF(M153&gt;=6,"واعدون",IF(M153&gt;=4,"معرضون للفقد","نائمون"))))</f>
        <v>أبطال</v>
      </c>
      <c r="O153" s="47" t="n">
        <f aca="false">RANK(F153,$F$21:$F$220)+COUNTIF($F$21:F153,F153)-1</f>
        <v>44</v>
      </c>
    </row>
    <row r="154" customFormat="false" ht="15" hidden="false" customHeight="false" outlineLevel="0" collapsed="false">
      <c r="A154" s="41" t="s">
        <v>365</v>
      </c>
      <c r="B154" s="41" t="str">
        <f aca="false">INDEX(c_Name,MATCH($A154,c_ID,0))</f>
        <v>نورة الغامدي</v>
      </c>
      <c r="C154" s="41" t="str">
        <f aca="false">INDEX(c_Seg,MATCH($A154,c_ID,0))</f>
        <v>أفراد</v>
      </c>
      <c r="D154" s="41" t="str">
        <f aca="false">INDEX(c_Region,MATCH($A154,c_ID,0))</f>
        <v>الوسطى</v>
      </c>
      <c r="E154" s="47" t="n">
        <f aca="false">COUNTIFS(d_Cust,$A154,d_Status,"مكتمل")</f>
        <v>10</v>
      </c>
      <c r="F154" s="42" t="n">
        <f aca="false">SUMIFS(d_Rev,d_Cust,$A154)</f>
        <v>14941.5</v>
      </c>
      <c r="G154" s="42" t="n">
        <f aca="false">SUMIFS(d_Profit,d_Cust,$A154)</f>
        <v>4961.5</v>
      </c>
      <c r="H154" s="52" t="n">
        <f aca="false">IF(COUNTIF(d_Cust,$A154)=0,"",SUMPRODUCT(MAX((d_Cust=$A154)*d_Date)))</f>
        <v>46276</v>
      </c>
      <c r="I154" s="47" t="n">
        <f aca="false">IF(H154="",$B$3-MIN(d_Date),$B$3-H154)</f>
        <v>20</v>
      </c>
      <c r="J154" s="47" t="n">
        <f aca="false">IF(I154&lt;=$B$6,4,IF(I154&lt;=$C$6,3,IF(I154&lt;=$D$6,2,1)))</f>
        <v>3</v>
      </c>
      <c r="K154" s="47" t="n">
        <f aca="false">IF(E154&gt;=$D$7,4,IF(E154&gt;=$C$7,3,IF(E154&gt;=$B$7,2,1)))</f>
        <v>4</v>
      </c>
      <c r="L154" s="47" t="n">
        <f aca="false">IF(F154&gt;=$D$8,4,IF(F154&gt;=$C$8,3,IF(F154&gt;=$B$8,2,1)))</f>
        <v>4</v>
      </c>
      <c r="M154" s="53" t="n">
        <f aca="false">J154+K154+L154</f>
        <v>11</v>
      </c>
      <c r="N154" s="41" t="str">
        <f aca="false">IF(M154&gt;=10,"أبطال",IF(M154&gt;=8,"أوفياء",IF(M154&gt;=6,"واعدون",IF(M154&gt;=4,"معرضون للفقد","نائمون"))))</f>
        <v>أبطال</v>
      </c>
      <c r="O154" s="47" t="n">
        <f aca="false">RANK(F154,$F$21:$F$220)+COUNTIF($F$21:F154,F154)-1</f>
        <v>40</v>
      </c>
    </row>
    <row r="155" customFormat="false" ht="15" hidden="false" customHeight="false" outlineLevel="0" collapsed="false">
      <c r="A155" s="41" t="s">
        <v>366</v>
      </c>
      <c r="B155" s="41" t="str">
        <f aca="false">INDEX(c_Name,MATCH($A155,c_ID,0))</f>
        <v>ناصر العتيبي</v>
      </c>
      <c r="C155" s="41" t="str">
        <f aca="false">INDEX(c_Seg,MATCH($A155,c_ID,0))</f>
        <v>أفراد</v>
      </c>
      <c r="D155" s="41" t="str">
        <f aca="false">INDEX(c_Region,MATCH($A155,c_ID,0))</f>
        <v>الغربية</v>
      </c>
      <c r="E155" s="47" t="n">
        <f aca="false">COUNTIFS(d_Cust,$A155,d_Status,"مكتمل")</f>
        <v>3</v>
      </c>
      <c r="F155" s="42" t="n">
        <f aca="false">SUMIFS(d_Rev,d_Cust,$A155)</f>
        <v>4456.5</v>
      </c>
      <c r="G155" s="42" t="n">
        <f aca="false">SUMIFS(d_Profit,d_Cust,$A155)</f>
        <v>796.5</v>
      </c>
      <c r="H155" s="52" t="n">
        <f aca="false">IF(COUNTIF(d_Cust,$A155)=0,"",SUMPRODUCT(MAX((d_Cust=$A155)*d_Date)))</f>
        <v>46200</v>
      </c>
      <c r="I155" s="47" t="n">
        <f aca="false">IF(H155="",$B$3-MIN(d_Date),$B$3-H155)</f>
        <v>96</v>
      </c>
      <c r="J155" s="47" t="n">
        <f aca="false">IF(I155&lt;=$B$6,4,IF(I155&lt;=$C$6,3,IF(I155&lt;=$D$6,2,1)))</f>
        <v>2</v>
      </c>
      <c r="K155" s="47" t="n">
        <f aca="false">IF(E155&gt;=$D$7,4,IF(E155&gt;=$C$7,3,IF(E155&gt;=$B$7,2,1)))</f>
        <v>2</v>
      </c>
      <c r="L155" s="47" t="n">
        <f aca="false">IF(F155&gt;=$D$8,4,IF(F155&gt;=$C$8,3,IF(F155&gt;=$B$8,2,1)))</f>
        <v>2</v>
      </c>
      <c r="M155" s="53" t="n">
        <f aca="false">J155+K155+L155</f>
        <v>6</v>
      </c>
      <c r="N155" s="41" t="str">
        <f aca="false">IF(M155&gt;=10,"أبطال",IF(M155&gt;=8,"أوفياء",IF(M155&gt;=6,"واعدون",IF(M155&gt;=4,"معرضون للفقد","نائمون"))))</f>
        <v>واعدون</v>
      </c>
      <c r="O155" s="47" t="n">
        <f aca="false">RANK(F155,$F$21:$F$220)+COUNTIF($F$21:F155,F155)-1</f>
        <v>114</v>
      </c>
    </row>
    <row r="156" customFormat="false" ht="15" hidden="false" customHeight="false" outlineLevel="0" collapsed="false">
      <c r="A156" s="41" t="s">
        <v>367</v>
      </c>
      <c r="B156" s="41" t="str">
        <f aca="false">INDEX(c_Name,MATCH($A156,c_ID,0))</f>
        <v>سارة الحربي</v>
      </c>
      <c r="C156" s="41" t="str">
        <f aca="false">INDEX(c_Seg,MATCH($A156,c_ID,0))</f>
        <v>شركات صغيرة</v>
      </c>
      <c r="D156" s="41" t="str">
        <f aca="false">INDEX(c_Region,MATCH($A156,c_ID,0))</f>
        <v>الغربية</v>
      </c>
      <c r="E156" s="47" t="n">
        <f aca="false">COUNTIFS(d_Cust,$A156,d_Status,"مكتمل")</f>
        <v>4</v>
      </c>
      <c r="F156" s="42" t="n">
        <f aca="false">SUMIFS(d_Rev,d_Cust,$A156)</f>
        <v>8964</v>
      </c>
      <c r="G156" s="42" t="n">
        <f aca="false">SUMIFS(d_Profit,d_Cust,$A156)</f>
        <v>3064</v>
      </c>
      <c r="H156" s="52" t="n">
        <f aca="false">IF(COUNTIF(d_Cust,$A156)=0,"",SUMPRODUCT(MAX((d_Cust=$A156)*d_Date)))</f>
        <v>46252</v>
      </c>
      <c r="I156" s="47" t="n">
        <f aca="false">IF(H156="",$B$3-MIN(d_Date),$B$3-H156)</f>
        <v>44</v>
      </c>
      <c r="J156" s="47" t="n">
        <f aca="false">IF(I156&lt;=$B$6,4,IF(I156&lt;=$C$6,3,IF(I156&lt;=$D$6,2,1)))</f>
        <v>3</v>
      </c>
      <c r="K156" s="47" t="n">
        <f aca="false">IF(E156&gt;=$D$7,4,IF(E156&gt;=$C$7,3,IF(E156&gt;=$B$7,2,1)))</f>
        <v>2</v>
      </c>
      <c r="L156" s="47" t="n">
        <f aca="false">IF(F156&gt;=$D$8,4,IF(F156&gt;=$C$8,3,IF(F156&gt;=$B$8,2,1)))</f>
        <v>3</v>
      </c>
      <c r="M156" s="53" t="n">
        <f aca="false">J156+K156+L156</f>
        <v>8</v>
      </c>
      <c r="N156" s="41" t="str">
        <f aca="false">IF(M156&gt;=10,"أبطال",IF(M156&gt;=8,"أوفياء",IF(M156&gt;=6,"واعدون",IF(M156&gt;=4,"معرضون للفقد","نائمون"))))</f>
        <v>أوفياء</v>
      </c>
      <c r="O156" s="47" t="n">
        <f aca="false">RANK(F156,$F$21:$F$220)+COUNTIF($F$21:F156,F156)-1</f>
        <v>72</v>
      </c>
    </row>
    <row r="157" customFormat="false" ht="15" hidden="false" customHeight="false" outlineLevel="0" collapsed="false">
      <c r="A157" s="41" t="s">
        <v>368</v>
      </c>
      <c r="B157" s="41" t="str">
        <f aca="false">INDEX(c_Name,MATCH($A157,c_ID,0))</f>
        <v>خالد الحربي</v>
      </c>
      <c r="C157" s="41" t="str">
        <f aca="false">INDEX(c_Seg,MATCH($A157,c_ID,0))</f>
        <v>أفراد</v>
      </c>
      <c r="D157" s="41" t="str">
        <f aca="false">INDEX(c_Region,MATCH($A157,c_ID,0))</f>
        <v>الغربية</v>
      </c>
      <c r="E157" s="47" t="n">
        <f aca="false">COUNTIFS(d_Cust,$A157,d_Status,"مكتمل")</f>
        <v>9</v>
      </c>
      <c r="F157" s="42" t="n">
        <f aca="false">SUMIFS(d_Rev,d_Cust,$A157)</f>
        <v>12500</v>
      </c>
      <c r="G157" s="42" t="n">
        <f aca="false">SUMIFS(d_Profit,d_Cust,$A157)</f>
        <v>3880</v>
      </c>
      <c r="H157" s="52" t="n">
        <f aca="false">IF(COUNTIF(d_Cust,$A157)=0,"",SUMPRODUCT(MAX((d_Cust=$A157)*d_Date)))</f>
        <v>46224</v>
      </c>
      <c r="I157" s="47" t="n">
        <f aca="false">IF(H157="",$B$3-MIN(d_Date),$B$3-H157)</f>
        <v>72</v>
      </c>
      <c r="J157" s="47" t="n">
        <f aca="false">IF(I157&lt;=$B$6,4,IF(I157&lt;=$C$6,3,IF(I157&lt;=$D$6,2,1)))</f>
        <v>2</v>
      </c>
      <c r="K157" s="47" t="n">
        <f aca="false">IF(E157&gt;=$D$7,4,IF(E157&gt;=$C$7,3,IF(E157&gt;=$B$7,2,1)))</f>
        <v>3</v>
      </c>
      <c r="L157" s="47" t="n">
        <f aca="false">IF(F157&gt;=$D$8,4,IF(F157&gt;=$C$8,3,IF(F157&gt;=$B$8,2,1)))</f>
        <v>3</v>
      </c>
      <c r="M157" s="53" t="n">
        <f aca="false">J157+K157+L157</f>
        <v>8</v>
      </c>
      <c r="N157" s="41" t="str">
        <f aca="false">IF(M157&gt;=10,"أبطال",IF(M157&gt;=8,"أوفياء",IF(M157&gt;=6,"واعدون",IF(M157&gt;=4,"معرضون للفقد","نائمون"))))</f>
        <v>أوفياء</v>
      </c>
      <c r="O157" s="47" t="n">
        <f aca="false">RANK(F157,$F$21:$F$220)+COUNTIF($F$21:F157,F157)-1</f>
        <v>55</v>
      </c>
    </row>
    <row r="158" customFormat="false" ht="15" hidden="false" customHeight="false" outlineLevel="0" collapsed="false">
      <c r="A158" s="41" t="s">
        <v>369</v>
      </c>
      <c r="B158" s="41" t="str">
        <f aca="false">INDEX(c_Name,MATCH($A158,c_ID,0))</f>
        <v>منى الغامدي</v>
      </c>
      <c r="C158" s="41" t="str">
        <f aca="false">INDEX(c_Seg,MATCH($A158,c_ID,0))</f>
        <v>شركات صغيرة</v>
      </c>
      <c r="D158" s="41" t="str">
        <f aca="false">INDEX(c_Region,MATCH($A158,c_ID,0))</f>
        <v>الوسطى</v>
      </c>
      <c r="E158" s="47" t="n">
        <f aca="false">COUNTIFS(d_Cust,$A158,d_Status,"مكتمل")</f>
        <v>10</v>
      </c>
      <c r="F158" s="42" t="n">
        <f aca="false">SUMIFS(d_Rev,d_Cust,$A158)</f>
        <v>9192.5</v>
      </c>
      <c r="G158" s="42" t="n">
        <f aca="false">SUMIFS(d_Profit,d_Cust,$A158)</f>
        <v>3947.5</v>
      </c>
      <c r="H158" s="52" t="n">
        <f aca="false">IF(COUNTIF(d_Cust,$A158)=0,"",SUMPRODUCT(MAX((d_Cust=$A158)*d_Date)))</f>
        <v>46264</v>
      </c>
      <c r="I158" s="47" t="n">
        <f aca="false">IF(H158="",$B$3-MIN(d_Date),$B$3-H158)</f>
        <v>32</v>
      </c>
      <c r="J158" s="47" t="n">
        <f aca="false">IF(I158&lt;=$B$6,4,IF(I158&lt;=$C$6,3,IF(I158&lt;=$D$6,2,1)))</f>
        <v>3</v>
      </c>
      <c r="K158" s="47" t="n">
        <f aca="false">IF(E158&gt;=$D$7,4,IF(E158&gt;=$C$7,3,IF(E158&gt;=$B$7,2,1)))</f>
        <v>4</v>
      </c>
      <c r="L158" s="47" t="n">
        <f aca="false">IF(F158&gt;=$D$8,4,IF(F158&gt;=$C$8,3,IF(F158&gt;=$B$8,2,1)))</f>
        <v>3</v>
      </c>
      <c r="M158" s="53" t="n">
        <f aca="false">J158+K158+L158</f>
        <v>10</v>
      </c>
      <c r="N158" s="41" t="str">
        <f aca="false">IF(M158&gt;=10,"أبطال",IF(M158&gt;=8,"أوفياء",IF(M158&gt;=6,"واعدون",IF(M158&gt;=4,"معرضون للفقد","نائمون"))))</f>
        <v>أبطال</v>
      </c>
      <c r="O158" s="47" t="n">
        <f aca="false">RANK(F158,$F$21:$F$220)+COUNTIF($F$21:F158,F158)-1</f>
        <v>71</v>
      </c>
    </row>
    <row r="159" customFormat="false" ht="15" hidden="false" customHeight="false" outlineLevel="0" collapsed="false">
      <c r="A159" s="41" t="s">
        <v>370</v>
      </c>
      <c r="B159" s="41" t="str">
        <f aca="false">INDEX(c_Name,MATCH($A159,c_ID,0))</f>
        <v>منى السبيعي</v>
      </c>
      <c r="C159" s="41" t="str">
        <f aca="false">INDEX(c_Seg,MATCH($A159,c_ID,0))</f>
        <v>أفراد</v>
      </c>
      <c r="D159" s="41" t="str">
        <f aca="false">INDEX(c_Region,MATCH($A159,c_ID,0))</f>
        <v>الشرقية</v>
      </c>
      <c r="E159" s="47" t="n">
        <f aca="false">COUNTIFS(d_Cust,$A159,d_Status,"مكتمل")</f>
        <v>0</v>
      </c>
      <c r="F159" s="42" t="n">
        <f aca="false">SUMIFS(d_Rev,d_Cust,$A159)</f>
        <v>0</v>
      </c>
      <c r="G159" s="42" t="n">
        <f aca="false">SUMIFS(d_Profit,d_Cust,$A159)</f>
        <v>0</v>
      </c>
      <c r="H159" s="52" t="str">
        <f aca="false">IF(COUNTIF(d_Cust,$A159)=0,"",SUMPRODUCT(MAX((d_Cust=$A159)*d_Date)))</f>
        <v/>
      </c>
      <c r="I159" s="47" t="n">
        <f aca="false">IF(H159="",$B$3-MIN(d_Date),$B$3-H159)</f>
        <v>365</v>
      </c>
      <c r="J159" s="47" t="n">
        <f aca="false">IF(I159&lt;=$B$6,4,IF(I159&lt;=$C$6,3,IF(I159&lt;=$D$6,2,1)))</f>
        <v>1</v>
      </c>
      <c r="K159" s="47" t="n">
        <f aca="false">IF(E159&gt;=$D$7,4,IF(E159&gt;=$C$7,3,IF(E159&gt;=$B$7,2,1)))</f>
        <v>1</v>
      </c>
      <c r="L159" s="47" t="n">
        <f aca="false">IF(F159&gt;=$D$8,4,IF(F159&gt;=$C$8,3,IF(F159&gt;=$B$8,2,1)))</f>
        <v>1</v>
      </c>
      <c r="M159" s="53" t="n">
        <f aca="false">J159+K159+L159</f>
        <v>3</v>
      </c>
      <c r="N159" s="41" t="str">
        <f aca="false">IF(M159&gt;=10,"أبطال",IF(M159&gt;=8,"أوفياء",IF(M159&gt;=6,"واعدون",IF(M159&gt;=4,"معرضون للفقد","نائمون"))))</f>
        <v>نائمون</v>
      </c>
      <c r="O159" s="47" t="n">
        <f aca="false">RANK(F159,$F$21:$F$220)+COUNTIF($F$21:F159,F159)-1</f>
        <v>196</v>
      </c>
    </row>
    <row r="160" customFormat="false" ht="15" hidden="false" customHeight="false" outlineLevel="0" collapsed="false">
      <c r="A160" s="41" t="s">
        <v>371</v>
      </c>
      <c r="B160" s="41" t="str">
        <f aca="false">INDEX(c_Name,MATCH($A160,c_ID,0))</f>
        <v>جود العنزي</v>
      </c>
      <c r="C160" s="41" t="str">
        <f aca="false">INDEX(c_Seg,MATCH($A160,c_ID,0))</f>
        <v>أفراد</v>
      </c>
      <c r="D160" s="41" t="str">
        <f aca="false">INDEX(c_Region,MATCH($A160,c_ID,0))</f>
        <v>الشرقية</v>
      </c>
      <c r="E160" s="47" t="n">
        <f aca="false">COUNTIFS(d_Cust,$A160,d_Status,"مكتمل")</f>
        <v>6</v>
      </c>
      <c r="F160" s="42" t="n">
        <f aca="false">SUMIFS(d_Rev,d_Cust,$A160)</f>
        <v>13064</v>
      </c>
      <c r="G160" s="42" t="n">
        <f aca="false">SUMIFS(d_Profit,d_Cust,$A160)</f>
        <v>4474</v>
      </c>
      <c r="H160" s="52" t="n">
        <f aca="false">IF(COUNTIF(d_Cust,$A160)=0,"",SUMPRODUCT(MAX((d_Cust=$A160)*d_Date)))</f>
        <v>46144</v>
      </c>
      <c r="I160" s="47" t="n">
        <f aca="false">IF(H160="",$B$3-MIN(d_Date),$B$3-H160)</f>
        <v>152</v>
      </c>
      <c r="J160" s="47" t="n">
        <f aca="false">IF(I160&lt;=$B$6,4,IF(I160&lt;=$C$6,3,IF(I160&lt;=$D$6,2,1)))</f>
        <v>1</v>
      </c>
      <c r="K160" s="47" t="n">
        <f aca="false">IF(E160&gt;=$D$7,4,IF(E160&gt;=$C$7,3,IF(E160&gt;=$B$7,2,1)))</f>
        <v>3</v>
      </c>
      <c r="L160" s="47" t="n">
        <f aca="false">IF(F160&gt;=$D$8,4,IF(F160&gt;=$C$8,3,IF(F160&gt;=$B$8,2,1)))</f>
        <v>4</v>
      </c>
      <c r="M160" s="53" t="n">
        <f aca="false">J160+K160+L160</f>
        <v>8</v>
      </c>
      <c r="N160" s="41" t="str">
        <f aca="false">IF(M160&gt;=10,"أبطال",IF(M160&gt;=8,"أوفياء",IF(M160&gt;=6,"واعدون",IF(M160&gt;=4,"معرضون للفقد","نائمون"))))</f>
        <v>أوفياء</v>
      </c>
      <c r="O160" s="47" t="n">
        <f aca="false">RANK(F160,$F$21:$F$220)+COUNTIF($F$21:F160,F160)-1</f>
        <v>50</v>
      </c>
    </row>
    <row r="161" customFormat="false" ht="15" hidden="false" customHeight="false" outlineLevel="0" collapsed="false">
      <c r="A161" s="41" t="s">
        <v>372</v>
      </c>
      <c r="B161" s="41" t="str">
        <f aca="false">INDEX(c_Name,MATCH($A161,c_ID,0))</f>
        <v>أحمد العتيبي</v>
      </c>
      <c r="C161" s="41" t="str">
        <f aca="false">INDEX(c_Seg,MATCH($A161,c_ID,0))</f>
        <v>شركات صغيرة</v>
      </c>
      <c r="D161" s="41" t="str">
        <f aca="false">INDEX(c_Region,MATCH($A161,c_ID,0))</f>
        <v>الشرقية</v>
      </c>
      <c r="E161" s="47" t="n">
        <f aca="false">COUNTIFS(d_Cust,$A161,d_Status,"مكتمل")</f>
        <v>1</v>
      </c>
      <c r="F161" s="42" t="n">
        <f aca="false">SUMIFS(d_Rev,d_Cust,$A161)</f>
        <v>2200</v>
      </c>
      <c r="G161" s="42" t="n">
        <f aca="false">SUMIFS(d_Profit,d_Cust,$A161)</f>
        <v>640</v>
      </c>
      <c r="H161" s="52" t="n">
        <f aca="false">IF(COUNTIF(d_Cust,$A161)=0,"",SUMPRODUCT(MAX((d_Cust=$A161)*d_Date)))</f>
        <v>46214</v>
      </c>
      <c r="I161" s="47" t="n">
        <f aca="false">IF(H161="",$B$3-MIN(d_Date),$B$3-H161)</f>
        <v>82</v>
      </c>
      <c r="J161" s="47" t="n">
        <f aca="false">IF(I161&lt;=$B$6,4,IF(I161&lt;=$C$6,3,IF(I161&lt;=$D$6,2,1)))</f>
        <v>2</v>
      </c>
      <c r="K161" s="47" t="n">
        <f aca="false">IF(E161&gt;=$D$7,4,IF(E161&gt;=$C$7,3,IF(E161&gt;=$B$7,2,1)))</f>
        <v>1</v>
      </c>
      <c r="L161" s="47" t="n">
        <f aca="false">IF(F161&gt;=$D$8,4,IF(F161&gt;=$C$8,3,IF(F161&gt;=$B$8,2,1)))</f>
        <v>1</v>
      </c>
      <c r="M161" s="53" t="n">
        <f aca="false">J161+K161+L161</f>
        <v>4</v>
      </c>
      <c r="N161" s="41" t="str">
        <f aca="false">IF(M161&gt;=10,"أبطال",IF(M161&gt;=8,"أوفياء",IF(M161&gt;=6,"واعدون",IF(M161&gt;=4,"معرضون للفقد","نائمون"))))</f>
        <v>معرضون للفقد</v>
      </c>
      <c r="O161" s="47" t="n">
        <f aca="false">RANK(F161,$F$21:$F$220)+COUNTIF($F$21:F161,F161)-1</f>
        <v>153</v>
      </c>
    </row>
    <row r="162" customFormat="false" ht="15" hidden="false" customHeight="false" outlineLevel="0" collapsed="false">
      <c r="A162" s="41" t="s">
        <v>373</v>
      </c>
      <c r="B162" s="41" t="str">
        <f aca="false">INDEX(c_Name,MATCH($A162,c_ID,0))</f>
        <v>عبير البلوي</v>
      </c>
      <c r="C162" s="41" t="str">
        <f aca="false">INDEX(c_Seg,MATCH($A162,c_ID,0))</f>
        <v>شركات صغيرة</v>
      </c>
      <c r="D162" s="41" t="str">
        <f aca="false">INDEX(c_Region,MATCH($A162,c_ID,0))</f>
        <v>الغربية</v>
      </c>
      <c r="E162" s="47" t="n">
        <f aca="false">COUNTIFS(d_Cust,$A162,d_Status,"مكتمل")</f>
        <v>3</v>
      </c>
      <c r="F162" s="42" t="n">
        <f aca="false">SUMIFS(d_Rev,d_Cust,$A162)</f>
        <v>2789</v>
      </c>
      <c r="G162" s="42" t="n">
        <f aca="false">SUMIFS(d_Profit,d_Cust,$A162)</f>
        <v>1339</v>
      </c>
      <c r="H162" s="52" t="n">
        <f aca="false">IF(COUNTIF(d_Cust,$A162)=0,"",SUMPRODUCT(MAX((d_Cust=$A162)*d_Date)))</f>
        <v>46242</v>
      </c>
      <c r="I162" s="47" t="n">
        <f aca="false">IF(H162="",$B$3-MIN(d_Date),$B$3-H162)</f>
        <v>54</v>
      </c>
      <c r="J162" s="47" t="n">
        <f aca="false">IF(I162&lt;=$B$6,4,IF(I162&lt;=$C$6,3,IF(I162&lt;=$D$6,2,1)))</f>
        <v>2</v>
      </c>
      <c r="K162" s="47" t="n">
        <f aca="false">IF(E162&gt;=$D$7,4,IF(E162&gt;=$C$7,3,IF(E162&gt;=$B$7,2,1)))</f>
        <v>2</v>
      </c>
      <c r="L162" s="47" t="n">
        <f aca="false">IF(F162&gt;=$D$8,4,IF(F162&gt;=$C$8,3,IF(F162&gt;=$B$8,2,1)))</f>
        <v>2</v>
      </c>
      <c r="M162" s="53" t="n">
        <f aca="false">J162+K162+L162</f>
        <v>6</v>
      </c>
      <c r="N162" s="41" t="str">
        <f aca="false">IF(M162&gt;=10,"أبطال",IF(M162&gt;=8,"أوفياء",IF(M162&gt;=6,"واعدون",IF(M162&gt;=4,"معرضون للفقد","نائمون"))))</f>
        <v>واعدون</v>
      </c>
      <c r="O162" s="47" t="n">
        <f aca="false">RANK(F162,$F$21:$F$220)+COUNTIF($F$21:F162,F162)-1</f>
        <v>140</v>
      </c>
    </row>
    <row r="163" customFormat="false" ht="15" hidden="false" customHeight="false" outlineLevel="0" collapsed="false">
      <c r="A163" s="41" t="s">
        <v>374</v>
      </c>
      <c r="B163" s="41" t="str">
        <f aca="false">INDEX(c_Name,MATCH($A163,c_ID,0))</f>
        <v>منى التميمي</v>
      </c>
      <c r="C163" s="41" t="str">
        <f aca="false">INDEX(c_Seg,MATCH($A163,c_ID,0))</f>
        <v>شركات صغيرة</v>
      </c>
      <c r="D163" s="41" t="str">
        <f aca="false">INDEX(c_Region,MATCH($A163,c_ID,0))</f>
        <v>الوسطى</v>
      </c>
      <c r="E163" s="47" t="n">
        <f aca="false">COUNTIFS(d_Cust,$A163,d_Status,"مكتمل")</f>
        <v>9</v>
      </c>
      <c r="F163" s="42" t="n">
        <f aca="false">SUMIFS(d_Rev,d_Cust,$A163)</f>
        <v>13052</v>
      </c>
      <c r="G163" s="42" t="n">
        <f aca="false">SUMIFS(d_Profit,d_Cust,$A163)</f>
        <v>5142</v>
      </c>
      <c r="H163" s="52" t="n">
        <f aca="false">IF(COUNTIF(d_Cust,$A163)=0,"",SUMPRODUCT(MAX((d_Cust=$A163)*d_Date)))</f>
        <v>46250</v>
      </c>
      <c r="I163" s="47" t="n">
        <f aca="false">IF(H163="",$B$3-MIN(d_Date),$B$3-H163)</f>
        <v>46</v>
      </c>
      <c r="J163" s="47" t="n">
        <f aca="false">IF(I163&lt;=$B$6,4,IF(I163&lt;=$C$6,3,IF(I163&lt;=$D$6,2,1)))</f>
        <v>3</v>
      </c>
      <c r="K163" s="47" t="n">
        <f aca="false">IF(E163&gt;=$D$7,4,IF(E163&gt;=$C$7,3,IF(E163&gt;=$B$7,2,1)))</f>
        <v>3</v>
      </c>
      <c r="L163" s="47" t="n">
        <f aca="false">IF(F163&gt;=$D$8,4,IF(F163&gt;=$C$8,3,IF(F163&gt;=$B$8,2,1)))</f>
        <v>3</v>
      </c>
      <c r="M163" s="53" t="n">
        <f aca="false">J163+K163+L163</f>
        <v>9</v>
      </c>
      <c r="N163" s="41" t="str">
        <f aca="false">IF(M163&gt;=10,"أبطال",IF(M163&gt;=8,"أوفياء",IF(M163&gt;=6,"واعدون",IF(M163&gt;=4,"معرضون للفقد","نائمون"))))</f>
        <v>أوفياء</v>
      </c>
      <c r="O163" s="47" t="n">
        <f aca="false">RANK(F163,$F$21:$F$220)+COUNTIF($F$21:F163,F163)-1</f>
        <v>51</v>
      </c>
    </row>
    <row r="164" customFormat="false" ht="15" hidden="false" customHeight="false" outlineLevel="0" collapsed="false">
      <c r="A164" s="41" t="s">
        <v>375</v>
      </c>
      <c r="B164" s="41" t="str">
        <f aca="false">INDEX(c_Name,MATCH($A164,c_ID,0))</f>
        <v>محمد المطيري</v>
      </c>
      <c r="C164" s="41" t="str">
        <f aca="false">INDEX(c_Seg,MATCH($A164,c_ID,0))</f>
        <v>أفراد</v>
      </c>
      <c r="D164" s="41" t="str">
        <f aca="false">INDEX(c_Region,MATCH($A164,c_ID,0))</f>
        <v>الوسطى</v>
      </c>
      <c r="E164" s="47" t="n">
        <f aca="false">COUNTIFS(d_Cust,$A164,d_Status,"مكتمل")</f>
        <v>2</v>
      </c>
      <c r="F164" s="42" t="n">
        <f aca="false">SUMIFS(d_Rev,d_Cust,$A164)</f>
        <v>980</v>
      </c>
      <c r="G164" s="42" t="n">
        <f aca="false">SUMIFS(d_Profit,d_Cust,$A164)</f>
        <v>415</v>
      </c>
      <c r="H164" s="52" t="n">
        <f aca="false">IF(COUNTIF(d_Cust,$A164)=0,"",SUMPRODUCT(MAX((d_Cust=$A164)*d_Date)))</f>
        <v>46217</v>
      </c>
      <c r="I164" s="47" t="n">
        <f aca="false">IF(H164="",$B$3-MIN(d_Date),$B$3-H164)</f>
        <v>79</v>
      </c>
      <c r="J164" s="47" t="n">
        <f aca="false">IF(I164&lt;=$B$6,4,IF(I164&lt;=$C$6,3,IF(I164&lt;=$D$6,2,1)))</f>
        <v>2</v>
      </c>
      <c r="K164" s="47" t="n">
        <f aca="false">IF(E164&gt;=$D$7,4,IF(E164&gt;=$C$7,3,IF(E164&gt;=$B$7,2,1)))</f>
        <v>1</v>
      </c>
      <c r="L164" s="47" t="n">
        <f aca="false">IF(F164&gt;=$D$8,4,IF(F164&gt;=$C$8,3,IF(F164&gt;=$B$8,2,1)))</f>
        <v>1</v>
      </c>
      <c r="M164" s="53" t="n">
        <f aca="false">J164+K164+L164</f>
        <v>4</v>
      </c>
      <c r="N164" s="41" t="str">
        <f aca="false">IF(M164&gt;=10,"أبطال",IF(M164&gt;=8,"أوفياء",IF(M164&gt;=6,"واعدون",IF(M164&gt;=4,"معرضون للفقد","نائمون"))))</f>
        <v>معرضون للفقد</v>
      </c>
      <c r="O164" s="47" t="n">
        <f aca="false">RANK(F164,$F$21:$F$220)+COUNTIF($F$21:F164,F164)-1</f>
        <v>181</v>
      </c>
    </row>
    <row r="165" customFormat="false" ht="15" hidden="false" customHeight="false" outlineLevel="0" collapsed="false">
      <c r="A165" s="41" t="s">
        <v>376</v>
      </c>
      <c r="B165" s="41" t="str">
        <f aca="false">INDEX(c_Name,MATCH($A165,c_ID,0))</f>
        <v>لمى السبيعي</v>
      </c>
      <c r="C165" s="41" t="str">
        <f aca="false">INDEX(c_Seg,MATCH($A165,c_ID,0))</f>
        <v>أفراد</v>
      </c>
      <c r="D165" s="41" t="str">
        <f aca="false">INDEX(c_Region,MATCH($A165,c_ID,0))</f>
        <v>الشرقية</v>
      </c>
      <c r="E165" s="47" t="n">
        <f aca="false">COUNTIFS(d_Cust,$A165,d_Status,"مكتمل")</f>
        <v>4</v>
      </c>
      <c r="F165" s="42" t="n">
        <f aca="false">SUMIFS(d_Rev,d_Cust,$A165)</f>
        <v>2326</v>
      </c>
      <c r="G165" s="42" t="n">
        <f aca="false">SUMIFS(d_Profit,d_Cust,$A165)</f>
        <v>1036</v>
      </c>
      <c r="H165" s="52" t="n">
        <f aca="false">IF(COUNTIF(d_Cust,$A165)=0,"",SUMPRODUCT(MAX((d_Cust=$A165)*d_Date)))</f>
        <v>46254</v>
      </c>
      <c r="I165" s="47" t="n">
        <f aca="false">IF(H165="",$B$3-MIN(d_Date),$B$3-H165)</f>
        <v>42</v>
      </c>
      <c r="J165" s="47" t="n">
        <f aca="false">IF(I165&lt;=$B$6,4,IF(I165&lt;=$C$6,3,IF(I165&lt;=$D$6,2,1)))</f>
        <v>3</v>
      </c>
      <c r="K165" s="47" t="n">
        <f aca="false">IF(E165&gt;=$D$7,4,IF(E165&gt;=$C$7,3,IF(E165&gt;=$B$7,2,1)))</f>
        <v>2</v>
      </c>
      <c r="L165" s="47" t="n">
        <f aca="false">IF(F165&gt;=$D$8,4,IF(F165&gt;=$C$8,3,IF(F165&gt;=$B$8,2,1)))</f>
        <v>2</v>
      </c>
      <c r="M165" s="53" t="n">
        <f aca="false">J165+K165+L165</f>
        <v>7</v>
      </c>
      <c r="N165" s="41" t="str">
        <f aca="false">IF(M165&gt;=10,"أبطال",IF(M165&gt;=8,"أوفياء",IF(M165&gt;=6,"واعدون",IF(M165&gt;=4,"معرضون للفقد","نائمون"))))</f>
        <v>واعدون</v>
      </c>
      <c r="O165" s="47" t="n">
        <f aca="false">RANK(F165,$F$21:$F$220)+COUNTIF($F$21:F165,F165)-1</f>
        <v>150</v>
      </c>
    </row>
    <row r="166" customFormat="false" ht="15" hidden="false" customHeight="false" outlineLevel="0" collapsed="false">
      <c r="A166" s="41" t="s">
        <v>377</v>
      </c>
      <c r="B166" s="41" t="str">
        <f aca="false">INDEX(c_Name,MATCH($A166,c_ID,0))</f>
        <v>أحمد الخالدي</v>
      </c>
      <c r="C166" s="41" t="str">
        <f aca="false">INDEX(c_Seg,MATCH($A166,c_ID,0))</f>
        <v>شركات صغيرة</v>
      </c>
      <c r="D166" s="41" t="str">
        <f aca="false">INDEX(c_Region,MATCH($A166,c_ID,0))</f>
        <v>الجنوبية</v>
      </c>
      <c r="E166" s="47" t="n">
        <f aca="false">COUNTIFS(d_Cust,$A166,d_Status,"مكتمل")</f>
        <v>3</v>
      </c>
      <c r="F166" s="42" t="n">
        <f aca="false">SUMIFS(d_Rev,d_Cust,$A166)</f>
        <v>5592</v>
      </c>
      <c r="G166" s="42" t="n">
        <f aca="false">SUMIFS(d_Profit,d_Cust,$A166)</f>
        <v>1642</v>
      </c>
      <c r="H166" s="52" t="n">
        <f aca="false">IF(COUNTIF(d_Cust,$A166)=0,"",SUMPRODUCT(MAX((d_Cust=$A166)*d_Date)))</f>
        <v>46144</v>
      </c>
      <c r="I166" s="47" t="n">
        <f aca="false">IF(H166="",$B$3-MIN(d_Date),$B$3-H166)</f>
        <v>152</v>
      </c>
      <c r="J166" s="47" t="n">
        <f aca="false">IF(I166&lt;=$B$6,4,IF(I166&lt;=$C$6,3,IF(I166&lt;=$D$6,2,1)))</f>
        <v>1</v>
      </c>
      <c r="K166" s="47" t="n">
        <f aca="false">IF(E166&gt;=$D$7,4,IF(E166&gt;=$C$7,3,IF(E166&gt;=$B$7,2,1)))</f>
        <v>2</v>
      </c>
      <c r="L166" s="47" t="n">
        <f aca="false">IF(F166&gt;=$D$8,4,IF(F166&gt;=$C$8,3,IF(F166&gt;=$B$8,2,1)))</f>
        <v>2</v>
      </c>
      <c r="M166" s="53" t="n">
        <f aca="false">J166+K166+L166</f>
        <v>5</v>
      </c>
      <c r="N166" s="41" t="str">
        <f aca="false">IF(M166&gt;=10,"أبطال",IF(M166&gt;=8,"أوفياء",IF(M166&gt;=6,"واعدون",IF(M166&gt;=4,"معرضون للفقد","نائمون"))))</f>
        <v>معرضون للفقد</v>
      </c>
      <c r="O166" s="47" t="n">
        <f aca="false">RANK(F166,$F$21:$F$220)+COUNTIF($F$21:F166,F166)-1</f>
        <v>105</v>
      </c>
    </row>
    <row r="167" customFormat="false" ht="15" hidden="false" customHeight="false" outlineLevel="0" collapsed="false">
      <c r="A167" s="41" t="s">
        <v>378</v>
      </c>
      <c r="B167" s="41" t="str">
        <f aca="false">INDEX(c_Name,MATCH($A167,c_ID,0))</f>
        <v>هند الغامدي</v>
      </c>
      <c r="C167" s="41" t="str">
        <f aca="false">INDEX(c_Seg,MATCH($A167,c_ID,0))</f>
        <v>أفراد</v>
      </c>
      <c r="D167" s="41" t="str">
        <f aca="false">INDEX(c_Region,MATCH($A167,c_ID,0))</f>
        <v>الوسطى</v>
      </c>
      <c r="E167" s="47" t="n">
        <f aca="false">COUNTIFS(d_Cust,$A167,d_Status,"مكتمل")</f>
        <v>8</v>
      </c>
      <c r="F167" s="42" t="n">
        <f aca="false">SUMIFS(d_Rev,d_Cust,$A167)</f>
        <v>5960.5</v>
      </c>
      <c r="G167" s="42" t="n">
        <f aca="false">SUMIFS(d_Profit,d_Cust,$A167)</f>
        <v>1820.5</v>
      </c>
      <c r="H167" s="52" t="n">
        <f aca="false">IF(COUNTIF(d_Cust,$A167)=0,"",SUMPRODUCT(MAX((d_Cust=$A167)*d_Date)))</f>
        <v>46280</v>
      </c>
      <c r="I167" s="47" t="n">
        <f aca="false">IF(H167="",$B$3-MIN(d_Date),$B$3-H167)</f>
        <v>16</v>
      </c>
      <c r="J167" s="47" t="n">
        <f aca="false">IF(I167&lt;=$B$6,4,IF(I167&lt;=$C$6,3,IF(I167&lt;=$D$6,2,1)))</f>
        <v>4</v>
      </c>
      <c r="K167" s="47" t="n">
        <f aca="false">IF(E167&gt;=$D$7,4,IF(E167&gt;=$C$7,3,IF(E167&gt;=$B$7,2,1)))</f>
        <v>3</v>
      </c>
      <c r="L167" s="47" t="n">
        <f aca="false">IF(F167&gt;=$D$8,4,IF(F167&gt;=$C$8,3,IF(F167&gt;=$B$8,2,1)))</f>
        <v>3</v>
      </c>
      <c r="M167" s="53" t="n">
        <f aca="false">J167+K167+L167</f>
        <v>10</v>
      </c>
      <c r="N167" s="41" t="str">
        <f aca="false">IF(M167&gt;=10,"أبطال",IF(M167&gt;=8,"أوفياء",IF(M167&gt;=6,"واعدون",IF(M167&gt;=4,"معرضون للفقد","نائمون"))))</f>
        <v>أبطال</v>
      </c>
      <c r="O167" s="47" t="n">
        <f aca="false">RANK(F167,$F$21:$F$220)+COUNTIF($F$21:F167,F167)-1</f>
        <v>99</v>
      </c>
    </row>
    <row r="168" customFormat="false" ht="15" hidden="false" customHeight="false" outlineLevel="0" collapsed="false">
      <c r="A168" s="41" t="s">
        <v>379</v>
      </c>
      <c r="B168" s="41" t="str">
        <f aca="false">INDEX(c_Name,MATCH($A168,c_ID,0))</f>
        <v>ناصر العنزي</v>
      </c>
      <c r="C168" s="41" t="str">
        <f aca="false">INDEX(c_Seg,MATCH($A168,c_ID,0))</f>
        <v>أفراد</v>
      </c>
      <c r="D168" s="41" t="str">
        <f aca="false">INDEX(c_Region,MATCH($A168,c_ID,0))</f>
        <v>الغربية</v>
      </c>
      <c r="E168" s="47" t="n">
        <f aca="false">COUNTIFS(d_Cust,$A168,d_Status,"مكتمل")</f>
        <v>4</v>
      </c>
      <c r="F168" s="42" t="n">
        <f aca="false">SUMIFS(d_Rev,d_Cust,$A168)</f>
        <v>4639</v>
      </c>
      <c r="G168" s="42" t="n">
        <f aca="false">SUMIFS(d_Profit,d_Cust,$A168)</f>
        <v>1539</v>
      </c>
      <c r="H168" s="52" t="n">
        <f aca="false">IF(COUNTIF(d_Cust,$A168)=0,"",SUMPRODUCT(MAX((d_Cust=$A168)*d_Date)))</f>
        <v>46192</v>
      </c>
      <c r="I168" s="47" t="n">
        <f aca="false">IF(H168="",$B$3-MIN(d_Date),$B$3-H168)</f>
        <v>104</v>
      </c>
      <c r="J168" s="47" t="n">
        <f aca="false">IF(I168&lt;=$B$6,4,IF(I168&lt;=$C$6,3,IF(I168&lt;=$D$6,2,1)))</f>
        <v>2</v>
      </c>
      <c r="K168" s="47" t="n">
        <f aca="false">IF(E168&gt;=$D$7,4,IF(E168&gt;=$C$7,3,IF(E168&gt;=$B$7,2,1)))</f>
        <v>2</v>
      </c>
      <c r="L168" s="47" t="n">
        <f aca="false">IF(F168&gt;=$D$8,4,IF(F168&gt;=$C$8,3,IF(F168&gt;=$B$8,2,1)))</f>
        <v>2</v>
      </c>
      <c r="M168" s="53" t="n">
        <f aca="false">J168+K168+L168</f>
        <v>6</v>
      </c>
      <c r="N168" s="41" t="str">
        <f aca="false">IF(M168&gt;=10,"أبطال",IF(M168&gt;=8,"أوفياء",IF(M168&gt;=6,"واعدون",IF(M168&gt;=4,"معرضون للفقد","نائمون"))))</f>
        <v>واعدون</v>
      </c>
      <c r="O168" s="47" t="n">
        <f aca="false">RANK(F168,$F$21:$F$220)+COUNTIF($F$21:F168,F168)-1</f>
        <v>111</v>
      </c>
    </row>
    <row r="169" customFormat="false" ht="15" hidden="false" customHeight="false" outlineLevel="0" collapsed="false">
      <c r="A169" s="41" t="s">
        <v>380</v>
      </c>
      <c r="B169" s="41" t="str">
        <f aca="false">INDEX(c_Name,MATCH($A169,c_ID,0))</f>
        <v>عبدالله الغامدي</v>
      </c>
      <c r="C169" s="41" t="str">
        <f aca="false">INDEX(c_Seg,MATCH($A169,c_ID,0))</f>
        <v>أفراد</v>
      </c>
      <c r="D169" s="41" t="str">
        <f aca="false">INDEX(c_Region,MATCH($A169,c_ID,0))</f>
        <v>الوسطى</v>
      </c>
      <c r="E169" s="47" t="n">
        <f aca="false">COUNTIFS(d_Cust,$A169,d_Status,"مكتمل")</f>
        <v>4</v>
      </c>
      <c r="F169" s="42" t="n">
        <f aca="false">SUMIFS(d_Rev,d_Cust,$A169)</f>
        <v>2543</v>
      </c>
      <c r="G169" s="42" t="n">
        <f aca="false">SUMIFS(d_Profit,d_Cust,$A169)</f>
        <v>1023</v>
      </c>
      <c r="H169" s="52" t="n">
        <f aca="false">IF(COUNTIF(d_Cust,$A169)=0,"",SUMPRODUCT(MAX((d_Cust=$A169)*d_Date)))</f>
        <v>46248</v>
      </c>
      <c r="I169" s="47" t="n">
        <f aca="false">IF(H169="",$B$3-MIN(d_Date),$B$3-H169)</f>
        <v>48</v>
      </c>
      <c r="J169" s="47" t="n">
        <f aca="false">IF(I169&lt;=$B$6,4,IF(I169&lt;=$C$6,3,IF(I169&lt;=$D$6,2,1)))</f>
        <v>2</v>
      </c>
      <c r="K169" s="47" t="n">
        <f aca="false">IF(E169&gt;=$D$7,4,IF(E169&gt;=$C$7,3,IF(E169&gt;=$B$7,2,1)))</f>
        <v>2</v>
      </c>
      <c r="L169" s="47" t="n">
        <f aca="false">IF(F169&gt;=$D$8,4,IF(F169&gt;=$C$8,3,IF(F169&gt;=$B$8,2,1)))</f>
        <v>2</v>
      </c>
      <c r="M169" s="53" t="n">
        <f aca="false">J169+K169+L169</f>
        <v>6</v>
      </c>
      <c r="N169" s="41" t="str">
        <f aca="false">IF(M169&gt;=10,"أبطال",IF(M169&gt;=8,"أوفياء",IF(M169&gt;=6,"واعدون",IF(M169&gt;=4,"معرضون للفقد","نائمون"))))</f>
        <v>واعدون</v>
      </c>
      <c r="O169" s="47" t="n">
        <f aca="false">RANK(F169,$F$21:$F$220)+COUNTIF($F$21:F169,F169)-1</f>
        <v>147</v>
      </c>
    </row>
    <row r="170" customFormat="false" ht="15" hidden="false" customHeight="false" outlineLevel="0" collapsed="false">
      <c r="A170" s="41" t="s">
        <v>381</v>
      </c>
      <c r="B170" s="41" t="str">
        <f aca="false">INDEX(c_Name,MATCH($A170,c_ID,0))</f>
        <v>عبدالله الخالدي</v>
      </c>
      <c r="C170" s="41" t="str">
        <f aca="false">INDEX(c_Seg,MATCH($A170,c_ID,0))</f>
        <v>شركات صغيرة</v>
      </c>
      <c r="D170" s="41" t="str">
        <f aca="false">INDEX(c_Region,MATCH($A170,c_ID,0))</f>
        <v>الغربية</v>
      </c>
      <c r="E170" s="47" t="n">
        <f aca="false">COUNTIFS(d_Cust,$A170,d_Status,"مكتمل")</f>
        <v>0</v>
      </c>
      <c r="F170" s="42" t="n">
        <f aca="false">SUMIFS(d_Rev,d_Cust,$A170)</f>
        <v>0</v>
      </c>
      <c r="G170" s="42" t="n">
        <f aca="false">SUMIFS(d_Profit,d_Cust,$A170)</f>
        <v>0</v>
      </c>
      <c r="H170" s="52" t="str">
        <f aca="false">IF(COUNTIF(d_Cust,$A170)=0,"",SUMPRODUCT(MAX((d_Cust=$A170)*d_Date)))</f>
        <v/>
      </c>
      <c r="I170" s="47" t="n">
        <f aca="false">IF(H170="",$B$3-MIN(d_Date),$B$3-H170)</f>
        <v>365</v>
      </c>
      <c r="J170" s="47" t="n">
        <f aca="false">IF(I170&lt;=$B$6,4,IF(I170&lt;=$C$6,3,IF(I170&lt;=$D$6,2,1)))</f>
        <v>1</v>
      </c>
      <c r="K170" s="47" t="n">
        <f aca="false">IF(E170&gt;=$D$7,4,IF(E170&gt;=$C$7,3,IF(E170&gt;=$B$7,2,1)))</f>
        <v>1</v>
      </c>
      <c r="L170" s="47" t="n">
        <f aca="false">IF(F170&gt;=$D$8,4,IF(F170&gt;=$C$8,3,IF(F170&gt;=$B$8,2,1)))</f>
        <v>1</v>
      </c>
      <c r="M170" s="53" t="n">
        <f aca="false">J170+K170+L170</f>
        <v>3</v>
      </c>
      <c r="N170" s="41" t="str">
        <f aca="false">IF(M170&gt;=10,"أبطال",IF(M170&gt;=8,"أوفياء",IF(M170&gt;=6,"واعدون",IF(M170&gt;=4,"معرضون للفقد","نائمون"))))</f>
        <v>نائمون</v>
      </c>
      <c r="O170" s="47" t="n">
        <f aca="false">RANK(F170,$F$21:$F$220)+COUNTIF($F$21:F170,F170)-1</f>
        <v>197</v>
      </c>
    </row>
    <row r="171" customFormat="false" ht="15" hidden="false" customHeight="false" outlineLevel="0" collapsed="false">
      <c r="A171" s="41" t="s">
        <v>382</v>
      </c>
      <c r="B171" s="41" t="str">
        <f aca="false">INDEX(c_Name,MATCH($A171,c_ID,0))</f>
        <v>دانة العتيبي</v>
      </c>
      <c r="C171" s="41" t="str">
        <f aca="false">INDEX(c_Seg,MATCH($A171,c_ID,0))</f>
        <v>مؤسسات</v>
      </c>
      <c r="D171" s="41" t="str">
        <f aca="false">INDEX(c_Region,MATCH($A171,c_ID,0))</f>
        <v>الشرقية</v>
      </c>
      <c r="E171" s="47" t="n">
        <f aca="false">COUNTIFS(d_Cust,$A171,d_Status,"مكتمل")</f>
        <v>10</v>
      </c>
      <c r="F171" s="42" t="n">
        <f aca="false">SUMIFS(d_Rev,d_Cust,$A171)</f>
        <v>56386.5</v>
      </c>
      <c r="G171" s="42" t="n">
        <f aca="false">SUMIFS(d_Profit,d_Cust,$A171)</f>
        <v>19461.5</v>
      </c>
      <c r="H171" s="52" t="n">
        <f aca="false">IF(COUNTIF(d_Cust,$A171)=0,"",SUMPRODUCT(MAX((d_Cust=$A171)*d_Date)))</f>
        <v>46292</v>
      </c>
      <c r="I171" s="47" t="n">
        <f aca="false">IF(H171="",$B$3-MIN(d_Date),$B$3-H171)</f>
        <v>4</v>
      </c>
      <c r="J171" s="47" t="n">
        <f aca="false">IF(I171&lt;=$B$6,4,IF(I171&lt;=$C$6,3,IF(I171&lt;=$D$6,2,1)))</f>
        <v>4</v>
      </c>
      <c r="K171" s="47" t="n">
        <f aca="false">IF(E171&gt;=$D$7,4,IF(E171&gt;=$C$7,3,IF(E171&gt;=$B$7,2,1)))</f>
        <v>4</v>
      </c>
      <c r="L171" s="47" t="n">
        <f aca="false">IF(F171&gt;=$D$8,4,IF(F171&gt;=$C$8,3,IF(F171&gt;=$B$8,2,1)))</f>
        <v>4</v>
      </c>
      <c r="M171" s="53" t="n">
        <f aca="false">J171+K171+L171</f>
        <v>12</v>
      </c>
      <c r="N171" s="41" t="str">
        <f aca="false">IF(M171&gt;=10,"أبطال",IF(M171&gt;=8,"أوفياء",IF(M171&gt;=6,"واعدون",IF(M171&gt;=4,"معرضون للفقد","نائمون"))))</f>
        <v>أبطال</v>
      </c>
      <c r="O171" s="47" t="n">
        <f aca="false">RANK(F171,$F$21:$F$220)+COUNTIF($F$21:F171,F171)-1</f>
        <v>6</v>
      </c>
    </row>
    <row r="172" customFormat="false" ht="15" hidden="false" customHeight="false" outlineLevel="0" collapsed="false">
      <c r="A172" s="41" t="s">
        <v>383</v>
      </c>
      <c r="B172" s="41" t="str">
        <f aca="false">INDEX(c_Name,MATCH($A172,c_ID,0))</f>
        <v>منى الشمري</v>
      </c>
      <c r="C172" s="41" t="str">
        <f aca="false">INDEX(c_Seg,MATCH($A172,c_ID,0))</f>
        <v>شركات صغيرة</v>
      </c>
      <c r="D172" s="41" t="str">
        <f aca="false">INDEX(c_Region,MATCH($A172,c_ID,0))</f>
        <v>الغربية</v>
      </c>
      <c r="E172" s="47" t="n">
        <f aca="false">COUNTIFS(d_Cust,$A172,d_Status,"مكتمل")</f>
        <v>3</v>
      </c>
      <c r="F172" s="42" t="n">
        <f aca="false">SUMIFS(d_Rev,d_Cust,$A172)</f>
        <v>10800</v>
      </c>
      <c r="G172" s="42" t="n">
        <f aca="false">SUMIFS(d_Profit,d_Cust,$A172)</f>
        <v>3480</v>
      </c>
      <c r="H172" s="52" t="n">
        <f aca="false">IF(COUNTIF(d_Cust,$A172)=0,"",SUMPRODUCT(MAX((d_Cust=$A172)*d_Date)))</f>
        <v>46225</v>
      </c>
      <c r="I172" s="47" t="n">
        <f aca="false">IF(H172="",$B$3-MIN(d_Date),$B$3-H172)</f>
        <v>71</v>
      </c>
      <c r="J172" s="47" t="n">
        <f aca="false">IF(I172&lt;=$B$6,4,IF(I172&lt;=$C$6,3,IF(I172&lt;=$D$6,2,1)))</f>
        <v>2</v>
      </c>
      <c r="K172" s="47" t="n">
        <f aca="false">IF(E172&gt;=$D$7,4,IF(E172&gt;=$C$7,3,IF(E172&gt;=$B$7,2,1)))</f>
        <v>2</v>
      </c>
      <c r="L172" s="47" t="n">
        <f aca="false">IF(F172&gt;=$D$8,4,IF(F172&gt;=$C$8,3,IF(F172&gt;=$B$8,2,1)))</f>
        <v>3</v>
      </c>
      <c r="M172" s="53" t="n">
        <f aca="false">J172+K172+L172</f>
        <v>7</v>
      </c>
      <c r="N172" s="41" t="str">
        <f aca="false">IF(M172&gt;=10,"أبطال",IF(M172&gt;=8,"أوفياء",IF(M172&gt;=6,"واعدون",IF(M172&gt;=4,"معرضون للفقد","نائمون"))))</f>
        <v>واعدون</v>
      </c>
      <c r="O172" s="47" t="n">
        <f aca="false">RANK(F172,$F$21:$F$220)+COUNTIF($F$21:F172,F172)-1</f>
        <v>64</v>
      </c>
    </row>
    <row r="173" customFormat="false" ht="15" hidden="false" customHeight="false" outlineLevel="0" collapsed="false">
      <c r="A173" s="41" t="s">
        <v>384</v>
      </c>
      <c r="B173" s="41" t="str">
        <f aca="false">INDEX(c_Name,MATCH($A173,c_ID,0))</f>
        <v>سلمان الشهري</v>
      </c>
      <c r="C173" s="41" t="str">
        <f aca="false">INDEX(c_Seg,MATCH($A173,c_ID,0))</f>
        <v>شركات صغيرة</v>
      </c>
      <c r="D173" s="41" t="str">
        <f aca="false">INDEX(c_Region,MATCH($A173,c_ID,0))</f>
        <v>الجنوبية</v>
      </c>
      <c r="E173" s="47" t="n">
        <f aca="false">COUNTIFS(d_Cust,$A173,d_Status,"مكتمل")</f>
        <v>2</v>
      </c>
      <c r="F173" s="42" t="n">
        <f aca="false">SUMIFS(d_Rev,d_Cust,$A173)</f>
        <v>3200</v>
      </c>
      <c r="G173" s="42" t="n">
        <f aca="false">SUMIFS(d_Profit,d_Cust,$A173)</f>
        <v>1440</v>
      </c>
      <c r="H173" s="52" t="n">
        <f aca="false">IF(COUNTIF(d_Cust,$A173)=0,"",SUMPRODUCT(MAX((d_Cust=$A173)*d_Date)))</f>
        <v>46274</v>
      </c>
      <c r="I173" s="47" t="n">
        <f aca="false">IF(H173="",$B$3-MIN(d_Date),$B$3-H173)</f>
        <v>22</v>
      </c>
      <c r="J173" s="47" t="n">
        <f aca="false">IF(I173&lt;=$B$6,4,IF(I173&lt;=$C$6,3,IF(I173&lt;=$D$6,2,1)))</f>
        <v>3</v>
      </c>
      <c r="K173" s="47" t="n">
        <f aca="false">IF(E173&gt;=$D$7,4,IF(E173&gt;=$C$7,3,IF(E173&gt;=$B$7,2,1)))</f>
        <v>1</v>
      </c>
      <c r="L173" s="47" t="n">
        <f aca="false">IF(F173&gt;=$D$8,4,IF(F173&gt;=$C$8,3,IF(F173&gt;=$B$8,2,1)))</f>
        <v>2</v>
      </c>
      <c r="M173" s="53" t="n">
        <f aca="false">J173+K173+L173</f>
        <v>6</v>
      </c>
      <c r="N173" s="41" t="str">
        <f aca="false">IF(M173&gt;=10,"أبطال",IF(M173&gt;=8,"أوفياء",IF(M173&gt;=6,"واعدون",IF(M173&gt;=4,"معرضون للفقد","نائمون"))))</f>
        <v>واعدون</v>
      </c>
      <c r="O173" s="47" t="n">
        <f aca="false">RANK(F173,$F$21:$F$220)+COUNTIF($F$21:F173,F173)-1</f>
        <v>134</v>
      </c>
    </row>
    <row r="174" customFormat="false" ht="15" hidden="false" customHeight="false" outlineLevel="0" collapsed="false">
      <c r="A174" s="41" t="s">
        <v>385</v>
      </c>
      <c r="B174" s="41" t="str">
        <f aca="false">INDEX(c_Name,MATCH($A174,c_ID,0))</f>
        <v>سارة الشهري</v>
      </c>
      <c r="C174" s="41" t="str">
        <f aca="false">INDEX(c_Seg,MATCH($A174,c_ID,0))</f>
        <v>أفراد</v>
      </c>
      <c r="D174" s="41" t="str">
        <f aca="false">INDEX(c_Region,MATCH($A174,c_ID,0))</f>
        <v>الشرقية</v>
      </c>
      <c r="E174" s="47" t="n">
        <f aca="false">COUNTIFS(d_Cust,$A174,d_Status,"مكتمل")</f>
        <v>9</v>
      </c>
      <c r="F174" s="42" t="n">
        <f aca="false">SUMIFS(d_Rev,d_Cust,$A174)</f>
        <v>8764</v>
      </c>
      <c r="G174" s="42" t="n">
        <f aca="false">SUMIFS(d_Profit,d_Cust,$A174)</f>
        <v>3034</v>
      </c>
      <c r="H174" s="52" t="n">
        <f aca="false">IF(COUNTIF(d_Cust,$A174)=0,"",SUMPRODUCT(MAX((d_Cust=$A174)*d_Date)))</f>
        <v>46290</v>
      </c>
      <c r="I174" s="47" t="n">
        <f aca="false">IF(H174="",$B$3-MIN(d_Date),$B$3-H174)</f>
        <v>6</v>
      </c>
      <c r="J174" s="47" t="n">
        <f aca="false">IF(I174&lt;=$B$6,4,IF(I174&lt;=$C$6,3,IF(I174&lt;=$D$6,2,1)))</f>
        <v>4</v>
      </c>
      <c r="K174" s="47" t="n">
        <f aca="false">IF(E174&gt;=$D$7,4,IF(E174&gt;=$C$7,3,IF(E174&gt;=$B$7,2,1)))</f>
        <v>3</v>
      </c>
      <c r="L174" s="47" t="n">
        <f aca="false">IF(F174&gt;=$D$8,4,IF(F174&gt;=$C$8,3,IF(F174&gt;=$B$8,2,1)))</f>
        <v>3</v>
      </c>
      <c r="M174" s="53" t="n">
        <f aca="false">J174+K174+L174</f>
        <v>10</v>
      </c>
      <c r="N174" s="41" t="str">
        <f aca="false">IF(M174&gt;=10,"أبطال",IF(M174&gt;=8,"أوفياء",IF(M174&gt;=6,"واعدون",IF(M174&gt;=4,"معرضون للفقد","نائمون"))))</f>
        <v>أبطال</v>
      </c>
      <c r="O174" s="47" t="n">
        <f aca="false">RANK(F174,$F$21:$F$220)+COUNTIF($F$21:F174,F174)-1</f>
        <v>75</v>
      </c>
    </row>
    <row r="175" customFormat="false" ht="15" hidden="false" customHeight="false" outlineLevel="0" collapsed="false">
      <c r="A175" s="41" t="s">
        <v>386</v>
      </c>
      <c r="B175" s="41" t="str">
        <f aca="false">INDEX(c_Name,MATCH($A175,c_ID,0))</f>
        <v>نورة الشمري</v>
      </c>
      <c r="C175" s="41" t="str">
        <f aca="false">INDEX(c_Seg,MATCH($A175,c_ID,0))</f>
        <v>أفراد</v>
      </c>
      <c r="D175" s="41" t="str">
        <f aca="false">INDEX(c_Region,MATCH($A175,c_ID,0))</f>
        <v>الغربية</v>
      </c>
      <c r="E175" s="47" t="n">
        <f aca="false">COUNTIFS(d_Cust,$A175,d_Status,"مكتمل")</f>
        <v>12</v>
      </c>
      <c r="F175" s="42" t="n">
        <f aca="false">SUMIFS(d_Rev,d_Cust,$A175)</f>
        <v>10928</v>
      </c>
      <c r="G175" s="42" t="n">
        <f aca="false">SUMIFS(d_Profit,d_Cust,$A175)</f>
        <v>4148</v>
      </c>
      <c r="H175" s="52" t="n">
        <f aca="false">IF(COUNTIF(d_Cust,$A175)=0,"",SUMPRODUCT(MAX((d_Cust=$A175)*d_Date)))</f>
        <v>46273</v>
      </c>
      <c r="I175" s="47" t="n">
        <f aca="false">IF(H175="",$B$3-MIN(d_Date),$B$3-H175)</f>
        <v>23</v>
      </c>
      <c r="J175" s="47" t="n">
        <f aca="false">IF(I175&lt;=$B$6,4,IF(I175&lt;=$C$6,3,IF(I175&lt;=$D$6,2,1)))</f>
        <v>3</v>
      </c>
      <c r="K175" s="47" t="n">
        <f aca="false">IF(E175&gt;=$D$7,4,IF(E175&gt;=$C$7,3,IF(E175&gt;=$B$7,2,1)))</f>
        <v>4</v>
      </c>
      <c r="L175" s="47" t="n">
        <f aca="false">IF(F175&gt;=$D$8,4,IF(F175&gt;=$C$8,3,IF(F175&gt;=$B$8,2,1)))</f>
        <v>3</v>
      </c>
      <c r="M175" s="53" t="n">
        <f aca="false">J175+K175+L175</f>
        <v>10</v>
      </c>
      <c r="N175" s="41" t="str">
        <f aca="false">IF(M175&gt;=10,"أبطال",IF(M175&gt;=8,"أوفياء",IF(M175&gt;=6,"واعدون",IF(M175&gt;=4,"معرضون للفقد","نائمون"))))</f>
        <v>أبطال</v>
      </c>
      <c r="O175" s="47" t="n">
        <f aca="false">RANK(F175,$F$21:$F$220)+COUNTIF($F$21:F175,F175)-1</f>
        <v>60</v>
      </c>
    </row>
    <row r="176" customFormat="false" ht="15" hidden="false" customHeight="false" outlineLevel="0" collapsed="false">
      <c r="A176" s="41" t="s">
        <v>387</v>
      </c>
      <c r="B176" s="41" t="str">
        <f aca="false">INDEX(c_Name,MATCH($A176,c_ID,0))</f>
        <v>لمى الشمري</v>
      </c>
      <c r="C176" s="41" t="str">
        <f aca="false">INDEX(c_Seg,MATCH($A176,c_ID,0))</f>
        <v>أفراد</v>
      </c>
      <c r="D176" s="41" t="str">
        <f aca="false">INDEX(c_Region,MATCH($A176,c_ID,0))</f>
        <v>الوسطى</v>
      </c>
      <c r="E176" s="47" t="n">
        <f aca="false">COUNTIFS(d_Cust,$A176,d_Status,"مكتمل")</f>
        <v>21</v>
      </c>
      <c r="F176" s="42" t="n">
        <f aca="false">SUMIFS(d_Rev,d_Cust,$A176)</f>
        <v>19260</v>
      </c>
      <c r="G176" s="42" t="n">
        <f aca="false">SUMIFS(d_Profit,d_Cust,$A176)</f>
        <v>6980</v>
      </c>
      <c r="H176" s="52" t="n">
        <f aca="false">IF(COUNTIF(d_Cust,$A176)=0,"",SUMPRODUCT(MAX((d_Cust=$A176)*d_Date)))</f>
        <v>46283</v>
      </c>
      <c r="I176" s="47" t="n">
        <f aca="false">IF(H176="",$B$3-MIN(d_Date),$B$3-H176)</f>
        <v>13</v>
      </c>
      <c r="J176" s="47" t="n">
        <f aca="false">IF(I176&lt;=$B$6,4,IF(I176&lt;=$C$6,3,IF(I176&lt;=$D$6,2,1)))</f>
        <v>4</v>
      </c>
      <c r="K176" s="47" t="n">
        <f aca="false">IF(E176&gt;=$D$7,4,IF(E176&gt;=$C$7,3,IF(E176&gt;=$B$7,2,1)))</f>
        <v>4</v>
      </c>
      <c r="L176" s="47" t="n">
        <f aca="false">IF(F176&gt;=$D$8,4,IF(F176&gt;=$C$8,3,IF(F176&gt;=$B$8,2,1)))</f>
        <v>4</v>
      </c>
      <c r="M176" s="53" t="n">
        <f aca="false">J176+K176+L176</f>
        <v>12</v>
      </c>
      <c r="N176" s="41" t="str">
        <f aca="false">IF(M176&gt;=10,"أبطال",IF(M176&gt;=8,"أوفياء",IF(M176&gt;=6,"واعدون",IF(M176&gt;=4,"معرضون للفقد","نائمون"))))</f>
        <v>أبطال</v>
      </c>
      <c r="O176" s="47" t="n">
        <f aca="false">RANK(F176,$F$21:$F$220)+COUNTIF($F$21:F176,F176)-1</f>
        <v>27</v>
      </c>
    </row>
    <row r="177" customFormat="false" ht="15" hidden="false" customHeight="false" outlineLevel="0" collapsed="false">
      <c r="A177" s="41" t="s">
        <v>388</v>
      </c>
      <c r="B177" s="41" t="str">
        <f aca="false">INDEX(c_Name,MATCH($A177,c_ID,0))</f>
        <v>منى الخالدي</v>
      </c>
      <c r="C177" s="41" t="str">
        <f aca="false">INDEX(c_Seg,MATCH($A177,c_ID,0))</f>
        <v>أفراد</v>
      </c>
      <c r="D177" s="41" t="str">
        <f aca="false">INDEX(c_Region,MATCH($A177,c_ID,0))</f>
        <v>الجنوبية</v>
      </c>
      <c r="E177" s="47" t="n">
        <f aca="false">COUNTIFS(d_Cust,$A177,d_Status,"مكتمل")</f>
        <v>4</v>
      </c>
      <c r="F177" s="42" t="n">
        <f aca="false">SUMIFS(d_Rev,d_Cust,$A177)</f>
        <v>5556</v>
      </c>
      <c r="G177" s="42" t="n">
        <f aca="false">SUMIFS(d_Profit,d_Cust,$A177)</f>
        <v>1416</v>
      </c>
      <c r="H177" s="52" t="n">
        <f aca="false">IF(COUNTIF(d_Cust,$A177)=0,"",SUMPRODUCT(MAX((d_Cust=$A177)*d_Date)))</f>
        <v>46282</v>
      </c>
      <c r="I177" s="47" t="n">
        <f aca="false">IF(H177="",$B$3-MIN(d_Date),$B$3-H177)</f>
        <v>14</v>
      </c>
      <c r="J177" s="47" t="n">
        <f aca="false">IF(I177&lt;=$B$6,4,IF(I177&lt;=$C$6,3,IF(I177&lt;=$D$6,2,1)))</f>
        <v>4</v>
      </c>
      <c r="K177" s="47" t="n">
        <f aca="false">IF(E177&gt;=$D$7,4,IF(E177&gt;=$C$7,3,IF(E177&gt;=$B$7,2,1)))</f>
        <v>2</v>
      </c>
      <c r="L177" s="47" t="n">
        <f aca="false">IF(F177&gt;=$D$8,4,IF(F177&gt;=$C$8,3,IF(F177&gt;=$B$8,2,1)))</f>
        <v>2</v>
      </c>
      <c r="M177" s="53" t="n">
        <f aca="false">J177+K177+L177</f>
        <v>8</v>
      </c>
      <c r="N177" s="41" t="str">
        <f aca="false">IF(M177&gt;=10,"أبطال",IF(M177&gt;=8,"أوفياء",IF(M177&gt;=6,"واعدون",IF(M177&gt;=4,"معرضون للفقد","نائمون"))))</f>
        <v>أوفياء</v>
      </c>
      <c r="O177" s="47" t="n">
        <f aca="false">RANK(F177,$F$21:$F$220)+COUNTIF($F$21:F177,F177)-1</f>
        <v>106</v>
      </c>
    </row>
    <row r="178" customFormat="false" ht="15" hidden="false" customHeight="false" outlineLevel="0" collapsed="false">
      <c r="A178" s="41" t="s">
        <v>389</v>
      </c>
      <c r="B178" s="41" t="str">
        <f aca="false">INDEX(c_Name,MATCH($A178,c_ID,0))</f>
        <v>ليلى القحطاني</v>
      </c>
      <c r="C178" s="41" t="str">
        <f aca="false">INDEX(c_Seg,MATCH($A178,c_ID,0))</f>
        <v>شركات صغيرة</v>
      </c>
      <c r="D178" s="41" t="str">
        <f aca="false">INDEX(c_Region,MATCH($A178,c_ID,0))</f>
        <v>الشرقية</v>
      </c>
      <c r="E178" s="47" t="n">
        <f aca="false">COUNTIFS(d_Cust,$A178,d_Status,"مكتمل")</f>
        <v>8</v>
      </c>
      <c r="F178" s="42" t="n">
        <f aca="false">SUMIFS(d_Rev,d_Cust,$A178)</f>
        <v>15788</v>
      </c>
      <c r="G178" s="42" t="n">
        <f aca="false">SUMIFS(d_Profit,d_Cust,$A178)</f>
        <v>5853</v>
      </c>
      <c r="H178" s="52" t="n">
        <f aca="false">IF(COUNTIF(d_Cust,$A178)=0,"",SUMPRODUCT(MAX((d_Cust=$A178)*d_Date)))</f>
        <v>46238</v>
      </c>
      <c r="I178" s="47" t="n">
        <f aca="false">IF(H178="",$B$3-MIN(d_Date),$B$3-H178)</f>
        <v>58</v>
      </c>
      <c r="J178" s="47" t="n">
        <f aca="false">IF(I178&lt;=$B$6,4,IF(I178&lt;=$C$6,3,IF(I178&lt;=$D$6,2,1)))</f>
        <v>2</v>
      </c>
      <c r="K178" s="47" t="n">
        <f aca="false">IF(E178&gt;=$D$7,4,IF(E178&gt;=$C$7,3,IF(E178&gt;=$B$7,2,1)))</f>
        <v>3</v>
      </c>
      <c r="L178" s="47" t="n">
        <f aca="false">IF(F178&gt;=$D$8,4,IF(F178&gt;=$C$8,3,IF(F178&gt;=$B$8,2,1)))</f>
        <v>4</v>
      </c>
      <c r="M178" s="53" t="n">
        <f aca="false">J178+K178+L178</f>
        <v>9</v>
      </c>
      <c r="N178" s="41" t="str">
        <f aca="false">IF(M178&gt;=10,"أبطال",IF(M178&gt;=8,"أوفياء",IF(M178&gt;=6,"واعدون",IF(M178&gt;=4,"معرضون للفقد","نائمون"))))</f>
        <v>أوفياء</v>
      </c>
      <c r="O178" s="47" t="n">
        <f aca="false">RANK(F178,$F$21:$F$220)+COUNTIF($F$21:F178,F178)-1</f>
        <v>36</v>
      </c>
    </row>
    <row r="179" customFormat="false" ht="15" hidden="false" customHeight="false" outlineLevel="0" collapsed="false">
      <c r="A179" s="41" t="s">
        <v>390</v>
      </c>
      <c r="B179" s="41" t="str">
        <f aca="false">INDEX(c_Name,MATCH($A179,c_ID,0))</f>
        <v>هند الشهري</v>
      </c>
      <c r="C179" s="41" t="str">
        <f aca="false">INDEX(c_Seg,MATCH($A179,c_ID,0))</f>
        <v>أفراد</v>
      </c>
      <c r="D179" s="41" t="str">
        <f aca="false">INDEX(c_Region,MATCH($A179,c_ID,0))</f>
        <v>الغربية</v>
      </c>
      <c r="E179" s="47" t="n">
        <f aca="false">COUNTIFS(d_Cust,$A179,d_Status,"مكتمل")</f>
        <v>0</v>
      </c>
      <c r="F179" s="42" t="n">
        <f aca="false">SUMIFS(d_Rev,d_Cust,$A179)</f>
        <v>0</v>
      </c>
      <c r="G179" s="42" t="n">
        <f aca="false">SUMIFS(d_Profit,d_Cust,$A179)</f>
        <v>0</v>
      </c>
      <c r="H179" s="52" t="str">
        <f aca="false">IF(COUNTIF(d_Cust,$A179)=0,"",SUMPRODUCT(MAX((d_Cust=$A179)*d_Date)))</f>
        <v/>
      </c>
      <c r="I179" s="47" t="n">
        <f aca="false">IF(H179="",$B$3-MIN(d_Date),$B$3-H179)</f>
        <v>365</v>
      </c>
      <c r="J179" s="47" t="n">
        <f aca="false">IF(I179&lt;=$B$6,4,IF(I179&lt;=$C$6,3,IF(I179&lt;=$D$6,2,1)))</f>
        <v>1</v>
      </c>
      <c r="K179" s="47" t="n">
        <f aca="false">IF(E179&gt;=$D$7,4,IF(E179&gt;=$C$7,3,IF(E179&gt;=$B$7,2,1)))</f>
        <v>1</v>
      </c>
      <c r="L179" s="47" t="n">
        <f aca="false">IF(F179&gt;=$D$8,4,IF(F179&gt;=$C$8,3,IF(F179&gt;=$B$8,2,1)))</f>
        <v>1</v>
      </c>
      <c r="M179" s="53" t="n">
        <f aca="false">J179+K179+L179</f>
        <v>3</v>
      </c>
      <c r="N179" s="41" t="str">
        <f aca="false">IF(M179&gt;=10,"أبطال",IF(M179&gt;=8,"أوفياء",IF(M179&gt;=6,"واعدون",IF(M179&gt;=4,"معرضون للفقد","نائمون"))))</f>
        <v>نائمون</v>
      </c>
      <c r="O179" s="47" t="n">
        <f aca="false">RANK(F179,$F$21:$F$220)+COUNTIF($F$21:F179,F179)-1</f>
        <v>198</v>
      </c>
    </row>
    <row r="180" customFormat="false" ht="15" hidden="false" customHeight="false" outlineLevel="0" collapsed="false">
      <c r="A180" s="41" t="s">
        <v>391</v>
      </c>
      <c r="B180" s="41" t="str">
        <f aca="false">INDEX(c_Name,MATCH($A180,c_ID,0))</f>
        <v>أحمد المطيري</v>
      </c>
      <c r="C180" s="41" t="str">
        <f aca="false">INDEX(c_Seg,MATCH($A180,c_ID,0))</f>
        <v>أفراد</v>
      </c>
      <c r="D180" s="41" t="str">
        <f aca="false">INDEX(c_Region,MATCH($A180,c_ID,0))</f>
        <v>الوسطى</v>
      </c>
      <c r="E180" s="47" t="n">
        <f aca="false">COUNTIFS(d_Cust,$A180,d_Status,"مكتمل")</f>
        <v>3</v>
      </c>
      <c r="F180" s="42" t="n">
        <f aca="false">SUMIFS(d_Rev,d_Cust,$A180)</f>
        <v>1027.5</v>
      </c>
      <c r="G180" s="42" t="n">
        <f aca="false">SUMIFS(d_Profit,d_Cust,$A180)</f>
        <v>347.5</v>
      </c>
      <c r="H180" s="52" t="n">
        <f aca="false">IF(COUNTIF(d_Cust,$A180)=0,"",SUMPRODUCT(MAX((d_Cust=$A180)*d_Date)))</f>
        <v>46236</v>
      </c>
      <c r="I180" s="47" t="n">
        <f aca="false">IF(H180="",$B$3-MIN(d_Date),$B$3-H180)</f>
        <v>60</v>
      </c>
      <c r="J180" s="47" t="n">
        <f aca="false">IF(I180&lt;=$B$6,4,IF(I180&lt;=$C$6,3,IF(I180&lt;=$D$6,2,1)))</f>
        <v>2</v>
      </c>
      <c r="K180" s="47" t="n">
        <f aca="false">IF(E180&gt;=$D$7,4,IF(E180&gt;=$C$7,3,IF(E180&gt;=$B$7,2,1)))</f>
        <v>2</v>
      </c>
      <c r="L180" s="47" t="n">
        <f aca="false">IF(F180&gt;=$D$8,4,IF(F180&gt;=$C$8,3,IF(F180&gt;=$B$8,2,1)))</f>
        <v>1</v>
      </c>
      <c r="M180" s="53" t="n">
        <f aca="false">J180+K180+L180</f>
        <v>5</v>
      </c>
      <c r="N180" s="41" t="str">
        <f aca="false">IF(M180&gt;=10,"أبطال",IF(M180&gt;=8,"أوفياء",IF(M180&gt;=6,"واعدون",IF(M180&gt;=4,"معرضون للفقد","نائمون"))))</f>
        <v>معرضون للفقد</v>
      </c>
      <c r="O180" s="47" t="n">
        <f aca="false">RANK(F180,$F$21:$F$220)+COUNTIF($F$21:F180,F180)-1</f>
        <v>179</v>
      </c>
    </row>
    <row r="181" customFormat="false" ht="15" hidden="false" customHeight="false" outlineLevel="0" collapsed="false">
      <c r="A181" s="41" t="s">
        <v>392</v>
      </c>
      <c r="B181" s="41" t="str">
        <f aca="false">INDEX(c_Name,MATCH($A181,c_ID,0))</f>
        <v>ريم الزهراني</v>
      </c>
      <c r="C181" s="41" t="str">
        <f aca="false">INDEX(c_Seg,MATCH($A181,c_ID,0))</f>
        <v>أفراد</v>
      </c>
      <c r="D181" s="41" t="str">
        <f aca="false">INDEX(c_Region,MATCH($A181,c_ID,0))</f>
        <v>الوسطى</v>
      </c>
      <c r="E181" s="47" t="n">
        <f aca="false">COUNTIFS(d_Cust,$A181,d_Status,"مكتمل")</f>
        <v>12</v>
      </c>
      <c r="F181" s="42" t="n">
        <f aca="false">SUMIFS(d_Rev,d_Cust,$A181)</f>
        <v>13386.5</v>
      </c>
      <c r="G181" s="42" t="n">
        <f aca="false">SUMIFS(d_Profit,d_Cust,$A181)</f>
        <v>4111.5</v>
      </c>
      <c r="H181" s="52" t="n">
        <f aca="false">IF(COUNTIF(d_Cust,$A181)=0,"",SUMPRODUCT(MAX((d_Cust=$A181)*d_Date)))</f>
        <v>46248</v>
      </c>
      <c r="I181" s="47" t="n">
        <f aca="false">IF(H181="",$B$3-MIN(d_Date),$B$3-H181)</f>
        <v>48</v>
      </c>
      <c r="J181" s="47" t="n">
        <f aca="false">IF(I181&lt;=$B$6,4,IF(I181&lt;=$C$6,3,IF(I181&lt;=$D$6,2,1)))</f>
        <v>2</v>
      </c>
      <c r="K181" s="47" t="n">
        <f aca="false">IF(E181&gt;=$D$7,4,IF(E181&gt;=$C$7,3,IF(E181&gt;=$B$7,2,1)))</f>
        <v>4</v>
      </c>
      <c r="L181" s="47" t="n">
        <f aca="false">IF(F181&gt;=$D$8,4,IF(F181&gt;=$C$8,3,IF(F181&gt;=$B$8,2,1)))</f>
        <v>4</v>
      </c>
      <c r="M181" s="53" t="n">
        <f aca="false">J181+K181+L181</f>
        <v>10</v>
      </c>
      <c r="N181" s="41" t="str">
        <f aca="false">IF(M181&gt;=10,"أبطال",IF(M181&gt;=8,"أوفياء",IF(M181&gt;=6,"واعدون",IF(M181&gt;=4,"معرضون للفقد","نائمون"))))</f>
        <v>أبطال</v>
      </c>
      <c r="O181" s="47" t="n">
        <f aca="false">RANK(F181,$F$21:$F$220)+COUNTIF($F$21:F181,F181)-1</f>
        <v>47</v>
      </c>
    </row>
    <row r="182" customFormat="false" ht="15" hidden="false" customHeight="false" outlineLevel="0" collapsed="false">
      <c r="A182" s="41" t="s">
        <v>393</v>
      </c>
      <c r="B182" s="41" t="str">
        <f aca="false">INDEX(c_Name,MATCH($A182,c_ID,0))</f>
        <v>عبير التميمي</v>
      </c>
      <c r="C182" s="41" t="str">
        <f aca="false">INDEX(c_Seg,MATCH($A182,c_ID,0))</f>
        <v>أفراد</v>
      </c>
      <c r="D182" s="41" t="str">
        <f aca="false">INDEX(c_Region,MATCH($A182,c_ID,0))</f>
        <v>الغربية</v>
      </c>
      <c r="E182" s="47" t="n">
        <f aca="false">COUNTIFS(d_Cust,$A182,d_Status,"مكتمل")</f>
        <v>5</v>
      </c>
      <c r="F182" s="42" t="n">
        <f aca="false">SUMIFS(d_Rev,d_Cust,$A182)</f>
        <v>5640</v>
      </c>
      <c r="G182" s="42" t="n">
        <f aca="false">SUMIFS(d_Profit,d_Cust,$A182)</f>
        <v>2165</v>
      </c>
      <c r="H182" s="52" t="n">
        <f aca="false">IF(COUNTIF(d_Cust,$A182)=0,"",SUMPRODUCT(MAX((d_Cust=$A182)*d_Date)))</f>
        <v>46269</v>
      </c>
      <c r="I182" s="47" t="n">
        <f aca="false">IF(H182="",$B$3-MIN(d_Date),$B$3-H182)</f>
        <v>27</v>
      </c>
      <c r="J182" s="47" t="n">
        <f aca="false">IF(I182&lt;=$B$6,4,IF(I182&lt;=$C$6,3,IF(I182&lt;=$D$6,2,1)))</f>
        <v>3</v>
      </c>
      <c r="K182" s="47" t="n">
        <f aca="false">IF(E182&gt;=$D$7,4,IF(E182&gt;=$C$7,3,IF(E182&gt;=$B$7,2,1)))</f>
        <v>3</v>
      </c>
      <c r="L182" s="47" t="n">
        <f aca="false">IF(F182&gt;=$D$8,4,IF(F182&gt;=$C$8,3,IF(F182&gt;=$B$8,2,1)))</f>
        <v>2</v>
      </c>
      <c r="M182" s="53" t="n">
        <f aca="false">J182+K182+L182</f>
        <v>8</v>
      </c>
      <c r="N182" s="41" t="str">
        <f aca="false">IF(M182&gt;=10,"أبطال",IF(M182&gt;=8,"أوفياء",IF(M182&gt;=6,"واعدون",IF(M182&gt;=4,"معرضون للفقد","نائمون"))))</f>
        <v>أوفياء</v>
      </c>
      <c r="O182" s="47" t="n">
        <f aca="false">RANK(F182,$F$21:$F$220)+COUNTIF($F$21:F182,F182)-1</f>
        <v>104</v>
      </c>
    </row>
    <row r="183" customFormat="false" ht="15" hidden="false" customHeight="false" outlineLevel="0" collapsed="false">
      <c r="A183" s="41" t="s">
        <v>394</v>
      </c>
      <c r="B183" s="41" t="str">
        <f aca="false">INDEX(c_Name,MATCH($A183,c_ID,0))</f>
        <v>طارق الغامدي</v>
      </c>
      <c r="C183" s="41" t="str">
        <f aca="false">INDEX(c_Seg,MATCH($A183,c_ID,0))</f>
        <v>أفراد</v>
      </c>
      <c r="D183" s="41" t="str">
        <f aca="false">INDEX(c_Region,MATCH($A183,c_ID,0))</f>
        <v>الشرقية</v>
      </c>
      <c r="E183" s="47" t="n">
        <f aca="false">COUNTIFS(d_Cust,$A183,d_Status,"مكتمل")</f>
        <v>22</v>
      </c>
      <c r="F183" s="42" t="n">
        <f aca="false">SUMIFS(d_Rev,d_Cust,$A183)</f>
        <v>21519</v>
      </c>
      <c r="G183" s="42" t="n">
        <f aca="false">SUMIFS(d_Profit,d_Cust,$A183)</f>
        <v>6269</v>
      </c>
      <c r="H183" s="52" t="n">
        <f aca="false">IF(COUNTIF(d_Cust,$A183)=0,"",SUMPRODUCT(MAX((d_Cust=$A183)*d_Date)))</f>
        <v>46290</v>
      </c>
      <c r="I183" s="47" t="n">
        <f aca="false">IF(H183="",$B$3-MIN(d_Date),$B$3-H183)</f>
        <v>6</v>
      </c>
      <c r="J183" s="47" t="n">
        <f aca="false">IF(I183&lt;=$B$6,4,IF(I183&lt;=$C$6,3,IF(I183&lt;=$D$6,2,1)))</f>
        <v>4</v>
      </c>
      <c r="K183" s="47" t="n">
        <f aca="false">IF(E183&gt;=$D$7,4,IF(E183&gt;=$C$7,3,IF(E183&gt;=$B$7,2,1)))</f>
        <v>4</v>
      </c>
      <c r="L183" s="47" t="n">
        <f aca="false">IF(F183&gt;=$D$8,4,IF(F183&gt;=$C$8,3,IF(F183&gt;=$B$8,2,1)))</f>
        <v>4</v>
      </c>
      <c r="M183" s="53" t="n">
        <f aca="false">J183+K183+L183</f>
        <v>12</v>
      </c>
      <c r="N183" s="41" t="str">
        <f aca="false">IF(M183&gt;=10,"أبطال",IF(M183&gt;=8,"أوفياء",IF(M183&gt;=6,"واعدون",IF(M183&gt;=4,"معرضون للفقد","نائمون"))))</f>
        <v>أبطال</v>
      </c>
      <c r="O183" s="47" t="n">
        <f aca="false">RANK(F183,$F$21:$F$220)+COUNTIF($F$21:F183,F183)-1</f>
        <v>24</v>
      </c>
    </row>
    <row r="184" customFormat="false" ht="15" hidden="false" customHeight="false" outlineLevel="0" collapsed="false">
      <c r="A184" s="41" t="s">
        <v>395</v>
      </c>
      <c r="B184" s="41" t="str">
        <f aca="false">INDEX(c_Name,MATCH($A184,c_ID,0))</f>
        <v>فهد الخالدي</v>
      </c>
      <c r="C184" s="41" t="str">
        <f aca="false">INDEX(c_Seg,MATCH($A184,c_ID,0))</f>
        <v>أفراد</v>
      </c>
      <c r="D184" s="41" t="str">
        <f aca="false">INDEX(c_Region,MATCH($A184,c_ID,0))</f>
        <v>الجنوبية</v>
      </c>
      <c r="E184" s="47" t="n">
        <f aca="false">COUNTIFS(d_Cust,$A184,d_Status,"مكتمل")</f>
        <v>2</v>
      </c>
      <c r="F184" s="42" t="n">
        <f aca="false">SUMIFS(d_Rev,d_Cust,$A184)</f>
        <v>1501</v>
      </c>
      <c r="G184" s="42" t="n">
        <f aca="false">SUMIFS(d_Profit,d_Cust,$A184)</f>
        <v>591</v>
      </c>
      <c r="H184" s="52" t="n">
        <f aca="false">IF(COUNTIF(d_Cust,$A184)=0,"",SUMPRODUCT(MAX((d_Cust=$A184)*d_Date)))</f>
        <v>46087</v>
      </c>
      <c r="I184" s="47" t="n">
        <f aca="false">IF(H184="",$B$3-MIN(d_Date),$B$3-H184)</f>
        <v>209</v>
      </c>
      <c r="J184" s="47" t="n">
        <f aca="false">IF(I184&lt;=$B$6,4,IF(I184&lt;=$C$6,3,IF(I184&lt;=$D$6,2,1)))</f>
        <v>1</v>
      </c>
      <c r="K184" s="47" t="n">
        <f aca="false">IF(E184&gt;=$D$7,4,IF(E184&gt;=$C$7,3,IF(E184&gt;=$B$7,2,1)))</f>
        <v>1</v>
      </c>
      <c r="L184" s="47" t="n">
        <f aca="false">IF(F184&gt;=$D$8,4,IF(F184&gt;=$C$8,3,IF(F184&gt;=$B$8,2,1)))</f>
        <v>1</v>
      </c>
      <c r="M184" s="53" t="n">
        <f aca="false">J184+K184+L184</f>
        <v>3</v>
      </c>
      <c r="N184" s="41" t="str">
        <f aca="false">IF(M184&gt;=10,"أبطال",IF(M184&gt;=8,"أوفياء",IF(M184&gt;=6,"واعدون",IF(M184&gt;=4,"معرضون للفقد","نائمون"))))</f>
        <v>نائمون</v>
      </c>
      <c r="O184" s="47" t="n">
        <f aca="false">RANK(F184,$F$21:$F$220)+COUNTIF($F$21:F184,F184)-1</f>
        <v>170</v>
      </c>
    </row>
    <row r="185" customFormat="false" ht="15" hidden="false" customHeight="false" outlineLevel="0" collapsed="false">
      <c r="A185" s="41" t="s">
        <v>396</v>
      </c>
      <c r="B185" s="41" t="str">
        <f aca="false">INDEX(c_Name,MATCH($A185,c_ID,0))</f>
        <v>ناصر الدوسري</v>
      </c>
      <c r="C185" s="41" t="str">
        <f aca="false">INDEX(c_Seg,MATCH($A185,c_ID,0))</f>
        <v>أفراد</v>
      </c>
      <c r="D185" s="41" t="str">
        <f aca="false">INDEX(c_Region,MATCH($A185,c_ID,0))</f>
        <v>الشرقية</v>
      </c>
      <c r="E185" s="47" t="n">
        <f aca="false">COUNTIFS(d_Cust,$A185,d_Status,"مكتمل")</f>
        <v>2</v>
      </c>
      <c r="F185" s="42" t="n">
        <f aca="false">SUMIFS(d_Rev,d_Cust,$A185)</f>
        <v>2000</v>
      </c>
      <c r="G185" s="42" t="n">
        <f aca="false">SUMIFS(d_Profit,d_Cust,$A185)</f>
        <v>390</v>
      </c>
      <c r="H185" s="52" t="n">
        <f aca="false">IF(COUNTIF(d_Cust,$A185)=0,"",SUMPRODUCT(MAX((d_Cust=$A185)*d_Date)))</f>
        <v>46092</v>
      </c>
      <c r="I185" s="47" t="n">
        <f aca="false">IF(H185="",$B$3-MIN(d_Date),$B$3-H185)</f>
        <v>204</v>
      </c>
      <c r="J185" s="47" t="n">
        <f aca="false">IF(I185&lt;=$B$6,4,IF(I185&lt;=$C$6,3,IF(I185&lt;=$D$6,2,1)))</f>
        <v>1</v>
      </c>
      <c r="K185" s="47" t="n">
        <f aca="false">IF(E185&gt;=$D$7,4,IF(E185&gt;=$C$7,3,IF(E185&gt;=$B$7,2,1)))</f>
        <v>1</v>
      </c>
      <c r="L185" s="47" t="n">
        <f aca="false">IF(F185&gt;=$D$8,4,IF(F185&gt;=$C$8,3,IF(F185&gt;=$B$8,2,1)))</f>
        <v>1</v>
      </c>
      <c r="M185" s="53" t="n">
        <f aca="false">J185+K185+L185</f>
        <v>3</v>
      </c>
      <c r="N185" s="41" t="str">
        <f aca="false">IF(M185&gt;=10,"أبطال",IF(M185&gt;=8,"أوفياء",IF(M185&gt;=6,"واعدون",IF(M185&gt;=4,"معرضون للفقد","نائمون"))))</f>
        <v>نائمون</v>
      </c>
      <c r="O185" s="47" t="n">
        <f aca="false">RANK(F185,$F$21:$F$220)+COUNTIF($F$21:F185,F185)-1</f>
        <v>158</v>
      </c>
    </row>
    <row r="186" customFormat="false" ht="15" hidden="false" customHeight="false" outlineLevel="0" collapsed="false">
      <c r="A186" s="41" t="s">
        <v>397</v>
      </c>
      <c r="B186" s="41" t="str">
        <f aca="false">INDEX(c_Name,MATCH($A186,c_ID,0))</f>
        <v>عبير الخالدي</v>
      </c>
      <c r="C186" s="41" t="str">
        <f aca="false">INDEX(c_Seg,MATCH($A186,c_ID,0))</f>
        <v>شركات صغيرة</v>
      </c>
      <c r="D186" s="41" t="str">
        <f aca="false">INDEX(c_Region,MATCH($A186,c_ID,0))</f>
        <v>الشرقية</v>
      </c>
      <c r="E186" s="47" t="n">
        <f aca="false">COUNTIFS(d_Cust,$A186,d_Status,"مكتمل")</f>
        <v>3</v>
      </c>
      <c r="F186" s="42" t="n">
        <f aca="false">SUMIFS(d_Rev,d_Cust,$A186)</f>
        <v>7945</v>
      </c>
      <c r="G186" s="42" t="n">
        <f aca="false">SUMIFS(d_Profit,d_Cust,$A186)</f>
        <v>2995</v>
      </c>
      <c r="H186" s="52" t="n">
        <f aca="false">IF(COUNTIF(d_Cust,$A186)=0,"",SUMPRODUCT(MAX((d_Cust=$A186)*d_Date)))</f>
        <v>46269</v>
      </c>
      <c r="I186" s="47" t="n">
        <f aca="false">IF(H186="",$B$3-MIN(d_Date),$B$3-H186)</f>
        <v>27</v>
      </c>
      <c r="J186" s="47" t="n">
        <f aca="false">IF(I186&lt;=$B$6,4,IF(I186&lt;=$C$6,3,IF(I186&lt;=$D$6,2,1)))</f>
        <v>3</v>
      </c>
      <c r="K186" s="47" t="n">
        <f aca="false">IF(E186&gt;=$D$7,4,IF(E186&gt;=$C$7,3,IF(E186&gt;=$B$7,2,1)))</f>
        <v>2</v>
      </c>
      <c r="L186" s="47" t="n">
        <f aca="false">IF(F186&gt;=$D$8,4,IF(F186&gt;=$C$8,3,IF(F186&gt;=$B$8,2,1)))</f>
        <v>3</v>
      </c>
      <c r="M186" s="53" t="n">
        <f aca="false">J186+K186+L186</f>
        <v>8</v>
      </c>
      <c r="N186" s="41" t="str">
        <f aca="false">IF(M186&gt;=10,"أبطال",IF(M186&gt;=8,"أوفياء",IF(M186&gt;=6,"واعدون",IF(M186&gt;=4,"معرضون للفقد","نائمون"))))</f>
        <v>أوفياء</v>
      </c>
      <c r="O186" s="47" t="n">
        <f aca="false">RANK(F186,$F$21:$F$220)+COUNTIF($F$21:F186,F186)-1</f>
        <v>80</v>
      </c>
    </row>
    <row r="187" customFormat="false" ht="15" hidden="false" customHeight="false" outlineLevel="0" collapsed="false">
      <c r="A187" s="41" t="s">
        <v>398</v>
      </c>
      <c r="B187" s="41" t="str">
        <f aca="false">INDEX(c_Name,MATCH($A187,c_ID,0))</f>
        <v>عبدالله الحربي</v>
      </c>
      <c r="C187" s="41" t="str">
        <f aca="false">INDEX(c_Seg,MATCH($A187,c_ID,0))</f>
        <v>شركات صغيرة</v>
      </c>
      <c r="D187" s="41" t="str">
        <f aca="false">INDEX(c_Region,MATCH($A187,c_ID,0))</f>
        <v>الشرقية</v>
      </c>
      <c r="E187" s="47" t="n">
        <f aca="false">COUNTIFS(d_Cust,$A187,d_Status,"مكتمل")</f>
        <v>1</v>
      </c>
      <c r="F187" s="42" t="n">
        <f aca="false">SUMIFS(d_Rev,d_Cust,$A187)</f>
        <v>6120</v>
      </c>
      <c r="G187" s="42" t="n">
        <f aca="false">SUMIFS(d_Profit,d_Cust,$A187)</f>
        <v>1920</v>
      </c>
      <c r="H187" s="52" t="n">
        <f aca="false">IF(COUNTIF(d_Cust,$A187)=0,"",SUMPRODUCT(MAX((d_Cust=$A187)*d_Date)))</f>
        <v>46234</v>
      </c>
      <c r="I187" s="47" t="n">
        <f aca="false">IF(H187="",$B$3-MIN(d_Date),$B$3-H187)</f>
        <v>62</v>
      </c>
      <c r="J187" s="47" t="n">
        <f aca="false">IF(I187&lt;=$B$6,4,IF(I187&lt;=$C$6,3,IF(I187&lt;=$D$6,2,1)))</f>
        <v>2</v>
      </c>
      <c r="K187" s="47" t="n">
        <f aca="false">IF(E187&gt;=$D$7,4,IF(E187&gt;=$C$7,3,IF(E187&gt;=$B$7,2,1)))</f>
        <v>1</v>
      </c>
      <c r="L187" s="47" t="n">
        <f aca="false">IF(F187&gt;=$D$8,4,IF(F187&gt;=$C$8,3,IF(F187&gt;=$B$8,2,1)))</f>
        <v>3</v>
      </c>
      <c r="M187" s="53" t="n">
        <f aca="false">J187+K187+L187</f>
        <v>6</v>
      </c>
      <c r="N187" s="41" t="str">
        <f aca="false">IF(M187&gt;=10,"أبطال",IF(M187&gt;=8,"أوفياء",IF(M187&gt;=6,"واعدون",IF(M187&gt;=4,"معرضون للفقد","نائمون"))))</f>
        <v>واعدون</v>
      </c>
      <c r="O187" s="47" t="n">
        <f aca="false">RANK(F187,$F$21:$F$220)+COUNTIF($F$21:F187,F187)-1</f>
        <v>97</v>
      </c>
    </row>
    <row r="188" customFormat="false" ht="15" hidden="false" customHeight="false" outlineLevel="0" collapsed="false">
      <c r="A188" s="41" t="s">
        <v>399</v>
      </c>
      <c r="B188" s="41" t="str">
        <f aca="false">INDEX(c_Name,MATCH($A188,c_ID,0))</f>
        <v>سارة الشمري</v>
      </c>
      <c r="C188" s="41" t="str">
        <f aca="false">INDEX(c_Seg,MATCH($A188,c_ID,0))</f>
        <v>مؤسسات</v>
      </c>
      <c r="D188" s="41" t="str">
        <f aca="false">INDEX(c_Region,MATCH($A188,c_ID,0))</f>
        <v>الوسطى</v>
      </c>
      <c r="E188" s="47" t="n">
        <f aca="false">COUNTIFS(d_Cust,$A188,d_Status,"مكتمل")</f>
        <v>6</v>
      </c>
      <c r="F188" s="42" t="n">
        <f aca="false">SUMIFS(d_Rev,d_Cust,$A188)</f>
        <v>28617</v>
      </c>
      <c r="G188" s="42" t="n">
        <f aca="false">SUMIFS(d_Profit,d_Cust,$A188)</f>
        <v>8572</v>
      </c>
      <c r="H188" s="52" t="n">
        <f aca="false">IF(COUNTIF(d_Cust,$A188)=0,"",SUMPRODUCT(MAX((d_Cust=$A188)*d_Date)))</f>
        <v>46291</v>
      </c>
      <c r="I188" s="47" t="n">
        <f aca="false">IF(H188="",$B$3-MIN(d_Date),$B$3-H188)</f>
        <v>5</v>
      </c>
      <c r="J188" s="47" t="n">
        <f aca="false">IF(I188&lt;=$B$6,4,IF(I188&lt;=$C$6,3,IF(I188&lt;=$D$6,2,1)))</f>
        <v>4</v>
      </c>
      <c r="K188" s="47" t="n">
        <f aca="false">IF(E188&gt;=$D$7,4,IF(E188&gt;=$C$7,3,IF(E188&gt;=$B$7,2,1)))</f>
        <v>3</v>
      </c>
      <c r="L188" s="47" t="n">
        <f aca="false">IF(F188&gt;=$D$8,4,IF(F188&gt;=$C$8,3,IF(F188&gt;=$B$8,2,1)))</f>
        <v>4</v>
      </c>
      <c r="M188" s="53" t="n">
        <f aca="false">J188+K188+L188</f>
        <v>11</v>
      </c>
      <c r="N188" s="41" t="str">
        <f aca="false">IF(M188&gt;=10,"أبطال",IF(M188&gt;=8,"أوفياء",IF(M188&gt;=6,"واعدون",IF(M188&gt;=4,"معرضون للفقد","نائمون"))))</f>
        <v>أبطال</v>
      </c>
      <c r="O188" s="47" t="n">
        <f aca="false">RANK(F188,$F$21:$F$220)+COUNTIF($F$21:F188,F188)-1</f>
        <v>16</v>
      </c>
    </row>
    <row r="189" customFormat="false" ht="15" hidden="false" customHeight="false" outlineLevel="0" collapsed="false">
      <c r="A189" s="41" t="s">
        <v>400</v>
      </c>
      <c r="B189" s="41" t="str">
        <f aca="false">INDEX(c_Name,MATCH($A189,c_ID,0))</f>
        <v>عبير الشهري</v>
      </c>
      <c r="C189" s="41" t="str">
        <f aca="false">INDEX(c_Seg,MATCH($A189,c_ID,0))</f>
        <v>أفراد</v>
      </c>
      <c r="D189" s="41" t="str">
        <f aca="false">INDEX(c_Region,MATCH($A189,c_ID,0))</f>
        <v>الوسطى</v>
      </c>
      <c r="E189" s="47" t="n">
        <f aca="false">COUNTIFS(d_Cust,$A189,d_Status,"مكتمل")</f>
        <v>7</v>
      </c>
      <c r="F189" s="42" t="n">
        <f aca="false">SUMIFS(d_Rev,d_Cust,$A189)</f>
        <v>4009</v>
      </c>
      <c r="G189" s="42" t="n">
        <f aca="false">SUMIFS(d_Profit,d_Cust,$A189)</f>
        <v>1659</v>
      </c>
      <c r="H189" s="52" t="n">
        <f aca="false">IF(COUNTIF(d_Cust,$A189)=0,"",SUMPRODUCT(MAX((d_Cust=$A189)*d_Date)))</f>
        <v>46208</v>
      </c>
      <c r="I189" s="47" t="n">
        <f aca="false">IF(H189="",$B$3-MIN(d_Date),$B$3-H189)</f>
        <v>88</v>
      </c>
      <c r="J189" s="47" t="n">
        <f aca="false">IF(I189&lt;=$B$6,4,IF(I189&lt;=$C$6,3,IF(I189&lt;=$D$6,2,1)))</f>
        <v>2</v>
      </c>
      <c r="K189" s="47" t="n">
        <f aca="false">IF(E189&gt;=$D$7,4,IF(E189&gt;=$C$7,3,IF(E189&gt;=$B$7,2,1)))</f>
        <v>3</v>
      </c>
      <c r="L189" s="47" t="n">
        <f aca="false">IF(F189&gt;=$D$8,4,IF(F189&gt;=$C$8,3,IF(F189&gt;=$B$8,2,1)))</f>
        <v>2</v>
      </c>
      <c r="M189" s="53" t="n">
        <f aca="false">J189+K189+L189</f>
        <v>7</v>
      </c>
      <c r="N189" s="41" t="str">
        <f aca="false">IF(M189&gt;=10,"أبطال",IF(M189&gt;=8,"أوفياء",IF(M189&gt;=6,"واعدون",IF(M189&gt;=4,"معرضون للفقد","نائمون"))))</f>
        <v>واعدون</v>
      </c>
      <c r="O189" s="47" t="n">
        <f aca="false">RANK(F189,$F$21:$F$220)+COUNTIF($F$21:F189,F189)-1</f>
        <v>122</v>
      </c>
    </row>
    <row r="190" customFormat="false" ht="15" hidden="false" customHeight="false" outlineLevel="0" collapsed="false">
      <c r="A190" s="41" t="s">
        <v>401</v>
      </c>
      <c r="B190" s="41" t="str">
        <f aca="false">INDEX(c_Name,MATCH($A190,c_ID,0))</f>
        <v>فهد المطيري</v>
      </c>
      <c r="C190" s="41" t="str">
        <f aca="false">INDEX(c_Seg,MATCH($A190,c_ID,0))</f>
        <v>أفراد</v>
      </c>
      <c r="D190" s="41" t="str">
        <f aca="false">INDEX(c_Region,MATCH($A190,c_ID,0))</f>
        <v>الغربية</v>
      </c>
      <c r="E190" s="47" t="n">
        <f aca="false">COUNTIFS(d_Cust,$A190,d_Status,"مكتمل")</f>
        <v>4</v>
      </c>
      <c r="F190" s="42" t="n">
        <f aca="false">SUMIFS(d_Rev,d_Cust,$A190)</f>
        <v>2777.5</v>
      </c>
      <c r="G190" s="42" t="n">
        <f aca="false">SUMIFS(d_Profit,d_Cust,$A190)</f>
        <v>877.5</v>
      </c>
      <c r="H190" s="52" t="n">
        <f aca="false">IF(COUNTIF(d_Cust,$A190)=0,"",SUMPRODUCT(MAX((d_Cust=$A190)*d_Date)))</f>
        <v>46182</v>
      </c>
      <c r="I190" s="47" t="n">
        <f aca="false">IF(H190="",$B$3-MIN(d_Date),$B$3-H190)</f>
        <v>114</v>
      </c>
      <c r="J190" s="47" t="n">
        <f aca="false">IF(I190&lt;=$B$6,4,IF(I190&lt;=$C$6,3,IF(I190&lt;=$D$6,2,1)))</f>
        <v>2</v>
      </c>
      <c r="K190" s="47" t="n">
        <f aca="false">IF(E190&gt;=$D$7,4,IF(E190&gt;=$C$7,3,IF(E190&gt;=$B$7,2,1)))</f>
        <v>2</v>
      </c>
      <c r="L190" s="47" t="n">
        <f aca="false">IF(F190&gt;=$D$8,4,IF(F190&gt;=$C$8,3,IF(F190&gt;=$B$8,2,1)))</f>
        <v>2</v>
      </c>
      <c r="M190" s="53" t="n">
        <f aca="false">J190+K190+L190</f>
        <v>6</v>
      </c>
      <c r="N190" s="41" t="str">
        <f aca="false">IF(M190&gt;=10,"أبطال",IF(M190&gt;=8,"أوفياء",IF(M190&gt;=6,"واعدون",IF(M190&gt;=4,"معرضون للفقد","نائمون"))))</f>
        <v>واعدون</v>
      </c>
      <c r="O190" s="47" t="n">
        <f aca="false">RANK(F190,$F$21:$F$220)+COUNTIF($F$21:F190,F190)-1</f>
        <v>141</v>
      </c>
    </row>
    <row r="191" customFormat="false" ht="15" hidden="false" customHeight="false" outlineLevel="0" collapsed="false">
      <c r="A191" s="41" t="s">
        <v>402</v>
      </c>
      <c r="B191" s="41" t="str">
        <f aca="false">INDEX(c_Name,MATCH($A191,c_ID,0))</f>
        <v>أحمد القحطاني</v>
      </c>
      <c r="C191" s="41" t="str">
        <f aca="false">INDEX(c_Seg,MATCH($A191,c_ID,0))</f>
        <v>مؤسسات</v>
      </c>
      <c r="D191" s="41" t="str">
        <f aca="false">INDEX(c_Region,MATCH($A191,c_ID,0))</f>
        <v>الوسطى</v>
      </c>
      <c r="E191" s="47" t="n">
        <f aca="false">COUNTIFS(d_Cust,$A191,d_Status,"مكتمل")</f>
        <v>6</v>
      </c>
      <c r="F191" s="42" t="n">
        <f aca="false">SUMIFS(d_Rev,d_Cust,$A191)</f>
        <v>47116.5</v>
      </c>
      <c r="G191" s="42" t="n">
        <f aca="false">SUMIFS(d_Profit,d_Cust,$A191)</f>
        <v>16186.5</v>
      </c>
      <c r="H191" s="52" t="n">
        <f aca="false">IF(COUNTIF(d_Cust,$A191)=0,"",SUMPRODUCT(MAX((d_Cust=$A191)*d_Date)))</f>
        <v>46282</v>
      </c>
      <c r="I191" s="47" t="n">
        <f aca="false">IF(H191="",$B$3-MIN(d_Date),$B$3-H191)</f>
        <v>14</v>
      </c>
      <c r="J191" s="47" t="n">
        <f aca="false">IF(I191&lt;=$B$6,4,IF(I191&lt;=$C$6,3,IF(I191&lt;=$D$6,2,1)))</f>
        <v>4</v>
      </c>
      <c r="K191" s="47" t="n">
        <f aca="false">IF(E191&gt;=$D$7,4,IF(E191&gt;=$C$7,3,IF(E191&gt;=$B$7,2,1)))</f>
        <v>3</v>
      </c>
      <c r="L191" s="47" t="n">
        <f aca="false">IF(F191&gt;=$D$8,4,IF(F191&gt;=$C$8,3,IF(F191&gt;=$B$8,2,1)))</f>
        <v>4</v>
      </c>
      <c r="M191" s="53" t="n">
        <f aca="false">J191+K191+L191</f>
        <v>11</v>
      </c>
      <c r="N191" s="41" t="str">
        <f aca="false">IF(M191&gt;=10,"أبطال",IF(M191&gt;=8,"أوفياء",IF(M191&gt;=6,"واعدون",IF(M191&gt;=4,"معرضون للفقد","نائمون"))))</f>
        <v>أبطال</v>
      </c>
      <c r="O191" s="47" t="n">
        <f aca="false">RANK(F191,$F$21:$F$220)+COUNTIF($F$21:F191,F191)-1</f>
        <v>7</v>
      </c>
    </row>
    <row r="192" customFormat="false" ht="15" hidden="false" customHeight="false" outlineLevel="0" collapsed="false">
      <c r="A192" s="41" t="s">
        <v>403</v>
      </c>
      <c r="B192" s="41" t="str">
        <f aca="false">INDEX(c_Name,MATCH($A192,c_ID,0))</f>
        <v>ياسر المطيري</v>
      </c>
      <c r="C192" s="41" t="str">
        <f aca="false">INDEX(c_Seg,MATCH($A192,c_ID,0))</f>
        <v>أفراد</v>
      </c>
      <c r="D192" s="41" t="str">
        <f aca="false">INDEX(c_Region,MATCH($A192,c_ID,0))</f>
        <v>الجنوبية</v>
      </c>
      <c r="E192" s="47" t="n">
        <f aca="false">COUNTIFS(d_Cust,$A192,d_Status,"مكتمل")</f>
        <v>14</v>
      </c>
      <c r="F192" s="42" t="n">
        <f aca="false">SUMIFS(d_Rev,d_Cust,$A192)</f>
        <v>15923</v>
      </c>
      <c r="G192" s="42" t="n">
        <f aca="false">SUMIFS(d_Profit,d_Cust,$A192)</f>
        <v>5648</v>
      </c>
      <c r="H192" s="52" t="n">
        <f aca="false">IF(COUNTIF(d_Cust,$A192)=0,"",SUMPRODUCT(MAX((d_Cust=$A192)*d_Date)))</f>
        <v>46271</v>
      </c>
      <c r="I192" s="47" t="n">
        <f aca="false">IF(H192="",$B$3-MIN(d_Date),$B$3-H192)</f>
        <v>25</v>
      </c>
      <c r="J192" s="47" t="n">
        <f aca="false">IF(I192&lt;=$B$6,4,IF(I192&lt;=$C$6,3,IF(I192&lt;=$D$6,2,1)))</f>
        <v>3</v>
      </c>
      <c r="K192" s="47" t="n">
        <f aca="false">IF(E192&gt;=$D$7,4,IF(E192&gt;=$C$7,3,IF(E192&gt;=$B$7,2,1)))</f>
        <v>4</v>
      </c>
      <c r="L192" s="47" t="n">
        <f aca="false">IF(F192&gt;=$D$8,4,IF(F192&gt;=$C$8,3,IF(F192&gt;=$B$8,2,1)))</f>
        <v>4</v>
      </c>
      <c r="M192" s="53" t="n">
        <f aca="false">J192+K192+L192</f>
        <v>11</v>
      </c>
      <c r="N192" s="41" t="str">
        <f aca="false">IF(M192&gt;=10,"أبطال",IF(M192&gt;=8,"أوفياء",IF(M192&gt;=6,"واعدون",IF(M192&gt;=4,"معرضون للفقد","نائمون"))))</f>
        <v>أبطال</v>
      </c>
      <c r="O192" s="47" t="n">
        <f aca="false">RANK(F192,$F$21:$F$220)+COUNTIF($F$21:F192,F192)-1</f>
        <v>35</v>
      </c>
    </row>
    <row r="193" customFormat="false" ht="15" hidden="false" customHeight="false" outlineLevel="0" collapsed="false">
      <c r="A193" s="41" t="s">
        <v>404</v>
      </c>
      <c r="B193" s="41" t="str">
        <f aca="false">INDEX(c_Name,MATCH($A193,c_ID,0))</f>
        <v>عبدالله الحسيني</v>
      </c>
      <c r="C193" s="41" t="str">
        <f aca="false">INDEX(c_Seg,MATCH($A193,c_ID,0))</f>
        <v>أفراد</v>
      </c>
      <c r="D193" s="41" t="str">
        <f aca="false">INDEX(c_Region,MATCH($A193,c_ID,0))</f>
        <v>الشرقية</v>
      </c>
      <c r="E193" s="47" t="n">
        <f aca="false">COUNTIFS(d_Cust,$A193,d_Status,"مكتمل")</f>
        <v>52</v>
      </c>
      <c r="F193" s="42" t="n">
        <f aca="false">SUMIFS(d_Rev,d_Cust,$A193)</f>
        <v>41249.5</v>
      </c>
      <c r="G193" s="42" t="n">
        <f aca="false">SUMIFS(d_Profit,d_Cust,$A193)</f>
        <v>13944.5</v>
      </c>
      <c r="H193" s="52" t="n">
        <f aca="false">IF(COUNTIF(d_Cust,$A193)=0,"",SUMPRODUCT(MAX((d_Cust=$A193)*d_Date)))</f>
        <v>46291</v>
      </c>
      <c r="I193" s="47" t="n">
        <f aca="false">IF(H193="",$B$3-MIN(d_Date),$B$3-H193)</f>
        <v>5</v>
      </c>
      <c r="J193" s="47" t="n">
        <f aca="false">IF(I193&lt;=$B$6,4,IF(I193&lt;=$C$6,3,IF(I193&lt;=$D$6,2,1)))</f>
        <v>4</v>
      </c>
      <c r="K193" s="47" t="n">
        <f aca="false">IF(E193&gt;=$D$7,4,IF(E193&gt;=$C$7,3,IF(E193&gt;=$B$7,2,1)))</f>
        <v>4</v>
      </c>
      <c r="L193" s="47" t="n">
        <f aca="false">IF(F193&gt;=$D$8,4,IF(F193&gt;=$C$8,3,IF(F193&gt;=$B$8,2,1)))</f>
        <v>4</v>
      </c>
      <c r="M193" s="53" t="n">
        <f aca="false">J193+K193+L193</f>
        <v>12</v>
      </c>
      <c r="N193" s="41" t="str">
        <f aca="false">IF(M193&gt;=10,"أبطال",IF(M193&gt;=8,"أوفياء",IF(M193&gt;=6,"واعدون",IF(M193&gt;=4,"معرضون للفقد","نائمون"))))</f>
        <v>أبطال</v>
      </c>
      <c r="O193" s="47" t="n">
        <f aca="false">RANK(F193,$F$21:$F$220)+COUNTIF($F$21:F193,F193)-1</f>
        <v>8</v>
      </c>
    </row>
    <row r="194" customFormat="false" ht="15" hidden="false" customHeight="false" outlineLevel="0" collapsed="false">
      <c r="A194" s="41" t="s">
        <v>405</v>
      </c>
      <c r="B194" s="41" t="str">
        <f aca="false">INDEX(c_Name,MATCH($A194,c_ID,0))</f>
        <v>طارق التميمي</v>
      </c>
      <c r="C194" s="41" t="str">
        <f aca="false">INDEX(c_Seg,MATCH($A194,c_ID,0))</f>
        <v>شركات صغيرة</v>
      </c>
      <c r="D194" s="41" t="str">
        <f aca="false">INDEX(c_Region,MATCH($A194,c_ID,0))</f>
        <v>الوسطى</v>
      </c>
      <c r="E194" s="47" t="n">
        <f aca="false">COUNTIFS(d_Cust,$A194,d_Status,"مكتمل")</f>
        <v>6</v>
      </c>
      <c r="F194" s="42" t="n">
        <f aca="false">SUMIFS(d_Rev,d_Cust,$A194)</f>
        <v>12825</v>
      </c>
      <c r="G194" s="42" t="n">
        <f aca="false">SUMIFS(d_Profit,d_Cust,$A194)</f>
        <v>4280</v>
      </c>
      <c r="H194" s="52" t="n">
        <f aca="false">IF(COUNTIF(d_Cust,$A194)=0,"",SUMPRODUCT(MAX((d_Cust=$A194)*d_Date)))</f>
        <v>46268</v>
      </c>
      <c r="I194" s="47" t="n">
        <f aca="false">IF(H194="",$B$3-MIN(d_Date),$B$3-H194)</f>
        <v>28</v>
      </c>
      <c r="J194" s="47" t="n">
        <f aca="false">IF(I194&lt;=$B$6,4,IF(I194&lt;=$C$6,3,IF(I194&lt;=$D$6,2,1)))</f>
        <v>3</v>
      </c>
      <c r="K194" s="47" t="n">
        <f aca="false">IF(E194&gt;=$D$7,4,IF(E194&gt;=$C$7,3,IF(E194&gt;=$B$7,2,1)))</f>
        <v>3</v>
      </c>
      <c r="L194" s="47" t="n">
        <f aca="false">IF(F194&gt;=$D$8,4,IF(F194&gt;=$C$8,3,IF(F194&gt;=$B$8,2,1)))</f>
        <v>3</v>
      </c>
      <c r="M194" s="53" t="n">
        <f aca="false">J194+K194+L194</f>
        <v>9</v>
      </c>
      <c r="N194" s="41" t="str">
        <f aca="false">IF(M194&gt;=10,"أبطال",IF(M194&gt;=8,"أوفياء",IF(M194&gt;=6,"واعدون",IF(M194&gt;=4,"معرضون للفقد","نائمون"))))</f>
        <v>أوفياء</v>
      </c>
      <c r="O194" s="47" t="n">
        <f aca="false">RANK(F194,$F$21:$F$220)+COUNTIF($F$21:F194,F194)-1</f>
        <v>52</v>
      </c>
    </row>
    <row r="195" customFormat="false" ht="15" hidden="false" customHeight="false" outlineLevel="0" collapsed="false">
      <c r="A195" s="41" t="s">
        <v>406</v>
      </c>
      <c r="B195" s="41" t="str">
        <f aca="false">INDEX(c_Name,MATCH($A195,c_ID,0))</f>
        <v>نورة الشهري</v>
      </c>
      <c r="C195" s="41" t="str">
        <f aca="false">INDEX(c_Seg,MATCH($A195,c_ID,0))</f>
        <v>مؤسسات</v>
      </c>
      <c r="D195" s="41" t="str">
        <f aca="false">INDEX(c_Region,MATCH($A195,c_ID,0))</f>
        <v>الجنوبية</v>
      </c>
      <c r="E195" s="47" t="n">
        <f aca="false">COUNTIFS(d_Cust,$A195,d_Status,"مكتمل")</f>
        <v>10</v>
      </c>
      <c r="F195" s="42" t="n">
        <f aca="false">SUMIFS(d_Rev,d_Cust,$A195)</f>
        <v>68718</v>
      </c>
      <c r="G195" s="42" t="n">
        <f aca="false">SUMIFS(d_Profit,d_Cust,$A195)</f>
        <v>20383</v>
      </c>
      <c r="H195" s="52" t="n">
        <f aca="false">IF(COUNTIF(d_Cust,$A195)=0,"",SUMPRODUCT(MAX((d_Cust=$A195)*d_Date)))</f>
        <v>46196</v>
      </c>
      <c r="I195" s="47" t="n">
        <f aca="false">IF(H195="",$B$3-MIN(d_Date),$B$3-H195)</f>
        <v>100</v>
      </c>
      <c r="J195" s="47" t="n">
        <f aca="false">IF(I195&lt;=$B$6,4,IF(I195&lt;=$C$6,3,IF(I195&lt;=$D$6,2,1)))</f>
        <v>2</v>
      </c>
      <c r="K195" s="47" t="n">
        <f aca="false">IF(E195&gt;=$D$7,4,IF(E195&gt;=$C$7,3,IF(E195&gt;=$B$7,2,1)))</f>
        <v>4</v>
      </c>
      <c r="L195" s="47" t="n">
        <f aca="false">IF(F195&gt;=$D$8,4,IF(F195&gt;=$C$8,3,IF(F195&gt;=$B$8,2,1)))</f>
        <v>4</v>
      </c>
      <c r="M195" s="53" t="n">
        <f aca="false">J195+K195+L195</f>
        <v>10</v>
      </c>
      <c r="N195" s="41" t="str">
        <f aca="false">IF(M195&gt;=10,"أبطال",IF(M195&gt;=8,"أوفياء",IF(M195&gt;=6,"واعدون",IF(M195&gt;=4,"معرضون للفقد","نائمون"))))</f>
        <v>أبطال</v>
      </c>
      <c r="O195" s="47" t="n">
        <f aca="false">RANK(F195,$F$21:$F$220)+COUNTIF($F$21:F195,F195)-1</f>
        <v>4</v>
      </c>
    </row>
    <row r="196" customFormat="false" ht="15" hidden="false" customHeight="false" outlineLevel="0" collapsed="false">
      <c r="A196" s="41" t="s">
        <v>407</v>
      </c>
      <c r="B196" s="41" t="str">
        <f aca="false">INDEX(c_Name,MATCH($A196,c_ID,0))</f>
        <v>هند الدوسري</v>
      </c>
      <c r="C196" s="41" t="str">
        <f aca="false">INDEX(c_Seg,MATCH($A196,c_ID,0))</f>
        <v>مؤسسات</v>
      </c>
      <c r="D196" s="41" t="str">
        <f aca="false">INDEX(c_Region,MATCH($A196,c_ID,0))</f>
        <v>الشرقية</v>
      </c>
      <c r="E196" s="47" t="n">
        <f aca="false">COUNTIFS(d_Cust,$A196,d_Status,"مكتمل")</f>
        <v>0</v>
      </c>
      <c r="F196" s="42" t="n">
        <f aca="false">SUMIFS(d_Rev,d_Cust,$A196)</f>
        <v>0</v>
      </c>
      <c r="G196" s="42" t="n">
        <f aca="false">SUMIFS(d_Profit,d_Cust,$A196)</f>
        <v>0</v>
      </c>
      <c r="H196" s="52" t="str">
        <f aca="false">IF(COUNTIF(d_Cust,$A196)=0,"",SUMPRODUCT(MAX((d_Cust=$A196)*d_Date)))</f>
        <v/>
      </c>
      <c r="I196" s="47" t="n">
        <f aca="false">IF(H196="",$B$3-MIN(d_Date),$B$3-H196)</f>
        <v>365</v>
      </c>
      <c r="J196" s="47" t="n">
        <f aca="false">IF(I196&lt;=$B$6,4,IF(I196&lt;=$C$6,3,IF(I196&lt;=$D$6,2,1)))</f>
        <v>1</v>
      </c>
      <c r="K196" s="47" t="n">
        <f aca="false">IF(E196&gt;=$D$7,4,IF(E196&gt;=$C$7,3,IF(E196&gt;=$B$7,2,1)))</f>
        <v>1</v>
      </c>
      <c r="L196" s="47" t="n">
        <f aca="false">IF(F196&gt;=$D$8,4,IF(F196&gt;=$C$8,3,IF(F196&gt;=$B$8,2,1)))</f>
        <v>1</v>
      </c>
      <c r="M196" s="53" t="n">
        <f aca="false">J196+K196+L196</f>
        <v>3</v>
      </c>
      <c r="N196" s="41" t="str">
        <f aca="false">IF(M196&gt;=10,"أبطال",IF(M196&gt;=8,"أوفياء",IF(M196&gt;=6,"واعدون",IF(M196&gt;=4,"معرضون للفقد","نائمون"))))</f>
        <v>نائمون</v>
      </c>
      <c r="O196" s="47" t="n">
        <f aca="false">RANK(F196,$F$21:$F$220)+COUNTIF($F$21:F196,F196)-1</f>
        <v>199</v>
      </c>
    </row>
    <row r="197" customFormat="false" ht="15" hidden="false" customHeight="false" outlineLevel="0" collapsed="false">
      <c r="A197" s="41" t="s">
        <v>408</v>
      </c>
      <c r="B197" s="41" t="str">
        <f aca="false">INDEX(c_Name,MATCH($A197,c_ID,0))</f>
        <v>فهد الغامدي</v>
      </c>
      <c r="C197" s="41" t="str">
        <f aca="false">INDEX(c_Seg,MATCH($A197,c_ID,0))</f>
        <v>أفراد</v>
      </c>
      <c r="D197" s="41" t="str">
        <f aca="false">INDEX(c_Region,MATCH($A197,c_ID,0))</f>
        <v>الغربية</v>
      </c>
      <c r="E197" s="47" t="n">
        <f aca="false">COUNTIFS(d_Cust,$A197,d_Status,"مكتمل")</f>
        <v>7</v>
      </c>
      <c r="F197" s="42" t="n">
        <f aca="false">SUMIFS(d_Rev,d_Cust,$A197)</f>
        <v>7498.5</v>
      </c>
      <c r="G197" s="42" t="n">
        <f aca="false">SUMIFS(d_Profit,d_Cust,$A197)</f>
        <v>2848.5</v>
      </c>
      <c r="H197" s="52" t="n">
        <f aca="false">IF(COUNTIF(d_Cust,$A197)=0,"",SUMPRODUCT(MAX((d_Cust=$A197)*d_Date)))</f>
        <v>46249</v>
      </c>
      <c r="I197" s="47" t="n">
        <f aca="false">IF(H197="",$B$3-MIN(d_Date),$B$3-H197)</f>
        <v>47</v>
      </c>
      <c r="J197" s="47" t="n">
        <f aca="false">IF(I197&lt;=$B$6,4,IF(I197&lt;=$C$6,3,IF(I197&lt;=$D$6,2,1)))</f>
        <v>3</v>
      </c>
      <c r="K197" s="47" t="n">
        <f aca="false">IF(E197&gt;=$D$7,4,IF(E197&gt;=$C$7,3,IF(E197&gt;=$B$7,2,1)))</f>
        <v>3</v>
      </c>
      <c r="L197" s="47" t="n">
        <f aca="false">IF(F197&gt;=$D$8,4,IF(F197&gt;=$C$8,3,IF(F197&gt;=$B$8,2,1)))</f>
        <v>3</v>
      </c>
      <c r="M197" s="53" t="n">
        <f aca="false">J197+K197+L197</f>
        <v>9</v>
      </c>
      <c r="N197" s="41" t="str">
        <f aca="false">IF(M197&gt;=10,"أبطال",IF(M197&gt;=8,"أوفياء",IF(M197&gt;=6,"واعدون",IF(M197&gt;=4,"معرضون للفقد","نائمون"))))</f>
        <v>أوفياء</v>
      </c>
      <c r="O197" s="47" t="n">
        <f aca="false">RANK(F197,$F$21:$F$220)+COUNTIF($F$21:F197,F197)-1</f>
        <v>86</v>
      </c>
    </row>
    <row r="198" customFormat="false" ht="15" hidden="false" customHeight="false" outlineLevel="0" collapsed="false">
      <c r="A198" s="41" t="s">
        <v>409</v>
      </c>
      <c r="B198" s="41" t="str">
        <f aca="false">INDEX(c_Name,MATCH($A198,c_ID,0))</f>
        <v>هند العنزي</v>
      </c>
      <c r="C198" s="41" t="str">
        <f aca="false">INDEX(c_Seg,MATCH($A198,c_ID,0))</f>
        <v>أفراد</v>
      </c>
      <c r="D198" s="41" t="str">
        <f aca="false">INDEX(c_Region,MATCH($A198,c_ID,0))</f>
        <v>الغربية</v>
      </c>
      <c r="E198" s="47" t="n">
        <f aca="false">COUNTIFS(d_Cust,$A198,d_Status,"مكتمل")</f>
        <v>2</v>
      </c>
      <c r="F198" s="42" t="n">
        <f aca="false">SUMIFS(d_Rev,d_Cust,$A198)</f>
        <v>493</v>
      </c>
      <c r="G198" s="42" t="n">
        <f aca="false">SUMIFS(d_Profit,d_Cust,$A198)</f>
        <v>178</v>
      </c>
      <c r="H198" s="52" t="n">
        <f aca="false">IF(COUNTIF(d_Cust,$A198)=0,"",SUMPRODUCT(MAX((d_Cust=$A198)*d_Date)))</f>
        <v>46052</v>
      </c>
      <c r="I198" s="47" t="n">
        <f aca="false">IF(H198="",$B$3-MIN(d_Date),$B$3-H198)</f>
        <v>244</v>
      </c>
      <c r="J198" s="47" t="n">
        <f aca="false">IF(I198&lt;=$B$6,4,IF(I198&lt;=$C$6,3,IF(I198&lt;=$D$6,2,1)))</f>
        <v>1</v>
      </c>
      <c r="K198" s="47" t="n">
        <f aca="false">IF(E198&gt;=$D$7,4,IF(E198&gt;=$C$7,3,IF(E198&gt;=$B$7,2,1)))</f>
        <v>1</v>
      </c>
      <c r="L198" s="47" t="n">
        <f aca="false">IF(F198&gt;=$D$8,4,IF(F198&gt;=$C$8,3,IF(F198&gt;=$B$8,2,1)))</f>
        <v>1</v>
      </c>
      <c r="M198" s="53" t="n">
        <f aca="false">J198+K198+L198</f>
        <v>3</v>
      </c>
      <c r="N198" s="41" t="str">
        <f aca="false">IF(M198&gt;=10,"أبطال",IF(M198&gt;=8,"أوفياء",IF(M198&gt;=6,"واعدون",IF(M198&gt;=4,"معرضون للفقد","نائمون"))))</f>
        <v>نائمون</v>
      </c>
      <c r="O198" s="47" t="n">
        <f aca="false">RANK(F198,$F$21:$F$220)+COUNTIF($F$21:F198,F198)-1</f>
        <v>183</v>
      </c>
    </row>
    <row r="199" customFormat="false" ht="15" hidden="false" customHeight="false" outlineLevel="0" collapsed="false">
      <c r="A199" s="41" t="s">
        <v>410</v>
      </c>
      <c r="B199" s="41" t="str">
        <f aca="false">INDEX(c_Name,MATCH($A199,c_ID,0))</f>
        <v>لمى الحربي</v>
      </c>
      <c r="C199" s="41" t="str">
        <f aca="false">INDEX(c_Seg,MATCH($A199,c_ID,0))</f>
        <v>أفراد</v>
      </c>
      <c r="D199" s="41" t="str">
        <f aca="false">INDEX(c_Region,MATCH($A199,c_ID,0))</f>
        <v>الوسطى</v>
      </c>
      <c r="E199" s="47" t="n">
        <f aca="false">COUNTIFS(d_Cust,$A199,d_Status,"مكتمل")</f>
        <v>10</v>
      </c>
      <c r="F199" s="42" t="n">
        <f aca="false">SUMIFS(d_Rev,d_Cust,$A199)</f>
        <v>10893</v>
      </c>
      <c r="G199" s="42" t="n">
        <f aca="false">SUMIFS(d_Profit,d_Cust,$A199)</f>
        <v>4313</v>
      </c>
      <c r="H199" s="52" t="n">
        <f aca="false">IF(COUNTIF(d_Cust,$A199)=0,"",SUMPRODUCT(MAX((d_Cust=$A199)*d_Date)))</f>
        <v>46216</v>
      </c>
      <c r="I199" s="47" t="n">
        <f aca="false">IF(H199="",$B$3-MIN(d_Date),$B$3-H199)</f>
        <v>80</v>
      </c>
      <c r="J199" s="47" t="n">
        <f aca="false">IF(I199&lt;=$B$6,4,IF(I199&lt;=$C$6,3,IF(I199&lt;=$D$6,2,1)))</f>
        <v>2</v>
      </c>
      <c r="K199" s="47" t="n">
        <f aca="false">IF(E199&gt;=$D$7,4,IF(E199&gt;=$C$7,3,IF(E199&gt;=$B$7,2,1)))</f>
        <v>4</v>
      </c>
      <c r="L199" s="47" t="n">
        <f aca="false">IF(F199&gt;=$D$8,4,IF(F199&gt;=$C$8,3,IF(F199&gt;=$B$8,2,1)))</f>
        <v>3</v>
      </c>
      <c r="M199" s="53" t="n">
        <f aca="false">J199+K199+L199</f>
        <v>9</v>
      </c>
      <c r="N199" s="41" t="str">
        <f aca="false">IF(M199&gt;=10,"أبطال",IF(M199&gt;=8,"أوفياء",IF(M199&gt;=6,"واعدون",IF(M199&gt;=4,"معرضون للفقد","نائمون"))))</f>
        <v>أوفياء</v>
      </c>
      <c r="O199" s="47" t="n">
        <f aca="false">RANK(F199,$F$21:$F$220)+COUNTIF($F$21:F199,F199)-1</f>
        <v>62</v>
      </c>
    </row>
    <row r="200" customFormat="false" ht="15" hidden="false" customHeight="false" outlineLevel="0" collapsed="false">
      <c r="A200" s="41" t="s">
        <v>411</v>
      </c>
      <c r="B200" s="41" t="str">
        <f aca="false">INDEX(c_Name,MATCH($A200,c_ID,0))</f>
        <v>فهد الدوسري</v>
      </c>
      <c r="C200" s="41" t="str">
        <f aca="false">INDEX(c_Seg,MATCH($A200,c_ID,0))</f>
        <v>مؤسسات</v>
      </c>
      <c r="D200" s="41" t="str">
        <f aca="false">INDEX(c_Region,MATCH($A200,c_ID,0))</f>
        <v>الشرقية</v>
      </c>
      <c r="E200" s="47" t="n">
        <f aca="false">COUNTIFS(d_Cust,$A200,d_Status,"مكتمل")</f>
        <v>0</v>
      </c>
      <c r="F200" s="42" t="n">
        <f aca="false">SUMIFS(d_Rev,d_Cust,$A200)</f>
        <v>0</v>
      </c>
      <c r="G200" s="42" t="n">
        <f aca="false">SUMIFS(d_Profit,d_Cust,$A200)</f>
        <v>0</v>
      </c>
      <c r="H200" s="52" t="str">
        <f aca="false">IF(COUNTIF(d_Cust,$A200)=0,"",SUMPRODUCT(MAX((d_Cust=$A200)*d_Date)))</f>
        <v/>
      </c>
      <c r="I200" s="47" t="n">
        <f aca="false">IF(H200="",$B$3-MIN(d_Date),$B$3-H200)</f>
        <v>365</v>
      </c>
      <c r="J200" s="47" t="n">
        <f aca="false">IF(I200&lt;=$B$6,4,IF(I200&lt;=$C$6,3,IF(I200&lt;=$D$6,2,1)))</f>
        <v>1</v>
      </c>
      <c r="K200" s="47" t="n">
        <f aca="false">IF(E200&gt;=$D$7,4,IF(E200&gt;=$C$7,3,IF(E200&gt;=$B$7,2,1)))</f>
        <v>1</v>
      </c>
      <c r="L200" s="47" t="n">
        <f aca="false">IF(F200&gt;=$D$8,4,IF(F200&gt;=$C$8,3,IF(F200&gt;=$B$8,2,1)))</f>
        <v>1</v>
      </c>
      <c r="M200" s="53" t="n">
        <f aca="false">J200+K200+L200</f>
        <v>3</v>
      </c>
      <c r="N200" s="41" t="str">
        <f aca="false">IF(M200&gt;=10,"أبطال",IF(M200&gt;=8,"أوفياء",IF(M200&gt;=6,"واعدون",IF(M200&gt;=4,"معرضون للفقد","نائمون"))))</f>
        <v>نائمون</v>
      </c>
      <c r="O200" s="47" t="n">
        <f aca="false">RANK(F200,$F$21:$F$220)+COUNTIF($F$21:F200,F200)-1</f>
        <v>200</v>
      </c>
    </row>
    <row r="201" customFormat="false" ht="15" hidden="false" customHeight="false" outlineLevel="0" collapsed="false">
      <c r="A201" s="41" t="s">
        <v>412</v>
      </c>
      <c r="B201" s="41" t="str">
        <f aca="false">INDEX(c_Name,MATCH($A201,c_ID,0))</f>
        <v>سعد العتيبي</v>
      </c>
      <c r="C201" s="41" t="str">
        <f aca="false">INDEX(c_Seg,MATCH($A201,c_ID,0))</f>
        <v>أفراد</v>
      </c>
      <c r="D201" s="41" t="str">
        <f aca="false">INDEX(c_Region,MATCH($A201,c_ID,0))</f>
        <v>الشرقية</v>
      </c>
      <c r="E201" s="47" t="n">
        <f aca="false">COUNTIFS(d_Cust,$A201,d_Status,"مكتمل")</f>
        <v>5</v>
      </c>
      <c r="F201" s="42" t="n">
        <f aca="false">SUMIFS(d_Rev,d_Cust,$A201)</f>
        <v>3020</v>
      </c>
      <c r="G201" s="42" t="n">
        <f aca="false">SUMIFS(d_Profit,d_Cust,$A201)</f>
        <v>1190</v>
      </c>
      <c r="H201" s="52" t="n">
        <f aca="false">IF(COUNTIF(d_Cust,$A201)=0,"",SUMPRODUCT(MAX((d_Cust=$A201)*d_Date)))</f>
        <v>46295</v>
      </c>
      <c r="I201" s="47" t="n">
        <f aca="false">IF(H201="",$B$3-MIN(d_Date),$B$3-H201)</f>
        <v>1</v>
      </c>
      <c r="J201" s="47" t="n">
        <f aca="false">IF(I201&lt;=$B$6,4,IF(I201&lt;=$C$6,3,IF(I201&lt;=$D$6,2,1)))</f>
        <v>4</v>
      </c>
      <c r="K201" s="47" t="n">
        <f aca="false">IF(E201&gt;=$D$7,4,IF(E201&gt;=$C$7,3,IF(E201&gt;=$B$7,2,1)))</f>
        <v>3</v>
      </c>
      <c r="L201" s="47" t="n">
        <f aca="false">IF(F201&gt;=$D$8,4,IF(F201&gt;=$C$8,3,IF(F201&gt;=$B$8,2,1)))</f>
        <v>2</v>
      </c>
      <c r="M201" s="53" t="n">
        <f aca="false">J201+K201+L201</f>
        <v>9</v>
      </c>
      <c r="N201" s="41" t="str">
        <f aca="false">IF(M201&gt;=10,"أبطال",IF(M201&gt;=8,"أوفياء",IF(M201&gt;=6,"واعدون",IF(M201&gt;=4,"معرضون للفقد","نائمون"))))</f>
        <v>أوفياء</v>
      </c>
      <c r="O201" s="47" t="n">
        <f aca="false">RANK(F201,$F$21:$F$220)+COUNTIF($F$21:F201,F201)-1</f>
        <v>137</v>
      </c>
    </row>
    <row r="202" customFormat="false" ht="15" hidden="false" customHeight="false" outlineLevel="0" collapsed="false">
      <c r="A202" s="41" t="s">
        <v>413</v>
      </c>
      <c r="B202" s="41" t="str">
        <f aca="false">INDEX(c_Name,MATCH($A202,c_ID,0))</f>
        <v>نورة الحسيني</v>
      </c>
      <c r="C202" s="41" t="str">
        <f aca="false">INDEX(c_Seg,MATCH($A202,c_ID,0))</f>
        <v>أفراد</v>
      </c>
      <c r="D202" s="41" t="str">
        <f aca="false">INDEX(c_Region,MATCH($A202,c_ID,0))</f>
        <v>الوسطى</v>
      </c>
      <c r="E202" s="47" t="n">
        <f aca="false">COUNTIFS(d_Cust,$A202,d_Status,"مكتمل")</f>
        <v>3</v>
      </c>
      <c r="F202" s="42" t="n">
        <f aca="false">SUMIFS(d_Rev,d_Cust,$A202)</f>
        <v>1880</v>
      </c>
      <c r="G202" s="42" t="n">
        <f aca="false">SUMIFS(d_Profit,d_Cust,$A202)</f>
        <v>790</v>
      </c>
      <c r="H202" s="52" t="n">
        <f aca="false">IF(COUNTIF(d_Cust,$A202)=0,"",SUMPRODUCT(MAX((d_Cust=$A202)*d_Date)))</f>
        <v>46182</v>
      </c>
      <c r="I202" s="47" t="n">
        <f aca="false">IF(H202="",$B$3-MIN(d_Date),$B$3-H202)</f>
        <v>114</v>
      </c>
      <c r="J202" s="47" t="n">
        <f aca="false">IF(I202&lt;=$B$6,4,IF(I202&lt;=$C$6,3,IF(I202&lt;=$D$6,2,1)))</f>
        <v>2</v>
      </c>
      <c r="K202" s="47" t="n">
        <f aca="false">IF(E202&gt;=$D$7,4,IF(E202&gt;=$C$7,3,IF(E202&gt;=$B$7,2,1)))</f>
        <v>2</v>
      </c>
      <c r="L202" s="47" t="n">
        <f aca="false">IF(F202&gt;=$D$8,4,IF(F202&gt;=$C$8,3,IF(F202&gt;=$B$8,2,1)))</f>
        <v>1</v>
      </c>
      <c r="M202" s="53" t="n">
        <f aca="false">J202+K202+L202</f>
        <v>5</v>
      </c>
      <c r="N202" s="41" t="str">
        <f aca="false">IF(M202&gt;=10,"أبطال",IF(M202&gt;=8,"أوفياء",IF(M202&gt;=6,"واعدون",IF(M202&gt;=4,"معرضون للفقد","نائمون"))))</f>
        <v>معرضون للفقد</v>
      </c>
      <c r="O202" s="47" t="n">
        <f aca="false">RANK(F202,$F$21:$F$220)+COUNTIF($F$21:F202,F202)-1</f>
        <v>161</v>
      </c>
    </row>
    <row r="203" customFormat="false" ht="15" hidden="false" customHeight="false" outlineLevel="0" collapsed="false">
      <c r="A203" s="41" t="s">
        <v>414</v>
      </c>
      <c r="B203" s="41" t="str">
        <f aca="false">INDEX(c_Name,MATCH($A203,c_ID,0))</f>
        <v>هند المطيري</v>
      </c>
      <c r="C203" s="41" t="str">
        <f aca="false">INDEX(c_Seg,MATCH($A203,c_ID,0))</f>
        <v>أفراد</v>
      </c>
      <c r="D203" s="41" t="str">
        <f aca="false">INDEX(c_Region,MATCH($A203,c_ID,0))</f>
        <v>الشرقية</v>
      </c>
      <c r="E203" s="47" t="n">
        <f aca="false">COUNTIFS(d_Cust,$A203,d_Status,"مكتمل")</f>
        <v>12</v>
      </c>
      <c r="F203" s="42" t="n">
        <f aca="false">SUMIFS(d_Rev,d_Cust,$A203)</f>
        <v>13983.5</v>
      </c>
      <c r="G203" s="42" t="n">
        <f aca="false">SUMIFS(d_Profit,d_Cust,$A203)</f>
        <v>4133.5</v>
      </c>
      <c r="H203" s="52" t="n">
        <f aca="false">IF(COUNTIF(d_Cust,$A203)=0,"",SUMPRODUCT(MAX((d_Cust=$A203)*d_Date)))</f>
        <v>46193</v>
      </c>
      <c r="I203" s="47" t="n">
        <f aca="false">IF(H203="",$B$3-MIN(d_Date),$B$3-H203)</f>
        <v>103</v>
      </c>
      <c r="J203" s="47" t="n">
        <f aca="false">IF(I203&lt;=$B$6,4,IF(I203&lt;=$C$6,3,IF(I203&lt;=$D$6,2,1)))</f>
        <v>2</v>
      </c>
      <c r="K203" s="47" t="n">
        <f aca="false">IF(E203&gt;=$D$7,4,IF(E203&gt;=$C$7,3,IF(E203&gt;=$B$7,2,1)))</f>
        <v>4</v>
      </c>
      <c r="L203" s="47" t="n">
        <f aca="false">IF(F203&gt;=$D$8,4,IF(F203&gt;=$C$8,3,IF(F203&gt;=$B$8,2,1)))</f>
        <v>4</v>
      </c>
      <c r="M203" s="53" t="n">
        <f aca="false">J203+K203+L203</f>
        <v>10</v>
      </c>
      <c r="N203" s="41" t="str">
        <f aca="false">IF(M203&gt;=10,"أبطال",IF(M203&gt;=8,"أوفياء",IF(M203&gt;=6,"واعدون",IF(M203&gt;=4,"معرضون للفقد","نائمون"))))</f>
        <v>أبطال</v>
      </c>
      <c r="O203" s="47" t="n">
        <f aca="false">RANK(F203,$F$21:$F$220)+COUNTIF($F$21:F203,F203)-1</f>
        <v>43</v>
      </c>
    </row>
    <row r="204" customFormat="false" ht="15" hidden="false" customHeight="false" outlineLevel="0" collapsed="false">
      <c r="A204" s="41" t="s">
        <v>415</v>
      </c>
      <c r="B204" s="41" t="str">
        <f aca="false">INDEX(c_Name,MATCH($A204,c_ID,0))</f>
        <v>سارة القحطاني</v>
      </c>
      <c r="C204" s="41" t="str">
        <f aca="false">INDEX(c_Seg,MATCH($A204,c_ID,0))</f>
        <v>أفراد</v>
      </c>
      <c r="D204" s="41" t="str">
        <f aca="false">INDEX(c_Region,MATCH($A204,c_ID,0))</f>
        <v>الشرقية</v>
      </c>
      <c r="E204" s="47" t="n">
        <f aca="false">COUNTIFS(d_Cust,$A204,d_Status,"مكتمل")</f>
        <v>10</v>
      </c>
      <c r="F204" s="42" t="n">
        <f aca="false">SUMIFS(d_Rev,d_Cust,$A204)</f>
        <v>3395.5</v>
      </c>
      <c r="G204" s="42" t="n">
        <f aca="false">SUMIFS(d_Profit,d_Cust,$A204)</f>
        <v>1410.5</v>
      </c>
      <c r="H204" s="52" t="n">
        <f aca="false">IF(COUNTIF(d_Cust,$A204)=0,"",SUMPRODUCT(MAX((d_Cust=$A204)*d_Date)))</f>
        <v>46288</v>
      </c>
      <c r="I204" s="47" t="n">
        <f aca="false">IF(H204="",$B$3-MIN(d_Date),$B$3-H204)</f>
        <v>8</v>
      </c>
      <c r="J204" s="47" t="n">
        <f aca="false">IF(I204&lt;=$B$6,4,IF(I204&lt;=$C$6,3,IF(I204&lt;=$D$6,2,1)))</f>
        <v>4</v>
      </c>
      <c r="K204" s="47" t="n">
        <f aca="false">IF(E204&gt;=$D$7,4,IF(E204&gt;=$C$7,3,IF(E204&gt;=$B$7,2,1)))</f>
        <v>4</v>
      </c>
      <c r="L204" s="47" t="n">
        <f aca="false">IF(F204&gt;=$D$8,4,IF(F204&gt;=$C$8,3,IF(F204&gt;=$B$8,2,1)))</f>
        <v>2</v>
      </c>
      <c r="M204" s="53" t="n">
        <f aca="false">J204+K204+L204</f>
        <v>10</v>
      </c>
      <c r="N204" s="41" t="str">
        <f aca="false">IF(M204&gt;=10,"أبطال",IF(M204&gt;=8,"أوفياء",IF(M204&gt;=6,"واعدون",IF(M204&gt;=4,"معرضون للفقد","نائمون"))))</f>
        <v>أبطال</v>
      </c>
      <c r="O204" s="47" t="n">
        <f aca="false">RANK(F204,$F$21:$F$220)+COUNTIF($F$21:F204,F204)-1</f>
        <v>129</v>
      </c>
    </row>
    <row r="205" customFormat="false" ht="15" hidden="false" customHeight="false" outlineLevel="0" collapsed="false">
      <c r="A205" s="41" t="s">
        <v>416</v>
      </c>
      <c r="B205" s="41" t="str">
        <f aca="false">INDEX(c_Name,MATCH($A205,c_ID,0))</f>
        <v>أحمد الشهري</v>
      </c>
      <c r="C205" s="41" t="str">
        <f aca="false">INDEX(c_Seg,MATCH($A205,c_ID,0))</f>
        <v>أفراد</v>
      </c>
      <c r="D205" s="41" t="str">
        <f aca="false">INDEX(c_Region,MATCH($A205,c_ID,0))</f>
        <v>الشرقية</v>
      </c>
      <c r="E205" s="47" t="n">
        <f aca="false">COUNTIFS(d_Cust,$A205,d_Status,"مكتمل")</f>
        <v>1</v>
      </c>
      <c r="F205" s="42" t="n">
        <f aca="false">SUMIFS(d_Rev,d_Cust,$A205)</f>
        <v>280</v>
      </c>
      <c r="G205" s="42" t="n">
        <f aca="false">SUMIFS(d_Profit,d_Cust,$A205)</f>
        <v>140</v>
      </c>
      <c r="H205" s="52" t="n">
        <f aca="false">IF(COUNTIF(d_Cust,$A205)=0,"",SUMPRODUCT(MAX((d_Cust=$A205)*d_Date)))</f>
        <v>46013</v>
      </c>
      <c r="I205" s="47" t="n">
        <f aca="false">IF(H205="",$B$3-MIN(d_Date),$B$3-H205)</f>
        <v>283</v>
      </c>
      <c r="J205" s="47" t="n">
        <f aca="false">IF(I205&lt;=$B$6,4,IF(I205&lt;=$C$6,3,IF(I205&lt;=$D$6,2,1)))</f>
        <v>1</v>
      </c>
      <c r="K205" s="47" t="n">
        <f aca="false">IF(E205&gt;=$D$7,4,IF(E205&gt;=$C$7,3,IF(E205&gt;=$B$7,2,1)))</f>
        <v>1</v>
      </c>
      <c r="L205" s="47" t="n">
        <f aca="false">IF(F205&gt;=$D$8,4,IF(F205&gt;=$C$8,3,IF(F205&gt;=$B$8,2,1)))</f>
        <v>1</v>
      </c>
      <c r="M205" s="53" t="n">
        <f aca="false">J205+K205+L205</f>
        <v>3</v>
      </c>
      <c r="N205" s="41" t="str">
        <f aca="false">IF(M205&gt;=10,"أبطال",IF(M205&gt;=8,"أوفياء",IF(M205&gt;=6,"واعدون",IF(M205&gt;=4,"معرضون للفقد","نائمون"))))</f>
        <v>نائمون</v>
      </c>
      <c r="O205" s="47" t="n">
        <f aca="false">RANK(F205,$F$21:$F$220)+COUNTIF($F$21:F205,F205)-1</f>
        <v>186</v>
      </c>
    </row>
    <row r="206" customFormat="false" ht="15" hidden="false" customHeight="false" outlineLevel="0" collapsed="false">
      <c r="A206" s="41" t="s">
        <v>417</v>
      </c>
      <c r="B206" s="41" t="str">
        <f aca="false">INDEX(c_Name,MATCH($A206,c_ID,0))</f>
        <v>هند الحسيني</v>
      </c>
      <c r="C206" s="41" t="str">
        <f aca="false">INDEX(c_Seg,MATCH($A206,c_ID,0))</f>
        <v>شركات صغيرة</v>
      </c>
      <c r="D206" s="41" t="str">
        <f aca="false">INDEX(c_Region,MATCH($A206,c_ID,0))</f>
        <v>الوسطى</v>
      </c>
      <c r="E206" s="47" t="n">
        <f aca="false">COUNTIFS(d_Cust,$A206,d_Status,"مكتمل")</f>
        <v>1</v>
      </c>
      <c r="F206" s="42" t="n">
        <f aca="false">SUMIFS(d_Rev,d_Cust,$A206)</f>
        <v>3536</v>
      </c>
      <c r="G206" s="42" t="n">
        <f aca="false">SUMIFS(d_Profit,d_Cust,$A206)</f>
        <v>1136</v>
      </c>
      <c r="H206" s="52" t="n">
        <f aca="false">IF(COUNTIF(d_Cust,$A206)=0,"",SUMPRODUCT(MAX((d_Cust=$A206)*d_Date)))</f>
        <v>46242</v>
      </c>
      <c r="I206" s="47" t="n">
        <f aca="false">IF(H206="",$B$3-MIN(d_Date),$B$3-H206)</f>
        <v>54</v>
      </c>
      <c r="J206" s="47" t="n">
        <f aca="false">IF(I206&lt;=$B$6,4,IF(I206&lt;=$C$6,3,IF(I206&lt;=$D$6,2,1)))</f>
        <v>2</v>
      </c>
      <c r="K206" s="47" t="n">
        <f aca="false">IF(E206&gt;=$D$7,4,IF(E206&gt;=$C$7,3,IF(E206&gt;=$B$7,2,1)))</f>
        <v>1</v>
      </c>
      <c r="L206" s="47" t="n">
        <f aca="false">IF(F206&gt;=$D$8,4,IF(F206&gt;=$C$8,3,IF(F206&gt;=$B$8,2,1)))</f>
        <v>2</v>
      </c>
      <c r="M206" s="53" t="n">
        <f aca="false">J206+K206+L206</f>
        <v>5</v>
      </c>
      <c r="N206" s="41" t="str">
        <f aca="false">IF(M206&gt;=10,"أبطال",IF(M206&gt;=8,"أوفياء",IF(M206&gt;=6,"واعدون",IF(M206&gt;=4,"معرضون للفقد","نائمون"))))</f>
        <v>معرضون للفقد</v>
      </c>
      <c r="O206" s="47" t="n">
        <f aca="false">RANK(F206,$F$21:$F$220)+COUNTIF($F$21:F206,F206)-1</f>
        <v>127</v>
      </c>
    </row>
    <row r="207" customFormat="false" ht="15" hidden="false" customHeight="false" outlineLevel="0" collapsed="false">
      <c r="A207" s="41" t="s">
        <v>418</v>
      </c>
      <c r="B207" s="41" t="str">
        <f aca="false">INDEX(c_Name,MATCH($A207,c_ID,0))</f>
        <v>ياسر الزهراني</v>
      </c>
      <c r="C207" s="41" t="str">
        <f aca="false">INDEX(c_Seg,MATCH($A207,c_ID,0))</f>
        <v>شركات صغيرة</v>
      </c>
      <c r="D207" s="41" t="str">
        <f aca="false">INDEX(c_Region,MATCH($A207,c_ID,0))</f>
        <v>الشرقية</v>
      </c>
      <c r="E207" s="47" t="n">
        <f aca="false">COUNTIFS(d_Cust,$A207,d_Status,"مكتمل")</f>
        <v>9</v>
      </c>
      <c r="F207" s="42" t="n">
        <f aca="false">SUMIFS(d_Rev,d_Cust,$A207)</f>
        <v>14722.5</v>
      </c>
      <c r="G207" s="42" t="n">
        <f aca="false">SUMIFS(d_Profit,d_Cust,$A207)</f>
        <v>5782.5</v>
      </c>
      <c r="H207" s="52" t="n">
        <f aca="false">IF(COUNTIF(d_Cust,$A207)=0,"",SUMPRODUCT(MAX((d_Cust=$A207)*d_Date)))</f>
        <v>46241</v>
      </c>
      <c r="I207" s="47" t="n">
        <f aca="false">IF(H207="",$B$3-MIN(d_Date),$B$3-H207)</f>
        <v>55</v>
      </c>
      <c r="J207" s="47" t="n">
        <f aca="false">IF(I207&lt;=$B$6,4,IF(I207&lt;=$C$6,3,IF(I207&lt;=$D$6,2,1)))</f>
        <v>2</v>
      </c>
      <c r="K207" s="47" t="n">
        <f aca="false">IF(E207&gt;=$D$7,4,IF(E207&gt;=$C$7,3,IF(E207&gt;=$B$7,2,1)))</f>
        <v>3</v>
      </c>
      <c r="L207" s="47" t="n">
        <f aca="false">IF(F207&gt;=$D$8,4,IF(F207&gt;=$C$8,3,IF(F207&gt;=$B$8,2,1)))</f>
        <v>4</v>
      </c>
      <c r="M207" s="53" t="n">
        <f aca="false">J207+K207+L207</f>
        <v>9</v>
      </c>
      <c r="N207" s="41" t="str">
        <f aca="false">IF(M207&gt;=10,"أبطال",IF(M207&gt;=8,"أوفياء",IF(M207&gt;=6,"واعدون",IF(M207&gt;=4,"معرضون للفقد","نائمون"))))</f>
        <v>أوفياء</v>
      </c>
      <c r="O207" s="47" t="n">
        <f aca="false">RANK(F207,$F$21:$F$220)+COUNTIF($F$21:F207,F207)-1</f>
        <v>41</v>
      </c>
    </row>
    <row r="208" customFormat="false" ht="15" hidden="false" customHeight="false" outlineLevel="0" collapsed="false">
      <c r="A208" s="41" t="s">
        <v>419</v>
      </c>
      <c r="B208" s="41" t="str">
        <f aca="false">INDEX(c_Name,MATCH($A208,c_ID,0))</f>
        <v>خالد العتيبي</v>
      </c>
      <c r="C208" s="41" t="str">
        <f aca="false">INDEX(c_Seg,MATCH($A208,c_ID,0))</f>
        <v>أفراد</v>
      </c>
      <c r="D208" s="41" t="str">
        <f aca="false">INDEX(c_Region,MATCH($A208,c_ID,0))</f>
        <v>الجنوبية</v>
      </c>
      <c r="E208" s="47" t="n">
        <f aca="false">COUNTIFS(d_Cust,$A208,d_Status,"مكتمل")</f>
        <v>10</v>
      </c>
      <c r="F208" s="42" t="n">
        <f aca="false">SUMIFS(d_Rev,d_Cust,$A208)</f>
        <v>8485</v>
      </c>
      <c r="G208" s="42" t="n">
        <f aca="false">SUMIFS(d_Profit,d_Cust,$A208)</f>
        <v>3405</v>
      </c>
      <c r="H208" s="52" t="n">
        <f aca="false">IF(COUNTIF(d_Cust,$A208)=0,"",SUMPRODUCT(MAX((d_Cust=$A208)*d_Date)))</f>
        <v>46232</v>
      </c>
      <c r="I208" s="47" t="n">
        <f aca="false">IF(H208="",$B$3-MIN(d_Date),$B$3-H208)</f>
        <v>64</v>
      </c>
      <c r="J208" s="47" t="n">
        <f aca="false">IF(I208&lt;=$B$6,4,IF(I208&lt;=$C$6,3,IF(I208&lt;=$D$6,2,1)))</f>
        <v>2</v>
      </c>
      <c r="K208" s="47" t="n">
        <f aca="false">IF(E208&gt;=$D$7,4,IF(E208&gt;=$C$7,3,IF(E208&gt;=$B$7,2,1)))</f>
        <v>4</v>
      </c>
      <c r="L208" s="47" t="n">
        <f aca="false">IF(F208&gt;=$D$8,4,IF(F208&gt;=$C$8,3,IF(F208&gt;=$B$8,2,1)))</f>
        <v>3</v>
      </c>
      <c r="M208" s="53" t="n">
        <f aca="false">J208+K208+L208</f>
        <v>9</v>
      </c>
      <c r="N208" s="41" t="str">
        <f aca="false">IF(M208&gt;=10,"أبطال",IF(M208&gt;=8,"أوفياء",IF(M208&gt;=6,"واعدون",IF(M208&gt;=4,"معرضون للفقد","نائمون"))))</f>
        <v>أوفياء</v>
      </c>
      <c r="O208" s="47" t="n">
        <f aca="false">RANK(F208,$F$21:$F$220)+COUNTIF($F$21:F208,F208)-1</f>
        <v>77</v>
      </c>
    </row>
    <row r="209" customFormat="false" ht="15" hidden="false" customHeight="false" outlineLevel="0" collapsed="false">
      <c r="A209" s="41" t="s">
        <v>420</v>
      </c>
      <c r="B209" s="41" t="str">
        <f aca="false">INDEX(c_Name,MATCH($A209,c_ID,0))</f>
        <v>عبدالله الدوسري</v>
      </c>
      <c r="C209" s="41" t="str">
        <f aca="false">INDEX(c_Seg,MATCH($A209,c_ID,0))</f>
        <v>أفراد</v>
      </c>
      <c r="D209" s="41" t="str">
        <f aca="false">INDEX(c_Region,MATCH($A209,c_ID,0))</f>
        <v>الجنوبية</v>
      </c>
      <c r="E209" s="47" t="n">
        <f aca="false">COUNTIFS(d_Cust,$A209,d_Status,"مكتمل")</f>
        <v>12</v>
      </c>
      <c r="F209" s="42" t="n">
        <f aca="false">SUMIFS(d_Rev,d_Cust,$A209)</f>
        <v>11456.5</v>
      </c>
      <c r="G209" s="42" t="n">
        <f aca="false">SUMIFS(d_Profit,d_Cust,$A209)</f>
        <v>3576.5</v>
      </c>
      <c r="H209" s="52" t="n">
        <f aca="false">IF(COUNTIF(d_Cust,$A209)=0,"",SUMPRODUCT(MAX((d_Cust=$A209)*d_Date)))</f>
        <v>46288</v>
      </c>
      <c r="I209" s="47" t="n">
        <f aca="false">IF(H209="",$B$3-MIN(d_Date),$B$3-H209)</f>
        <v>8</v>
      </c>
      <c r="J209" s="47" t="n">
        <f aca="false">IF(I209&lt;=$B$6,4,IF(I209&lt;=$C$6,3,IF(I209&lt;=$D$6,2,1)))</f>
        <v>4</v>
      </c>
      <c r="K209" s="47" t="n">
        <f aca="false">IF(E209&gt;=$D$7,4,IF(E209&gt;=$C$7,3,IF(E209&gt;=$B$7,2,1)))</f>
        <v>4</v>
      </c>
      <c r="L209" s="47" t="n">
        <f aca="false">IF(F209&gt;=$D$8,4,IF(F209&gt;=$C$8,3,IF(F209&gt;=$B$8,2,1)))</f>
        <v>3</v>
      </c>
      <c r="M209" s="53" t="n">
        <f aca="false">J209+K209+L209</f>
        <v>11</v>
      </c>
      <c r="N209" s="41" t="str">
        <f aca="false">IF(M209&gt;=10,"أبطال",IF(M209&gt;=8,"أوفياء",IF(M209&gt;=6,"واعدون",IF(M209&gt;=4,"معرضون للفقد","نائمون"))))</f>
        <v>أبطال</v>
      </c>
      <c r="O209" s="47" t="n">
        <f aca="false">RANK(F209,$F$21:$F$220)+COUNTIF($F$21:F209,F209)-1</f>
        <v>57</v>
      </c>
    </row>
    <row r="210" customFormat="false" ht="15" hidden="false" customHeight="false" outlineLevel="0" collapsed="false">
      <c r="A210" s="41" t="s">
        <v>421</v>
      </c>
      <c r="B210" s="41" t="str">
        <f aca="false">INDEX(c_Name,MATCH($A210,c_ID,0))</f>
        <v>نورة الخالدي</v>
      </c>
      <c r="C210" s="41" t="str">
        <f aca="false">INDEX(c_Seg,MATCH($A210,c_ID,0))</f>
        <v>أفراد</v>
      </c>
      <c r="D210" s="41" t="str">
        <f aca="false">INDEX(c_Region,MATCH($A210,c_ID,0))</f>
        <v>الجنوبية</v>
      </c>
      <c r="E210" s="47" t="n">
        <f aca="false">COUNTIFS(d_Cust,$A210,d_Status,"مكتمل")</f>
        <v>2</v>
      </c>
      <c r="F210" s="42" t="n">
        <f aca="false">SUMIFS(d_Rev,d_Cust,$A210)</f>
        <v>2128</v>
      </c>
      <c r="G210" s="42" t="n">
        <f aca="false">SUMIFS(d_Profit,d_Cust,$A210)</f>
        <v>1158</v>
      </c>
      <c r="H210" s="52" t="n">
        <f aca="false">IF(COUNTIF(d_Cust,$A210)=0,"",SUMPRODUCT(MAX((d_Cust=$A210)*d_Date)))</f>
        <v>46138</v>
      </c>
      <c r="I210" s="47" t="n">
        <f aca="false">IF(H210="",$B$3-MIN(d_Date),$B$3-H210)</f>
        <v>158</v>
      </c>
      <c r="J210" s="47" t="n">
        <f aca="false">IF(I210&lt;=$B$6,4,IF(I210&lt;=$C$6,3,IF(I210&lt;=$D$6,2,1)))</f>
        <v>1</v>
      </c>
      <c r="K210" s="47" t="n">
        <f aca="false">IF(E210&gt;=$D$7,4,IF(E210&gt;=$C$7,3,IF(E210&gt;=$B$7,2,1)))</f>
        <v>1</v>
      </c>
      <c r="L210" s="47" t="n">
        <f aca="false">IF(F210&gt;=$D$8,4,IF(F210&gt;=$C$8,3,IF(F210&gt;=$B$8,2,1)))</f>
        <v>1</v>
      </c>
      <c r="M210" s="53" t="n">
        <f aca="false">J210+K210+L210</f>
        <v>3</v>
      </c>
      <c r="N210" s="41" t="str">
        <f aca="false">IF(M210&gt;=10,"أبطال",IF(M210&gt;=8,"أوفياء",IF(M210&gt;=6,"واعدون",IF(M210&gt;=4,"معرضون للفقد","نائمون"))))</f>
        <v>نائمون</v>
      </c>
      <c r="O210" s="47" t="n">
        <f aca="false">RANK(F210,$F$21:$F$220)+COUNTIF($F$21:F210,F210)-1</f>
        <v>155</v>
      </c>
    </row>
    <row r="211" customFormat="false" ht="15" hidden="false" customHeight="false" outlineLevel="0" collapsed="false">
      <c r="A211" s="41" t="s">
        <v>422</v>
      </c>
      <c r="B211" s="41" t="str">
        <f aca="false">INDEX(c_Name,MATCH($A211,c_ID,0))</f>
        <v>سارة الحسيني</v>
      </c>
      <c r="C211" s="41" t="str">
        <f aca="false">INDEX(c_Seg,MATCH($A211,c_ID,0))</f>
        <v>شركات صغيرة</v>
      </c>
      <c r="D211" s="41" t="str">
        <f aca="false">INDEX(c_Region,MATCH($A211,c_ID,0))</f>
        <v>الجنوبية</v>
      </c>
      <c r="E211" s="47" t="n">
        <f aca="false">COUNTIFS(d_Cust,$A211,d_Status,"مكتمل")</f>
        <v>2</v>
      </c>
      <c r="F211" s="42" t="n">
        <f aca="false">SUMIFS(d_Rev,d_Cust,$A211)</f>
        <v>2910</v>
      </c>
      <c r="G211" s="42" t="n">
        <f aca="false">SUMIFS(d_Profit,d_Cust,$A211)</f>
        <v>1290</v>
      </c>
      <c r="H211" s="52" t="n">
        <f aca="false">IF(COUNTIF(d_Cust,$A211)=0,"",SUMPRODUCT(MAX((d_Cust=$A211)*d_Date)))</f>
        <v>46230</v>
      </c>
      <c r="I211" s="47" t="n">
        <f aca="false">IF(H211="",$B$3-MIN(d_Date),$B$3-H211)</f>
        <v>66</v>
      </c>
      <c r="J211" s="47" t="n">
        <f aca="false">IF(I211&lt;=$B$6,4,IF(I211&lt;=$C$6,3,IF(I211&lt;=$D$6,2,1)))</f>
        <v>2</v>
      </c>
      <c r="K211" s="47" t="n">
        <f aca="false">IF(E211&gt;=$D$7,4,IF(E211&gt;=$C$7,3,IF(E211&gt;=$B$7,2,1)))</f>
        <v>1</v>
      </c>
      <c r="L211" s="47" t="n">
        <f aca="false">IF(F211&gt;=$D$8,4,IF(F211&gt;=$C$8,3,IF(F211&gt;=$B$8,2,1)))</f>
        <v>2</v>
      </c>
      <c r="M211" s="53" t="n">
        <f aca="false">J211+K211+L211</f>
        <v>5</v>
      </c>
      <c r="N211" s="41" t="str">
        <f aca="false">IF(M211&gt;=10,"أبطال",IF(M211&gt;=8,"أوفياء",IF(M211&gt;=6,"واعدون",IF(M211&gt;=4,"معرضون للفقد","نائمون"))))</f>
        <v>معرضون للفقد</v>
      </c>
      <c r="O211" s="47" t="n">
        <f aca="false">RANK(F211,$F$21:$F$220)+COUNTIF($F$21:F211,F211)-1</f>
        <v>139</v>
      </c>
    </row>
    <row r="212" customFormat="false" ht="15" hidden="false" customHeight="false" outlineLevel="0" collapsed="false">
      <c r="A212" s="41" t="s">
        <v>423</v>
      </c>
      <c r="B212" s="41" t="str">
        <f aca="false">INDEX(c_Name,MATCH($A212,c_ID,0))</f>
        <v>ناصر المطيري</v>
      </c>
      <c r="C212" s="41" t="str">
        <f aca="false">INDEX(c_Seg,MATCH($A212,c_ID,0))</f>
        <v>أفراد</v>
      </c>
      <c r="D212" s="41" t="str">
        <f aca="false">INDEX(c_Region,MATCH($A212,c_ID,0))</f>
        <v>الغربية</v>
      </c>
      <c r="E212" s="47" t="n">
        <f aca="false">COUNTIFS(d_Cust,$A212,d_Status,"مكتمل")</f>
        <v>34</v>
      </c>
      <c r="F212" s="42" t="n">
        <f aca="false">SUMIFS(d_Rev,d_Cust,$A212)</f>
        <v>36507</v>
      </c>
      <c r="G212" s="42" t="n">
        <f aca="false">SUMIFS(d_Profit,d_Cust,$A212)</f>
        <v>11792</v>
      </c>
      <c r="H212" s="52" t="n">
        <f aca="false">IF(COUNTIF(d_Cust,$A212)=0,"",SUMPRODUCT(MAX((d_Cust=$A212)*d_Date)))</f>
        <v>46293</v>
      </c>
      <c r="I212" s="47" t="n">
        <f aca="false">IF(H212="",$B$3-MIN(d_Date),$B$3-H212)</f>
        <v>3</v>
      </c>
      <c r="J212" s="47" t="n">
        <f aca="false">IF(I212&lt;=$B$6,4,IF(I212&lt;=$C$6,3,IF(I212&lt;=$D$6,2,1)))</f>
        <v>4</v>
      </c>
      <c r="K212" s="47" t="n">
        <f aca="false">IF(E212&gt;=$D$7,4,IF(E212&gt;=$C$7,3,IF(E212&gt;=$B$7,2,1)))</f>
        <v>4</v>
      </c>
      <c r="L212" s="47" t="n">
        <f aca="false">IF(F212&gt;=$D$8,4,IF(F212&gt;=$C$8,3,IF(F212&gt;=$B$8,2,1)))</f>
        <v>4</v>
      </c>
      <c r="M212" s="53" t="n">
        <f aca="false">J212+K212+L212</f>
        <v>12</v>
      </c>
      <c r="N212" s="41" t="str">
        <f aca="false">IF(M212&gt;=10,"أبطال",IF(M212&gt;=8,"أوفياء",IF(M212&gt;=6,"واعدون",IF(M212&gt;=4,"معرضون للفقد","نائمون"))))</f>
        <v>أبطال</v>
      </c>
      <c r="O212" s="47" t="n">
        <f aca="false">RANK(F212,$F$21:$F$220)+COUNTIF($F$21:F212,F212)-1</f>
        <v>11</v>
      </c>
    </row>
    <row r="213" customFormat="false" ht="15" hidden="false" customHeight="false" outlineLevel="0" collapsed="false">
      <c r="A213" s="41" t="s">
        <v>424</v>
      </c>
      <c r="B213" s="41" t="str">
        <f aca="false">INDEX(c_Name,MATCH($A213,c_ID,0))</f>
        <v>سارة التميمي</v>
      </c>
      <c r="C213" s="41" t="str">
        <f aca="false">INDEX(c_Seg,MATCH($A213,c_ID,0))</f>
        <v>أفراد</v>
      </c>
      <c r="D213" s="41" t="str">
        <f aca="false">INDEX(c_Region,MATCH($A213,c_ID,0))</f>
        <v>الشرقية</v>
      </c>
      <c r="E213" s="47" t="n">
        <f aca="false">COUNTIFS(d_Cust,$A213,d_Status,"مكتمل")</f>
        <v>3</v>
      </c>
      <c r="F213" s="42" t="n">
        <f aca="false">SUMIFS(d_Rev,d_Cust,$A213)</f>
        <v>2192</v>
      </c>
      <c r="G213" s="42" t="n">
        <f aca="false">SUMIFS(d_Profit,d_Cust,$A213)</f>
        <v>1102</v>
      </c>
      <c r="H213" s="52" t="n">
        <f aca="false">IF(COUNTIF(d_Cust,$A213)=0,"",SUMPRODUCT(MAX((d_Cust=$A213)*d_Date)))</f>
        <v>46150</v>
      </c>
      <c r="I213" s="47" t="n">
        <f aca="false">IF(H213="",$B$3-MIN(d_Date),$B$3-H213)</f>
        <v>146</v>
      </c>
      <c r="J213" s="47" t="n">
        <f aca="false">IF(I213&lt;=$B$6,4,IF(I213&lt;=$C$6,3,IF(I213&lt;=$D$6,2,1)))</f>
        <v>1</v>
      </c>
      <c r="K213" s="47" t="n">
        <f aca="false">IF(E213&gt;=$D$7,4,IF(E213&gt;=$C$7,3,IF(E213&gt;=$B$7,2,1)))</f>
        <v>2</v>
      </c>
      <c r="L213" s="47" t="n">
        <f aca="false">IF(F213&gt;=$D$8,4,IF(F213&gt;=$C$8,3,IF(F213&gt;=$B$8,2,1)))</f>
        <v>1</v>
      </c>
      <c r="M213" s="53" t="n">
        <f aca="false">J213+K213+L213</f>
        <v>4</v>
      </c>
      <c r="N213" s="41" t="str">
        <f aca="false">IF(M213&gt;=10,"أبطال",IF(M213&gt;=8,"أوفياء",IF(M213&gt;=6,"واعدون",IF(M213&gt;=4,"معرضون للفقد","نائمون"))))</f>
        <v>معرضون للفقد</v>
      </c>
      <c r="O213" s="47" t="n">
        <f aca="false">RANK(F213,$F$21:$F$220)+COUNTIF($F$21:F213,F213)-1</f>
        <v>154</v>
      </c>
    </row>
    <row r="214" customFormat="false" ht="15" hidden="false" customHeight="false" outlineLevel="0" collapsed="false">
      <c r="A214" s="41" t="s">
        <v>425</v>
      </c>
      <c r="B214" s="41" t="str">
        <f aca="false">INDEX(c_Name,MATCH($A214,c_ID,0))</f>
        <v>عبدالله الشمري</v>
      </c>
      <c r="C214" s="41" t="str">
        <f aca="false">INDEX(c_Seg,MATCH($A214,c_ID,0))</f>
        <v>أفراد</v>
      </c>
      <c r="D214" s="41" t="str">
        <f aca="false">INDEX(c_Region,MATCH($A214,c_ID,0))</f>
        <v>الجنوبية</v>
      </c>
      <c r="E214" s="47" t="n">
        <f aca="false">COUNTIFS(d_Cust,$A214,d_Status,"مكتمل")</f>
        <v>8</v>
      </c>
      <c r="F214" s="42" t="n">
        <f aca="false">SUMIFS(d_Rev,d_Cust,$A214)</f>
        <v>7264.5</v>
      </c>
      <c r="G214" s="42" t="n">
        <f aca="false">SUMIFS(d_Profit,d_Cust,$A214)</f>
        <v>2299.5</v>
      </c>
      <c r="H214" s="52" t="n">
        <f aca="false">IF(COUNTIF(d_Cust,$A214)=0,"",SUMPRODUCT(MAX((d_Cust=$A214)*d_Date)))</f>
        <v>46256</v>
      </c>
      <c r="I214" s="47" t="n">
        <f aca="false">IF(H214="",$B$3-MIN(d_Date),$B$3-H214)</f>
        <v>40</v>
      </c>
      <c r="J214" s="47" t="n">
        <f aca="false">IF(I214&lt;=$B$6,4,IF(I214&lt;=$C$6,3,IF(I214&lt;=$D$6,2,1)))</f>
        <v>3</v>
      </c>
      <c r="K214" s="47" t="n">
        <f aca="false">IF(E214&gt;=$D$7,4,IF(E214&gt;=$C$7,3,IF(E214&gt;=$B$7,2,1)))</f>
        <v>3</v>
      </c>
      <c r="L214" s="47" t="n">
        <f aca="false">IF(F214&gt;=$D$8,4,IF(F214&gt;=$C$8,3,IF(F214&gt;=$B$8,2,1)))</f>
        <v>3</v>
      </c>
      <c r="M214" s="53" t="n">
        <f aca="false">J214+K214+L214</f>
        <v>9</v>
      </c>
      <c r="N214" s="41" t="str">
        <f aca="false">IF(M214&gt;=10,"أبطال",IF(M214&gt;=8,"أوفياء",IF(M214&gt;=6,"واعدون",IF(M214&gt;=4,"معرضون للفقد","نائمون"))))</f>
        <v>أوفياء</v>
      </c>
      <c r="O214" s="47" t="n">
        <f aca="false">RANK(F214,$F$21:$F$220)+COUNTIF($F$21:F214,F214)-1</f>
        <v>89</v>
      </c>
    </row>
    <row r="215" customFormat="false" ht="15" hidden="false" customHeight="false" outlineLevel="0" collapsed="false">
      <c r="A215" s="41" t="s">
        <v>426</v>
      </c>
      <c r="B215" s="41" t="str">
        <f aca="false">INDEX(c_Name,MATCH($A215,c_ID,0))</f>
        <v>لمى البلوي</v>
      </c>
      <c r="C215" s="41" t="str">
        <f aca="false">INDEX(c_Seg,MATCH($A215,c_ID,0))</f>
        <v>أفراد</v>
      </c>
      <c r="D215" s="41" t="str">
        <f aca="false">INDEX(c_Region,MATCH($A215,c_ID,0))</f>
        <v>الشرقية</v>
      </c>
      <c r="E215" s="47" t="n">
        <f aca="false">COUNTIFS(d_Cust,$A215,d_Status,"مكتمل")</f>
        <v>6</v>
      </c>
      <c r="F215" s="42" t="n">
        <f aca="false">SUMIFS(d_Rev,d_Cust,$A215)</f>
        <v>2341.5</v>
      </c>
      <c r="G215" s="42" t="n">
        <f aca="false">SUMIFS(d_Profit,d_Cust,$A215)</f>
        <v>771.5</v>
      </c>
      <c r="H215" s="52" t="n">
        <f aca="false">IF(COUNTIF(d_Cust,$A215)=0,"",SUMPRODUCT(MAX((d_Cust=$A215)*d_Date)))</f>
        <v>46277</v>
      </c>
      <c r="I215" s="47" t="n">
        <f aca="false">IF(H215="",$B$3-MIN(d_Date),$B$3-H215)</f>
        <v>19</v>
      </c>
      <c r="J215" s="47" t="n">
        <f aca="false">IF(I215&lt;=$B$6,4,IF(I215&lt;=$C$6,3,IF(I215&lt;=$D$6,2,1)))</f>
        <v>3</v>
      </c>
      <c r="K215" s="47" t="n">
        <f aca="false">IF(E215&gt;=$D$7,4,IF(E215&gt;=$C$7,3,IF(E215&gt;=$B$7,2,1)))</f>
        <v>3</v>
      </c>
      <c r="L215" s="47" t="n">
        <f aca="false">IF(F215&gt;=$D$8,4,IF(F215&gt;=$C$8,3,IF(F215&gt;=$B$8,2,1)))</f>
        <v>2</v>
      </c>
      <c r="M215" s="53" t="n">
        <f aca="false">J215+K215+L215</f>
        <v>8</v>
      </c>
      <c r="N215" s="41" t="str">
        <f aca="false">IF(M215&gt;=10,"أبطال",IF(M215&gt;=8,"أوفياء",IF(M215&gt;=6,"واعدون",IF(M215&gt;=4,"معرضون للفقد","نائمون"))))</f>
        <v>أوفياء</v>
      </c>
      <c r="O215" s="47" t="n">
        <f aca="false">RANK(F215,$F$21:$F$220)+COUNTIF($F$21:F215,F215)-1</f>
        <v>149</v>
      </c>
    </row>
    <row r="216" customFormat="false" ht="15" hidden="false" customHeight="false" outlineLevel="0" collapsed="false">
      <c r="A216" s="41" t="s">
        <v>427</v>
      </c>
      <c r="B216" s="41" t="str">
        <f aca="false">INDEX(c_Name,MATCH($A216,c_ID,0))</f>
        <v>محمد العنزي</v>
      </c>
      <c r="C216" s="41" t="str">
        <f aca="false">INDEX(c_Seg,MATCH($A216,c_ID,0))</f>
        <v>شركات صغيرة</v>
      </c>
      <c r="D216" s="41" t="str">
        <f aca="false">INDEX(c_Region,MATCH($A216,c_ID,0))</f>
        <v>الشرقية</v>
      </c>
      <c r="E216" s="47" t="n">
        <f aca="false">COUNTIFS(d_Cust,$A216,d_Status,"مكتمل")</f>
        <v>1</v>
      </c>
      <c r="F216" s="42" t="n">
        <f aca="false">SUMIFS(d_Rev,d_Cust,$A216)</f>
        <v>1520</v>
      </c>
      <c r="G216" s="42" t="n">
        <f aca="false">SUMIFS(d_Profit,d_Cust,$A216)</f>
        <v>680</v>
      </c>
      <c r="H216" s="52" t="n">
        <f aca="false">IF(COUNTIF(d_Cust,$A216)=0,"",SUMPRODUCT(MAX((d_Cust=$A216)*d_Date)))</f>
        <v>46034</v>
      </c>
      <c r="I216" s="47" t="n">
        <f aca="false">IF(H216="",$B$3-MIN(d_Date),$B$3-H216)</f>
        <v>262</v>
      </c>
      <c r="J216" s="47" t="n">
        <f aca="false">IF(I216&lt;=$B$6,4,IF(I216&lt;=$C$6,3,IF(I216&lt;=$D$6,2,1)))</f>
        <v>1</v>
      </c>
      <c r="K216" s="47" t="n">
        <f aca="false">IF(E216&gt;=$D$7,4,IF(E216&gt;=$C$7,3,IF(E216&gt;=$B$7,2,1)))</f>
        <v>1</v>
      </c>
      <c r="L216" s="47" t="n">
        <f aca="false">IF(F216&gt;=$D$8,4,IF(F216&gt;=$C$8,3,IF(F216&gt;=$B$8,2,1)))</f>
        <v>1</v>
      </c>
      <c r="M216" s="53" t="n">
        <f aca="false">J216+K216+L216</f>
        <v>3</v>
      </c>
      <c r="N216" s="41" t="str">
        <f aca="false">IF(M216&gt;=10,"أبطال",IF(M216&gt;=8,"أوفياء",IF(M216&gt;=6,"واعدون",IF(M216&gt;=4,"معرضون للفقد","نائمون"))))</f>
        <v>نائمون</v>
      </c>
      <c r="O216" s="47" t="n">
        <f aca="false">RANK(F216,$F$21:$F$220)+COUNTIF($F$21:F216,F216)-1</f>
        <v>169</v>
      </c>
    </row>
    <row r="217" customFormat="false" ht="15" hidden="false" customHeight="false" outlineLevel="0" collapsed="false">
      <c r="A217" s="41" t="s">
        <v>428</v>
      </c>
      <c r="B217" s="41" t="str">
        <f aca="false">INDEX(c_Name,MATCH($A217,c_ID,0))</f>
        <v>عبدالله القحطاني</v>
      </c>
      <c r="C217" s="41" t="str">
        <f aca="false">INDEX(c_Seg,MATCH($A217,c_ID,0))</f>
        <v>أفراد</v>
      </c>
      <c r="D217" s="41" t="str">
        <f aca="false">INDEX(c_Region,MATCH($A217,c_ID,0))</f>
        <v>الوسطى</v>
      </c>
      <c r="E217" s="47" t="n">
        <f aca="false">COUNTIFS(d_Cust,$A217,d_Status,"مكتمل")</f>
        <v>11</v>
      </c>
      <c r="F217" s="42" t="n">
        <f aca="false">SUMIFS(d_Rev,d_Cust,$A217)</f>
        <v>6833</v>
      </c>
      <c r="G217" s="42" t="n">
        <f aca="false">SUMIFS(d_Profit,d_Cust,$A217)</f>
        <v>2868</v>
      </c>
      <c r="H217" s="52" t="n">
        <f aca="false">IF(COUNTIF(d_Cust,$A217)=0,"",SUMPRODUCT(MAX((d_Cust=$A217)*d_Date)))</f>
        <v>46232</v>
      </c>
      <c r="I217" s="47" t="n">
        <f aca="false">IF(H217="",$B$3-MIN(d_Date),$B$3-H217)</f>
        <v>64</v>
      </c>
      <c r="J217" s="47" t="n">
        <f aca="false">IF(I217&lt;=$B$6,4,IF(I217&lt;=$C$6,3,IF(I217&lt;=$D$6,2,1)))</f>
        <v>2</v>
      </c>
      <c r="K217" s="47" t="n">
        <f aca="false">IF(E217&gt;=$D$7,4,IF(E217&gt;=$C$7,3,IF(E217&gt;=$B$7,2,1)))</f>
        <v>4</v>
      </c>
      <c r="L217" s="47" t="n">
        <f aca="false">IF(F217&gt;=$D$8,4,IF(F217&gt;=$C$8,3,IF(F217&gt;=$B$8,2,1)))</f>
        <v>3</v>
      </c>
      <c r="M217" s="53" t="n">
        <f aca="false">J217+K217+L217</f>
        <v>9</v>
      </c>
      <c r="N217" s="41" t="str">
        <f aca="false">IF(M217&gt;=10,"أبطال",IF(M217&gt;=8,"أوفياء",IF(M217&gt;=6,"واعدون",IF(M217&gt;=4,"معرضون للفقد","نائمون"))))</f>
        <v>أوفياء</v>
      </c>
      <c r="O217" s="47" t="n">
        <f aca="false">RANK(F217,$F$21:$F$220)+COUNTIF($F$21:F217,F217)-1</f>
        <v>92</v>
      </c>
    </row>
    <row r="218" customFormat="false" ht="15" hidden="false" customHeight="false" outlineLevel="0" collapsed="false">
      <c r="A218" s="41" t="s">
        <v>429</v>
      </c>
      <c r="B218" s="41" t="str">
        <f aca="false">INDEX(c_Name,MATCH($A218,c_ID,0))</f>
        <v>سعد الحربي</v>
      </c>
      <c r="C218" s="41" t="str">
        <f aca="false">INDEX(c_Seg,MATCH($A218,c_ID,0))</f>
        <v>أفراد</v>
      </c>
      <c r="D218" s="41" t="str">
        <f aca="false">INDEX(c_Region,MATCH($A218,c_ID,0))</f>
        <v>الغربية</v>
      </c>
      <c r="E218" s="47" t="n">
        <f aca="false">COUNTIFS(d_Cust,$A218,d_Status,"مكتمل")</f>
        <v>9</v>
      </c>
      <c r="F218" s="42" t="n">
        <f aca="false">SUMIFS(d_Rev,d_Cust,$A218)</f>
        <v>7054.5</v>
      </c>
      <c r="G218" s="42" t="n">
        <f aca="false">SUMIFS(d_Profit,d_Cust,$A218)</f>
        <v>2794.5</v>
      </c>
      <c r="H218" s="52" t="n">
        <f aca="false">IF(COUNTIF(d_Cust,$A218)=0,"",SUMPRODUCT(MAX((d_Cust=$A218)*d_Date)))</f>
        <v>46237</v>
      </c>
      <c r="I218" s="47" t="n">
        <f aca="false">IF(H218="",$B$3-MIN(d_Date),$B$3-H218)</f>
        <v>59</v>
      </c>
      <c r="J218" s="47" t="n">
        <f aca="false">IF(I218&lt;=$B$6,4,IF(I218&lt;=$C$6,3,IF(I218&lt;=$D$6,2,1)))</f>
        <v>2</v>
      </c>
      <c r="K218" s="47" t="n">
        <f aca="false">IF(E218&gt;=$D$7,4,IF(E218&gt;=$C$7,3,IF(E218&gt;=$B$7,2,1)))</f>
        <v>3</v>
      </c>
      <c r="L218" s="47" t="n">
        <f aca="false">IF(F218&gt;=$D$8,4,IF(F218&gt;=$C$8,3,IF(F218&gt;=$B$8,2,1)))</f>
        <v>3</v>
      </c>
      <c r="M218" s="53" t="n">
        <f aca="false">J218+K218+L218</f>
        <v>8</v>
      </c>
      <c r="N218" s="41" t="str">
        <f aca="false">IF(M218&gt;=10,"أبطال",IF(M218&gt;=8,"أوفياء",IF(M218&gt;=6,"واعدون",IF(M218&gt;=4,"معرضون للفقد","نائمون"))))</f>
        <v>أوفياء</v>
      </c>
      <c r="O218" s="47" t="n">
        <f aca="false">RANK(F218,$F$21:$F$220)+COUNTIF($F$21:F218,F218)-1</f>
        <v>91</v>
      </c>
    </row>
    <row r="219" customFormat="false" ht="15" hidden="false" customHeight="false" outlineLevel="0" collapsed="false">
      <c r="A219" s="41" t="s">
        <v>430</v>
      </c>
      <c r="B219" s="41" t="str">
        <f aca="false">INDEX(c_Name,MATCH($A219,c_ID,0))</f>
        <v>ليلى الحربي</v>
      </c>
      <c r="C219" s="41" t="str">
        <f aca="false">INDEX(c_Seg,MATCH($A219,c_ID,0))</f>
        <v>شركات صغيرة</v>
      </c>
      <c r="D219" s="41" t="str">
        <f aca="false">INDEX(c_Region,MATCH($A219,c_ID,0))</f>
        <v>الجنوبية</v>
      </c>
      <c r="E219" s="47" t="n">
        <f aca="false">COUNTIFS(d_Cust,$A219,d_Status,"مكتمل")</f>
        <v>17</v>
      </c>
      <c r="F219" s="42" t="n">
        <f aca="false">SUMIFS(d_Rev,d_Cust,$A219)</f>
        <v>26792</v>
      </c>
      <c r="G219" s="42" t="n">
        <f aca="false">SUMIFS(d_Profit,d_Cust,$A219)</f>
        <v>9667</v>
      </c>
      <c r="H219" s="52" t="n">
        <f aca="false">IF(COUNTIF(d_Cust,$A219)=0,"",SUMPRODUCT(MAX((d_Cust=$A219)*d_Date)))</f>
        <v>46295</v>
      </c>
      <c r="I219" s="47" t="n">
        <f aca="false">IF(H219="",$B$3-MIN(d_Date),$B$3-H219)</f>
        <v>1</v>
      </c>
      <c r="J219" s="47" t="n">
        <f aca="false">IF(I219&lt;=$B$6,4,IF(I219&lt;=$C$6,3,IF(I219&lt;=$D$6,2,1)))</f>
        <v>4</v>
      </c>
      <c r="K219" s="47" t="n">
        <f aca="false">IF(E219&gt;=$D$7,4,IF(E219&gt;=$C$7,3,IF(E219&gt;=$B$7,2,1)))</f>
        <v>4</v>
      </c>
      <c r="L219" s="47" t="n">
        <f aca="false">IF(F219&gt;=$D$8,4,IF(F219&gt;=$C$8,3,IF(F219&gt;=$B$8,2,1)))</f>
        <v>4</v>
      </c>
      <c r="M219" s="53" t="n">
        <f aca="false">J219+K219+L219</f>
        <v>12</v>
      </c>
      <c r="N219" s="41" t="str">
        <f aca="false">IF(M219&gt;=10,"أبطال",IF(M219&gt;=8,"أوفياء",IF(M219&gt;=6,"واعدون",IF(M219&gt;=4,"معرضون للفقد","نائمون"))))</f>
        <v>أبطال</v>
      </c>
      <c r="O219" s="47" t="n">
        <f aca="false">RANK(F219,$F$21:$F$220)+COUNTIF($F$21:F219,F219)-1</f>
        <v>19</v>
      </c>
    </row>
    <row r="220" customFormat="false" ht="15" hidden="false" customHeight="false" outlineLevel="0" collapsed="false">
      <c r="A220" s="41" t="s">
        <v>431</v>
      </c>
      <c r="B220" s="41" t="str">
        <f aca="false">INDEX(c_Name,MATCH($A220,c_ID,0))</f>
        <v>ياسر السبيعي</v>
      </c>
      <c r="C220" s="41" t="str">
        <f aca="false">INDEX(c_Seg,MATCH($A220,c_ID,0))</f>
        <v>أفراد</v>
      </c>
      <c r="D220" s="41" t="str">
        <f aca="false">INDEX(c_Region,MATCH($A220,c_ID,0))</f>
        <v>الشرقية</v>
      </c>
      <c r="E220" s="47" t="n">
        <f aca="false">COUNTIFS(d_Cust,$A220,d_Status,"مكتمل")</f>
        <v>1</v>
      </c>
      <c r="F220" s="42" t="n">
        <f aca="false">SUMIFS(d_Rev,d_Cust,$A220)</f>
        <v>2250</v>
      </c>
      <c r="G220" s="42" t="n">
        <f aca="false">SUMIFS(d_Profit,d_Cust,$A220)</f>
        <v>950</v>
      </c>
      <c r="H220" s="52" t="n">
        <f aca="false">IF(COUNTIF(d_Cust,$A220)=0,"",SUMPRODUCT(MAX((d_Cust=$A220)*d_Date)))</f>
        <v>46084</v>
      </c>
      <c r="I220" s="47" t="n">
        <f aca="false">IF(H220="",$B$3-MIN(d_Date),$B$3-H220)</f>
        <v>212</v>
      </c>
      <c r="J220" s="47" t="n">
        <f aca="false">IF(I220&lt;=$B$6,4,IF(I220&lt;=$C$6,3,IF(I220&lt;=$D$6,2,1)))</f>
        <v>1</v>
      </c>
      <c r="K220" s="47" t="n">
        <f aca="false">IF(E220&gt;=$D$7,4,IF(E220&gt;=$C$7,3,IF(E220&gt;=$B$7,2,1)))</f>
        <v>1</v>
      </c>
      <c r="L220" s="47" t="n">
        <f aca="false">IF(F220&gt;=$D$8,4,IF(F220&gt;=$C$8,3,IF(F220&gt;=$B$8,2,1)))</f>
        <v>1</v>
      </c>
      <c r="M220" s="53" t="n">
        <f aca="false">J220+K220+L220</f>
        <v>3</v>
      </c>
      <c r="N220" s="41" t="str">
        <f aca="false">IF(M220&gt;=10,"أبطال",IF(M220&gt;=8,"أوفياء",IF(M220&gt;=6,"واعدون",IF(M220&gt;=4,"معرضون للفقد","نائمون"))))</f>
        <v>نائمون</v>
      </c>
      <c r="O220" s="47" t="n">
        <f aca="false">RANK(F220,$F$21:$F$220)+COUNTIF($F$21:F220,F220)-1</f>
        <v>151</v>
      </c>
    </row>
  </sheetData>
  <autoFilter ref="A20:O220"/>
  <mergeCells count="2">
    <mergeCell ref="A1:O1"/>
    <mergeCell ref="B2:O2"/>
  </mergeCells>
  <conditionalFormatting sqref="D12:D16">
    <cfRule type="dataBar" priority="2">
      <dataBar showValue="1" minLength="10" maxLength="90">
        <cfvo type="num" val="0"/>
        <cfvo type="max" val="0"/>
        <color rgb="FFE76F51"/>
      </dataBar>
      <extLst>
        <ext xmlns:x14="http://schemas.microsoft.com/office/spreadsheetml/2009/9/main" uri="{B025F937-C7B1-47D3-B67F-A62EFF666E3E}">
          <x14:id>{EFF8A8DA-1C2B-42F5-A958-35527047DD9B}</x14:id>
        </ext>
      </extLst>
    </cfRule>
  </conditionalFormatting>
  <conditionalFormatting sqref="N21:N220">
    <cfRule type="cellIs" priority="3" operator="equal" aboveAverage="0" equalAverage="0" bottom="0" percent="0" rank="0" text="" dxfId="4">
      <formula>"أبطال"</formula>
    </cfRule>
    <cfRule type="cellIs" priority="4" operator="equal" aboveAverage="0" equalAverage="0" bottom="0" percent="0" rank="0" text="" dxfId="21">
      <formula>"أوفياء"</formula>
    </cfRule>
    <cfRule type="cellIs" priority="5" operator="equal" aboveAverage="0" equalAverage="0" bottom="0" percent="0" rank="0" text="" dxfId="22">
      <formula>"واعدون"</formula>
    </cfRule>
    <cfRule type="cellIs" priority="6" operator="equal" aboveAverage="0" equalAverage="0" bottom="0" percent="0" rank="0" text="" dxfId="23">
      <formula>"معرضون للفقد"</formula>
    </cfRule>
    <cfRule type="cellIs" priority="7" operator="equal" aboveAverage="0" equalAverage="0" bottom="0" percent="0" rank="0" text="" dxfId="24">
      <formula>"نائمون"</formula>
    </cfRule>
  </conditionalFormatting>
  <conditionalFormatting sqref="F21:F220">
    <cfRule type="dataBar" priority="8">
      <dataBar showValue="1" minLength="10" maxLength="90">
        <cfvo type="num" val="0"/>
        <cfvo type="max" val="0"/>
        <color rgb="FF2A9D8F"/>
      </dataBar>
      <extLst>
        <ext xmlns:x14="http://schemas.microsoft.com/office/spreadsheetml/2009/9/main" uri="{B025F937-C7B1-47D3-B67F-A62EFF666E3E}">
          <x14:id>{7A1028BD-EDE0-4269-982D-CE38EAAE7BED}</x14:id>
        </ext>
      </extLst>
    </cfRule>
  </conditionalFormatting>
  <conditionalFormatting sqref="J21:L220">
    <cfRule type="colorScale" priority="9">
      <colorScale>
        <cfvo type="num" val="1"/>
        <cfvo type="num" val="4"/>
        <color rgb="FFF8CBAD"/>
        <color rgb="FFA9D18E"/>
      </colorScale>
    </cfRule>
  </conditionalFormatting>
  <hyperlinks>
    <hyperlink ref="A2" location="'الفهرس'!A1" display="↩ الفهرس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F8A8DA-1C2B-42F5-A958-35527047DD9B}">
            <x14:dataBar minLength="10" maxLength="90" axisPosition="none" gradient="true">
              <x14:cfvo type="num">
                <xm:f>0</xm:f>
              </x14:cfvo>
              <x14:cfvo type="max"/>
              <x14:negativeFillColor rgb="FFE76F51"/>
              <x14:axisColor rgb="FF000000"/>
            </x14:dataBar>
          </x14:cfRule>
          <xm:sqref>D12:D16</xm:sqref>
        </x14:conditionalFormatting>
        <x14:conditionalFormatting xmlns:xm="http://schemas.microsoft.com/office/excel/2006/main">
          <x14:cfRule type="dataBar" id="{7A1028BD-EDE0-4269-982D-CE38EAAE7BED}">
            <x14:dataBar minLength="10" maxLength="90" axisPosition="none" gradient="true">
              <x14:cfvo type="num">
                <xm:f>0</xm:f>
              </x14:cfvo>
              <x14:cfvo type="max"/>
              <x14:negativeFillColor rgb="FF2A9D8F"/>
              <x14:axisColor rgb="FF000000"/>
            </x14:dataBar>
          </x14:cfRule>
          <xm:sqref>F21:F220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A261"/>
    <pageSetUpPr fitToPage="true"/>
  </sheetPr>
  <dimension ref="A1:Q1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3"/>
    <col collapsed="false" customWidth="true" hidden="false" outlineLevel="0" max="15" min="15" style="0" width="17"/>
    <col collapsed="false" customWidth="true" hidden="false" outlineLevel="0" max="16" min="16" style="0" width="13"/>
    <col collapsed="false" customWidth="true" hidden="false" outlineLevel="0" max="17" min="17" style="0" width="16"/>
  </cols>
  <sheetData>
    <row r="1" customFormat="false" ht="33.75" hidden="false" customHeight="true" outlineLevel="0" collapsed="false">
      <c r="A1" s="1" t="s">
        <v>432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A2" s="2" t="s">
        <v>1</v>
      </c>
      <c r="B2" s="3" t="s">
        <v>433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customFormat="false" ht="36" hidden="false" customHeight="true" outlineLevel="0" collapsed="false">
      <c r="A4" s="9" t="s">
        <v>434</v>
      </c>
      <c r="B4" s="9" t="s">
        <v>435</v>
      </c>
      <c r="C4" s="9" t="s">
        <v>75</v>
      </c>
      <c r="D4" s="9" t="s">
        <v>436</v>
      </c>
      <c r="E4" s="9" t="s">
        <v>437</v>
      </c>
      <c r="F4" s="9" t="s">
        <v>438</v>
      </c>
      <c r="G4" s="9" t="s">
        <v>80</v>
      </c>
      <c r="H4" s="9" t="s">
        <v>130</v>
      </c>
      <c r="I4" s="9" t="s">
        <v>146</v>
      </c>
      <c r="J4" s="9" t="s">
        <v>147</v>
      </c>
      <c r="K4" s="9" t="s">
        <v>77</v>
      </c>
      <c r="L4" s="9" t="s">
        <v>439</v>
      </c>
      <c r="M4" s="9" t="s">
        <v>440</v>
      </c>
      <c r="O4" s="9" t="s">
        <v>441</v>
      </c>
      <c r="P4" s="9" t="s">
        <v>439</v>
      </c>
      <c r="Q4" s="9" t="s">
        <v>77</v>
      </c>
    </row>
    <row r="5" customFormat="false" ht="15" hidden="false" customHeight="false" outlineLevel="0" collapsed="false">
      <c r="A5" s="41" t="s">
        <v>442</v>
      </c>
      <c r="B5" s="43" t="s">
        <v>443</v>
      </c>
      <c r="C5" s="41" t="s">
        <v>99</v>
      </c>
      <c r="D5" s="54" t="n">
        <v>320000</v>
      </c>
      <c r="E5" s="42" t="n">
        <f aca="false">SUMIFS(d_Rev,d_Rep,$B5)</f>
        <v>273234.5</v>
      </c>
      <c r="F5" s="44" t="n">
        <f aca="false">IFERROR(E5/D5,0)</f>
        <v>0.8538578125</v>
      </c>
      <c r="G5" s="42" t="n">
        <f aca="false">SUMIFS(d_Profit,d_Rep,$B5)</f>
        <v>88804.5</v>
      </c>
      <c r="H5" s="42" t="n">
        <f aca="false">COUNTIFS(d_Rep,$B5,d_Status,"مكتمل")</f>
        <v>170</v>
      </c>
      <c r="I5" s="44" t="n">
        <f aca="false">IFERROR(AVERAGEIFS(d_Disc,d_Rep,$B5),0)</f>
        <v>0.0616477272727273</v>
      </c>
      <c r="J5" s="47" t="n">
        <f aca="false">RANK(E5,$E$5:$E$14)</f>
        <v>1</v>
      </c>
      <c r="K5" s="43" t="str">
        <f aca="false">VLOOKUP(F5,$O$5:$Q$9,3,TRUE())</f>
        <v>برونزي</v>
      </c>
      <c r="L5" s="44" t="n">
        <f aca="false">VLOOKUP(F5,$O$5:$P$9,2,TRUE())</f>
        <v>0.015</v>
      </c>
      <c r="M5" s="42" t="n">
        <f aca="false">E5*L5</f>
        <v>4098.5175</v>
      </c>
      <c r="O5" s="55" t="n">
        <v>0</v>
      </c>
      <c r="P5" s="56" t="n">
        <v>0.01</v>
      </c>
      <c r="Q5" s="14" t="s">
        <v>444</v>
      </c>
    </row>
    <row r="6" customFormat="false" ht="15" hidden="false" customHeight="false" outlineLevel="0" collapsed="false">
      <c r="A6" s="41" t="s">
        <v>445</v>
      </c>
      <c r="B6" s="43" t="s">
        <v>446</v>
      </c>
      <c r="C6" s="41" t="s">
        <v>99</v>
      </c>
      <c r="D6" s="54" t="n">
        <v>207000</v>
      </c>
      <c r="E6" s="42" t="n">
        <f aca="false">SUMIFS(d_Rev,d_Rep,$B6)</f>
        <v>199901</v>
      </c>
      <c r="F6" s="44" t="n">
        <f aca="false">IFERROR(E6/D6,0)</f>
        <v>0.965705314009662</v>
      </c>
      <c r="G6" s="42" t="n">
        <f aca="false">SUMIFS(d_Profit,d_Rep,$B6)</f>
        <v>69091</v>
      </c>
      <c r="H6" s="42" t="n">
        <f aca="false">COUNTIFS(d_Rep,$B6,d_Status,"مكتمل")</f>
        <v>170</v>
      </c>
      <c r="I6" s="44" t="n">
        <f aca="false">IFERROR(AVERAGEIFS(d_Disc,d_Rep,$B6),0)</f>
        <v>0.0584269662921348</v>
      </c>
      <c r="J6" s="47" t="n">
        <f aca="false">RANK(E6,$E$5:$E$14)</f>
        <v>7</v>
      </c>
      <c r="K6" s="43" t="str">
        <f aca="false">VLOOKUP(F6,$O$5:$Q$9,3,TRUE())</f>
        <v>فضي</v>
      </c>
      <c r="L6" s="44" t="n">
        <f aca="false">VLOOKUP(F6,$O$5:$P$9,2,TRUE())</f>
        <v>0.02</v>
      </c>
      <c r="M6" s="42" t="n">
        <f aca="false">E6*L6</f>
        <v>3998.02</v>
      </c>
      <c r="O6" s="55" t="n">
        <v>0.8</v>
      </c>
      <c r="P6" s="56" t="n">
        <v>0.015</v>
      </c>
      <c r="Q6" s="14" t="s">
        <v>447</v>
      </c>
    </row>
    <row r="7" customFormat="false" ht="15" hidden="false" customHeight="false" outlineLevel="0" collapsed="false">
      <c r="A7" s="41" t="s">
        <v>448</v>
      </c>
      <c r="B7" s="43" t="s">
        <v>449</v>
      </c>
      <c r="C7" s="41" t="s">
        <v>99</v>
      </c>
      <c r="D7" s="54" t="n">
        <v>229000</v>
      </c>
      <c r="E7" s="42" t="n">
        <f aca="false">SUMIFS(d_Rev,d_Rep,$B7)</f>
        <v>219791</v>
      </c>
      <c r="F7" s="44" t="n">
        <f aca="false">IFERROR(E7/D7,0)</f>
        <v>0.959786026200873</v>
      </c>
      <c r="G7" s="42" t="n">
        <f aca="false">SUMIFS(d_Profit,d_Rep,$B7)</f>
        <v>71066</v>
      </c>
      <c r="H7" s="42" t="n">
        <f aca="false">COUNTIFS(d_Rep,$B7,d_Status,"مكتمل")</f>
        <v>153</v>
      </c>
      <c r="I7" s="44" t="n">
        <f aca="false">IFERROR(AVERAGEIFS(d_Disc,d_Rep,$B7),0)</f>
        <v>0.0666666666666667</v>
      </c>
      <c r="J7" s="47" t="n">
        <f aca="false">RANK(E7,$E$5:$E$14)</f>
        <v>5</v>
      </c>
      <c r="K7" s="43" t="str">
        <f aca="false">VLOOKUP(F7,$O$5:$Q$9,3,TRUE())</f>
        <v>فضي</v>
      </c>
      <c r="L7" s="44" t="n">
        <f aca="false">VLOOKUP(F7,$O$5:$P$9,2,TRUE())</f>
        <v>0.02</v>
      </c>
      <c r="M7" s="42" t="n">
        <f aca="false">E7*L7</f>
        <v>4395.82</v>
      </c>
      <c r="O7" s="55" t="n">
        <v>0.9</v>
      </c>
      <c r="P7" s="56" t="n">
        <v>0.02</v>
      </c>
      <c r="Q7" s="14" t="s">
        <v>450</v>
      </c>
    </row>
    <row r="8" customFormat="false" ht="15" hidden="false" customHeight="false" outlineLevel="0" collapsed="false">
      <c r="A8" s="41" t="s">
        <v>451</v>
      </c>
      <c r="B8" s="43" t="s">
        <v>452</v>
      </c>
      <c r="C8" s="41" t="s">
        <v>100</v>
      </c>
      <c r="D8" s="54" t="n">
        <v>209000</v>
      </c>
      <c r="E8" s="42" t="n">
        <f aca="false">SUMIFS(d_Rev,d_Rep,$B8)</f>
        <v>193633</v>
      </c>
      <c r="F8" s="44" t="n">
        <f aca="false">IFERROR(E8/D8,0)</f>
        <v>0.926473684210526</v>
      </c>
      <c r="G8" s="42" t="n">
        <f aca="false">SUMIFS(d_Profit,d_Rep,$B8)</f>
        <v>61548</v>
      </c>
      <c r="H8" s="42" t="n">
        <f aca="false">COUNTIFS(d_Rep,$B8,d_Status,"مكتمل")</f>
        <v>126</v>
      </c>
      <c r="I8" s="44" t="n">
        <f aca="false">IFERROR(AVERAGEIFS(d_Disc,d_Rep,$B8),0)</f>
        <v>0.0598484848484849</v>
      </c>
      <c r="J8" s="47" t="n">
        <f aca="false">RANK(E8,$E$5:$E$14)</f>
        <v>8</v>
      </c>
      <c r="K8" s="43" t="str">
        <f aca="false">VLOOKUP(F8,$O$5:$Q$9,3,TRUE())</f>
        <v>فضي</v>
      </c>
      <c r="L8" s="44" t="n">
        <f aca="false">VLOOKUP(F8,$O$5:$P$9,2,TRUE())</f>
        <v>0.02</v>
      </c>
      <c r="M8" s="42" t="n">
        <f aca="false">E8*L8</f>
        <v>3872.66</v>
      </c>
      <c r="O8" s="55" t="n">
        <v>1</v>
      </c>
      <c r="P8" s="56" t="n">
        <v>0.025</v>
      </c>
      <c r="Q8" s="14" t="s">
        <v>453</v>
      </c>
    </row>
    <row r="9" customFormat="false" ht="15" hidden="false" customHeight="false" outlineLevel="0" collapsed="false">
      <c r="A9" s="41" t="s">
        <v>454</v>
      </c>
      <c r="B9" s="43" t="s">
        <v>455</v>
      </c>
      <c r="C9" s="41" t="s">
        <v>100</v>
      </c>
      <c r="D9" s="54" t="n">
        <v>148000</v>
      </c>
      <c r="E9" s="42" t="n">
        <f aca="false">SUMIFS(d_Rev,d_Rep,$B9)</f>
        <v>164765</v>
      </c>
      <c r="F9" s="44" t="n">
        <f aca="false">IFERROR(E9/D9,0)</f>
        <v>1.11327702702703</v>
      </c>
      <c r="G9" s="42" t="n">
        <f aca="false">SUMIFS(d_Profit,d_Rep,$B9)</f>
        <v>56240</v>
      </c>
      <c r="H9" s="42" t="n">
        <f aca="false">COUNTIFS(d_Rep,$B9,d_Status,"مكتمل")</f>
        <v>102</v>
      </c>
      <c r="I9" s="44" t="n">
        <f aca="false">IFERROR(AVERAGEIFS(d_Disc,d_Rep,$B9),0)</f>
        <v>0.0629807692307692</v>
      </c>
      <c r="J9" s="47" t="n">
        <f aca="false">RANK(E9,$E$5:$E$14)</f>
        <v>9</v>
      </c>
      <c r="K9" s="43" t="str">
        <f aca="false">VLOOKUP(F9,$O$5:$Q$9,3,TRUE())</f>
        <v>بلاتيني</v>
      </c>
      <c r="L9" s="44" t="n">
        <f aca="false">VLOOKUP(F9,$O$5:$P$9,2,TRUE())</f>
        <v>0.03</v>
      </c>
      <c r="M9" s="42" t="n">
        <f aca="false">E9*L9</f>
        <v>4942.95</v>
      </c>
      <c r="O9" s="55" t="n">
        <v>1.1</v>
      </c>
      <c r="P9" s="56" t="n">
        <v>0.03</v>
      </c>
      <c r="Q9" s="14" t="s">
        <v>456</v>
      </c>
    </row>
    <row r="10" customFormat="false" ht="15" hidden="false" customHeight="false" outlineLevel="0" collapsed="false">
      <c r="A10" s="41" t="s">
        <v>457</v>
      </c>
      <c r="B10" s="43" t="s">
        <v>458</v>
      </c>
      <c r="C10" s="41" t="s">
        <v>100</v>
      </c>
      <c r="D10" s="54" t="n">
        <v>211000</v>
      </c>
      <c r="E10" s="42" t="n">
        <f aca="false">SUMIFS(d_Rev,d_Rep,$B10)</f>
        <v>206905</v>
      </c>
      <c r="F10" s="44" t="n">
        <f aca="false">IFERROR(E10/D10,0)</f>
        <v>0.980592417061611</v>
      </c>
      <c r="G10" s="42" t="n">
        <f aca="false">SUMIFS(d_Profit,d_Rep,$B10)</f>
        <v>69175</v>
      </c>
      <c r="H10" s="42" t="n">
        <f aca="false">COUNTIFS(d_Rep,$B10,d_Status,"مكتمل")</f>
        <v>125</v>
      </c>
      <c r="I10" s="44" t="n">
        <f aca="false">IFERROR(AVERAGEIFS(d_Disc,d_Rep,$B10),0)</f>
        <v>0.0720149253731343</v>
      </c>
      <c r="J10" s="47" t="n">
        <f aca="false">RANK(E10,$E$5:$E$14)</f>
        <v>6</v>
      </c>
      <c r="K10" s="43" t="str">
        <f aca="false">VLOOKUP(F10,$O$5:$Q$9,3,TRUE())</f>
        <v>فضي</v>
      </c>
      <c r="L10" s="44" t="n">
        <f aca="false">VLOOKUP(F10,$O$5:$P$9,2,TRUE())</f>
        <v>0.02</v>
      </c>
      <c r="M10" s="42" t="n">
        <f aca="false">E10*L10</f>
        <v>4138.1</v>
      </c>
      <c r="O10" s="57" t="s">
        <v>459</v>
      </c>
    </row>
    <row r="11" customFormat="false" ht="15" hidden="false" customHeight="false" outlineLevel="0" collapsed="false">
      <c r="A11" s="41" t="s">
        <v>460</v>
      </c>
      <c r="B11" s="43" t="s">
        <v>461</v>
      </c>
      <c r="C11" s="41" t="s">
        <v>101</v>
      </c>
      <c r="D11" s="54" t="n">
        <v>233000</v>
      </c>
      <c r="E11" s="42" t="n">
        <f aca="false">SUMIFS(d_Rev,d_Rep,$B11)</f>
        <v>253116</v>
      </c>
      <c r="F11" s="44" t="n">
        <f aca="false">IFERROR(E11/D11,0)</f>
        <v>1.0863347639485</v>
      </c>
      <c r="G11" s="42" t="n">
        <f aca="false">SUMIFS(d_Profit,d_Rep,$B11)</f>
        <v>82061</v>
      </c>
      <c r="H11" s="42" t="n">
        <f aca="false">COUNTIFS(d_Rep,$B11,d_Status,"مكتمل")</f>
        <v>210</v>
      </c>
      <c r="I11" s="44" t="n">
        <f aca="false">IFERROR(AVERAGEIFS(d_Disc,d_Rep,$B11),0)</f>
        <v>0.0727272727272727</v>
      </c>
      <c r="J11" s="47" t="n">
        <f aca="false">RANK(E11,$E$5:$E$14)</f>
        <v>2</v>
      </c>
      <c r="K11" s="43" t="str">
        <f aca="false">VLOOKUP(F11,$O$5:$Q$9,3,TRUE())</f>
        <v>ذهبي</v>
      </c>
      <c r="L11" s="44" t="n">
        <f aca="false">VLOOKUP(F11,$O$5:$P$9,2,TRUE())</f>
        <v>0.025</v>
      </c>
      <c r="M11" s="42" t="n">
        <f aca="false">E11*L11</f>
        <v>6327.9</v>
      </c>
    </row>
    <row r="12" customFormat="false" ht="15" hidden="false" customHeight="false" outlineLevel="0" collapsed="false">
      <c r="A12" s="41" t="s">
        <v>462</v>
      </c>
      <c r="B12" s="43" t="s">
        <v>463</v>
      </c>
      <c r="C12" s="41" t="s">
        <v>101</v>
      </c>
      <c r="D12" s="54" t="n">
        <v>210000</v>
      </c>
      <c r="E12" s="42" t="n">
        <f aca="false">SUMIFS(d_Rev,d_Rep,$B12)</f>
        <v>246331</v>
      </c>
      <c r="F12" s="44" t="n">
        <f aca="false">IFERROR(E12/D12,0)</f>
        <v>1.17300476190476</v>
      </c>
      <c r="G12" s="42" t="n">
        <f aca="false">SUMIFS(d_Profit,d_Rep,$B12)</f>
        <v>86381</v>
      </c>
      <c r="H12" s="42" t="n">
        <f aca="false">COUNTIFS(d_Rep,$B12,d_Status,"مكتمل")</f>
        <v>180</v>
      </c>
      <c r="I12" s="44" t="n">
        <f aca="false">IFERROR(AVERAGEIFS(d_Disc,d_Rep,$B12),0)</f>
        <v>0.0655440414507772</v>
      </c>
      <c r="J12" s="47" t="n">
        <f aca="false">RANK(E12,$E$5:$E$14)</f>
        <v>3</v>
      </c>
      <c r="K12" s="43" t="str">
        <f aca="false">VLOOKUP(F12,$O$5:$Q$9,3,TRUE())</f>
        <v>بلاتيني</v>
      </c>
      <c r="L12" s="44" t="n">
        <f aca="false">VLOOKUP(F12,$O$5:$P$9,2,TRUE())</f>
        <v>0.03</v>
      </c>
      <c r="M12" s="42" t="n">
        <f aca="false">E12*L12</f>
        <v>7389.93</v>
      </c>
    </row>
    <row r="13" customFormat="false" ht="15" hidden="false" customHeight="false" outlineLevel="0" collapsed="false">
      <c r="A13" s="41" t="s">
        <v>464</v>
      </c>
      <c r="B13" s="43" t="s">
        <v>465</v>
      </c>
      <c r="C13" s="41" t="s">
        <v>102</v>
      </c>
      <c r="D13" s="54" t="n">
        <v>161000</v>
      </c>
      <c r="E13" s="42" t="n">
        <f aca="false">SUMIFS(d_Rev,d_Rep,$B13)</f>
        <v>154603</v>
      </c>
      <c r="F13" s="44" t="n">
        <f aca="false">IFERROR(E13/D13,0)</f>
        <v>0.960267080745342</v>
      </c>
      <c r="G13" s="42" t="n">
        <f aca="false">SUMIFS(d_Profit,d_Rep,$B13)</f>
        <v>55973</v>
      </c>
      <c r="H13" s="42" t="n">
        <f aca="false">COUNTIFS(d_Rep,$B13,d_Status,"مكتمل")</f>
        <v>86</v>
      </c>
      <c r="I13" s="44" t="n">
        <f aca="false">IFERROR(AVERAGEIFS(d_Disc,d_Rep,$B13),0)</f>
        <v>0.0685393258426966</v>
      </c>
      <c r="J13" s="47" t="n">
        <f aca="false">RANK(E13,$E$5:$E$14)</f>
        <v>10</v>
      </c>
      <c r="K13" s="43" t="str">
        <f aca="false">VLOOKUP(F13,$O$5:$Q$9,3,TRUE())</f>
        <v>فضي</v>
      </c>
      <c r="L13" s="44" t="n">
        <f aca="false">VLOOKUP(F13,$O$5:$P$9,2,TRUE())</f>
        <v>0.02</v>
      </c>
      <c r="M13" s="42" t="n">
        <f aca="false">E13*L13</f>
        <v>3092.06</v>
      </c>
    </row>
    <row r="14" customFormat="false" ht="15" hidden="false" customHeight="false" outlineLevel="0" collapsed="false">
      <c r="A14" s="41" t="s">
        <v>466</v>
      </c>
      <c r="B14" s="43" t="s">
        <v>467</v>
      </c>
      <c r="C14" s="41" t="s">
        <v>102</v>
      </c>
      <c r="D14" s="54" t="n">
        <v>262000</v>
      </c>
      <c r="E14" s="42" t="n">
        <f aca="false">SUMIFS(d_Rev,d_Rep,$B14)</f>
        <v>224310</v>
      </c>
      <c r="F14" s="44" t="n">
        <f aca="false">IFERROR(E14/D14,0)</f>
        <v>0.856145038167939</v>
      </c>
      <c r="G14" s="42" t="n">
        <f aca="false">SUMIFS(d_Profit,d_Rep,$B14)</f>
        <v>75175</v>
      </c>
      <c r="H14" s="42" t="n">
        <f aca="false">COUNTIFS(d_Rep,$B14,d_Status,"مكتمل")</f>
        <v>112</v>
      </c>
      <c r="I14" s="44" t="n">
        <f aca="false">IFERROR(AVERAGEIFS(d_Disc,d_Rep,$B14),0)</f>
        <v>0.0634782608695652</v>
      </c>
      <c r="J14" s="47" t="n">
        <f aca="false">RANK(E14,$E$5:$E$14)</f>
        <v>4</v>
      </c>
      <c r="K14" s="43" t="str">
        <f aca="false">VLOOKUP(F14,$O$5:$Q$9,3,TRUE())</f>
        <v>برونزي</v>
      </c>
      <c r="L14" s="44" t="n">
        <f aca="false">VLOOKUP(F14,$O$5:$P$9,2,TRUE())</f>
        <v>0.015</v>
      </c>
      <c r="M14" s="42" t="n">
        <f aca="false">E14*L14</f>
        <v>3364.65</v>
      </c>
    </row>
    <row r="15" customFormat="false" ht="15" hidden="false" customHeight="false" outlineLevel="0" collapsed="false">
      <c r="A15" s="23" t="s">
        <v>122</v>
      </c>
      <c r="B15" s="23"/>
      <c r="C15" s="23"/>
      <c r="D15" s="48" t="n">
        <f aca="false">SUM(D5:D14)</f>
        <v>2190000</v>
      </c>
      <c r="E15" s="48" t="n">
        <f aca="false">SUM(E5:E14)</f>
        <v>2136589.5</v>
      </c>
      <c r="F15" s="49" t="n">
        <f aca="false">IFERROR(E15/D15,0)</f>
        <v>0.975611643835617</v>
      </c>
      <c r="G15" s="48" t="n">
        <f aca="false">SUM(G5:G14)</f>
        <v>715514.5</v>
      </c>
      <c r="H15" s="48" t="n">
        <f aca="false">SUM(H5:H14)</f>
        <v>1434</v>
      </c>
      <c r="I15" s="49" t="n">
        <f aca="false">AVERAGE(d_Disc)</f>
        <v>0.0653333333333333</v>
      </c>
      <c r="J15" s="23"/>
      <c r="K15" s="23"/>
      <c r="L15" s="23"/>
      <c r="M15" s="48" t="n">
        <f aca="false">SUM(M5:M14)</f>
        <v>45620.6075</v>
      </c>
    </row>
  </sheetData>
  <mergeCells count="2">
    <mergeCell ref="A1:Q1"/>
    <mergeCell ref="B2:Q2"/>
  </mergeCells>
  <conditionalFormatting sqref="F5:F14">
    <cfRule type="iconSet" priority="2">
      <iconSet iconSet="3TrafficLights1">
        <cfvo type="num" val="0"/>
        <cfvo type="num" val="0.9"/>
        <cfvo type="num" val="1"/>
      </iconSet>
    </cfRule>
  </conditionalFormatting>
  <conditionalFormatting sqref="E5:E14">
    <cfRule type="dataBar" priority="3">
      <dataBar showValue="1" minLength="10" maxLength="90">
        <cfvo type="num" val="0"/>
        <cfvo type="max" val="0"/>
        <color rgb="FF2A9D8F"/>
      </dataBar>
      <extLst>
        <ext xmlns:x14="http://schemas.microsoft.com/office/spreadsheetml/2009/9/main" uri="{B025F937-C7B1-47D3-B67F-A62EFF666E3E}">
          <x14:id>{9777495B-2AFB-44C5-AD23-D3A9D7FC2090}</x14:id>
        </ext>
      </extLst>
    </cfRule>
  </conditionalFormatting>
  <hyperlinks>
    <hyperlink ref="A2" location="'الفهرس'!A1" display="↩ الفهرس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77495B-2AFB-44C5-AD23-D3A9D7FC2090}">
            <x14:dataBar minLength="10" maxLength="90" axisPosition="none" gradient="true">
              <x14:cfvo type="num">
                <xm:f>0</xm:f>
              </x14:cfvo>
              <x14:cfvo type="max"/>
              <x14:negativeFillColor rgb="FF2A9D8F"/>
              <x14:axisColor rgb="FF000000"/>
            </x14:dataBar>
          </x14:cfRule>
          <xm:sqref>E5:E14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true"/>
  </sheetPr>
  <dimension ref="A1:K3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5" min="4" style="0" width="15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11" min="9" style="0" width="15"/>
  </cols>
  <sheetData>
    <row r="1" customFormat="false" ht="33.75" hidden="false" customHeight="true" outlineLevel="0" collapsed="false">
      <c r="A1" s="1" t="s">
        <v>468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3" t="s">
        <v>469</v>
      </c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false" outlineLevel="0" collapsed="false">
      <c r="A4" s="50" t="s">
        <v>436</v>
      </c>
      <c r="B4" s="54" t="n">
        <v>2220000</v>
      </c>
    </row>
    <row r="5" customFormat="false" ht="15" hidden="false" customHeight="false" outlineLevel="0" collapsed="false">
      <c r="A5" s="50" t="s">
        <v>470</v>
      </c>
      <c r="B5" s="55" t="n">
        <v>0.9</v>
      </c>
    </row>
    <row r="7" customFormat="false" ht="21.75" hidden="false" customHeight="true" outlineLevel="0" collapsed="false">
      <c r="A7" s="7" t="s">
        <v>471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36" hidden="false" customHeight="true" outlineLevel="0" collapsed="false">
      <c r="A8" s="9" t="s">
        <v>86</v>
      </c>
      <c r="B8" s="9" t="s">
        <v>87</v>
      </c>
      <c r="C8" s="9" t="s">
        <v>472</v>
      </c>
      <c r="D8" s="9" t="s">
        <v>473</v>
      </c>
      <c r="E8" s="9" t="s">
        <v>474</v>
      </c>
      <c r="F8" s="9" t="s">
        <v>475</v>
      </c>
      <c r="G8" s="9" t="s">
        <v>438</v>
      </c>
      <c r="H8" s="9" t="s">
        <v>476</v>
      </c>
      <c r="I8" s="9" t="s">
        <v>477</v>
      </c>
      <c r="J8" s="9" t="s">
        <v>478</v>
      </c>
      <c r="K8" s="9" t="s">
        <v>479</v>
      </c>
    </row>
    <row r="9" customFormat="false" ht="15" hidden="false" customHeight="false" outlineLevel="0" collapsed="false">
      <c r="A9" s="40" t="n">
        <f aca="false">'تحليل الزمن'!A5</f>
        <v>45931</v>
      </c>
      <c r="B9" s="43" t="str">
        <f aca="false">'تحليل الزمن'!B5</f>
        <v>أكتوبر 2025</v>
      </c>
      <c r="C9" s="56" t="n">
        <v>0.082</v>
      </c>
      <c r="D9" s="42" t="n">
        <f aca="false">$B$4*C9</f>
        <v>182040</v>
      </c>
      <c r="E9" s="42" t="n">
        <f aca="false">SUMIFS(d_Rev,d_Period,$A9)</f>
        <v>186629.5</v>
      </c>
      <c r="F9" s="58" t="n">
        <f aca="false">E9-D9</f>
        <v>4589.5</v>
      </c>
      <c r="G9" s="44" t="n">
        <f aca="false">IFERROR(E9/D9,0)</f>
        <v>1.02521149197978</v>
      </c>
      <c r="H9" s="43" t="str">
        <f aca="false">IF(G9&gt;=1,"تحقق",IF(G9&gt;=$B$5,"قريب","لم يتحقق"))</f>
        <v>تحقق</v>
      </c>
      <c r="I9" s="42" t="n">
        <f aca="false">SUM($D$9:D9)</f>
        <v>182040</v>
      </c>
      <c r="J9" s="42" t="n">
        <f aca="false">SUM($E$9:E9)</f>
        <v>186629.5</v>
      </c>
      <c r="K9" s="44" t="n">
        <f aca="false">IFERROR(J9/I9,0)</f>
        <v>1.02521149197978</v>
      </c>
    </row>
    <row r="10" customFormat="false" ht="15" hidden="false" customHeight="false" outlineLevel="0" collapsed="false">
      <c r="A10" s="40" t="n">
        <f aca="false">'تحليل الزمن'!A6</f>
        <v>45962</v>
      </c>
      <c r="B10" s="43" t="str">
        <f aca="false">'تحليل الزمن'!B6</f>
        <v>نوفمبر 2025</v>
      </c>
      <c r="C10" s="56" t="n">
        <v>0.118</v>
      </c>
      <c r="D10" s="42" t="n">
        <f aca="false">$B$4*C10</f>
        <v>261960</v>
      </c>
      <c r="E10" s="42" t="n">
        <f aca="false">SUMIFS(d_Rev,d_Period,$A10)</f>
        <v>211433</v>
      </c>
      <c r="F10" s="58" t="n">
        <f aca="false">E10-D10</f>
        <v>-50527</v>
      </c>
      <c r="G10" s="44" t="n">
        <f aca="false">IFERROR(E10/D10,0)</f>
        <v>0.807119407543136</v>
      </c>
      <c r="H10" s="43" t="str">
        <f aca="false">IF(G10&gt;=1,"تحقق",IF(G10&gt;=$B$5,"قريب","لم يتحقق"))</f>
        <v>لم يتحقق</v>
      </c>
      <c r="I10" s="42" t="n">
        <f aca="false">SUM($D$9:D10)</f>
        <v>444000</v>
      </c>
      <c r="J10" s="42" t="n">
        <f aca="false">SUM($E$9:E10)</f>
        <v>398062.5</v>
      </c>
      <c r="K10" s="44" t="n">
        <f aca="false">IFERROR(J10/I10,0)</f>
        <v>0.896537162162162</v>
      </c>
    </row>
    <row r="11" customFormat="false" ht="15" hidden="false" customHeight="false" outlineLevel="0" collapsed="false">
      <c r="A11" s="40" t="n">
        <f aca="false">'تحليل الزمن'!A7</f>
        <v>45992</v>
      </c>
      <c r="B11" s="43" t="str">
        <f aca="false">'تحليل الزمن'!B7</f>
        <v>ديسمبر 2025</v>
      </c>
      <c r="C11" s="56" t="n">
        <v>0.094</v>
      </c>
      <c r="D11" s="42" t="n">
        <f aca="false">$B$4*C11</f>
        <v>208680</v>
      </c>
      <c r="E11" s="42" t="n">
        <f aca="false">SUMIFS(d_Rev,d_Period,$A11)</f>
        <v>183489.5</v>
      </c>
      <c r="F11" s="58" t="n">
        <f aca="false">E11-D11</f>
        <v>-25190.5</v>
      </c>
      <c r="G11" s="44" t="n">
        <f aca="false">IFERROR(E11/D11,0)</f>
        <v>0.879286467318382</v>
      </c>
      <c r="H11" s="43" t="str">
        <f aca="false">IF(G11&gt;=1,"تحقق",IF(G11&gt;=$B$5,"قريب","لم يتحقق"))</f>
        <v>لم يتحقق</v>
      </c>
      <c r="I11" s="42" t="n">
        <f aca="false">SUM($D$9:D11)</f>
        <v>652680</v>
      </c>
      <c r="J11" s="42" t="n">
        <f aca="false">SUM($E$9:E11)</f>
        <v>581552</v>
      </c>
      <c r="K11" s="44" t="n">
        <f aca="false">IFERROR(J11/I11,0)</f>
        <v>0.891021633878777</v>
      </c>
    </row>
    <row r="12" customFormat="false" ht="15" hidden="false" customHeight="false" outlineLevel="0" collapsed="false">
      <c r="A12" s="40" t="n">
        <f aca="false">'تحليل الزمن'!A8</f>
        <v>46023</v>
      </c>
      <c r="B12" s="43" t="str">
        <f aca="false">'تحليل الزمن'!B8</f>
        <v>يناير 2026</v>
      </c>
      <c r="C12" s="56" t="n">
        <v>0.073</v>
      </c>
      <c r="D12" s="42" t="n">
        <f aca="false">$B$4*C12</f>
        <v>162060</v>
      </c>
      <c r="E12" s="42" t="n">
        <f aca="false">SUMIFS(d_Rev,d_Period,$A12)</f>
        <v>168383.5</v>
      </c>
      <c r="F12" s="58" t="n">
        <f aca="false">E12-D12</f>
        <v>6323.5</v>
      </c>
      <c r="G12" s="44" t="n">
        <f aca="false">IFERROR(E12/D12,0)</f>
        <v>1.03901949895101</v>
      </c>
      <c r="H12" s="43" t="str">
        <f aca="false">IF(G12&gt;=1,"تحقق",IF(G12&gt;=$B$5,"قريب","لم يتحقق"))</f>
        <v>تحقق</v>
      </c>
      <c r="I12" s="42" t="n">
        <f aca="false">SUM($D$9:D12)</f>
        <v>814740</v>
      </c>
      <c r="J12" s="42" t="n">
        <f aca="false">SUM($E$9:E12)</f>
        <v>749935.5</v>
      </c>
      <c r="K12" s="44" t="n">
        <f aca="false">IFERROR(J12/I12,0)</f>
        <v>0.920459901318212</v>
      </c>
    </row>
    <row r="13" customFormat="false" ht="15" hidden="false" customHeight="false" outlineLevel="0" collapsed="false">
      <c r="A13" s="40" t="n">
        <f aca="false">'تحليل الزمن'!A9</f>
        <v>46054</v>
      </c>
      <c r="B13" s="43" t="str">
        <f aca="false">'تحليل الزمن'!B9</f>
        <v>فبراير 2026</v>
      </c>
      <c r="C13" s="56" t="n">
        <v>0.09</v>
      </c>
      <c r="D13" s="42" t="n">
        <f aca="false">$B$4*C13</f>
        <v>199800</v>
      </c>
      <c r="E13" s="42" t="n">
        <f aca="false">SUMIFS(d_Rev,d_Period,$A13)</f>
        <v>221778.5</v>
      </c>
      <c r="F13" s="58" t="n">
        <f aca="false">E13-D13</f>
        <v>21978.5</v>
      </c>
      <c r="G13" s="44" t="n">
        <f aca="false">IFERROR(E13/D13,0)</f>
        <v>1.1100025025025</v>
      </c>
      <c r="H13" s="43" t="str">
        <f aca="false">IF(G13&gt;=1,"تحقق",IF(G13&gt;=$B$5,"قريب","لم يتحقق"))</f>
        <v>تحقق</v>
      </c>
      <c r="I13" s="42" t="n">
        <f aca="false">SUM($D$9:D13)</f>
        <v>1014540</v>
      </c>
      <c r="J13" s="42" t="n">
        <f aca="false">SUM($E$9:E13)</f>
        <v>971714</v>
      </c>
      <c r="K13" s="44" t="n">
        <f aca="false">IFERROR(J13/I13,0)</f>
        <v>0.957787765884046</v>
      </c>
    </row>
    <row r="14" customFormat="false" ht="15" hidden="false" customHeight="false" outlineLevel="0" collapsed="false">
      <c r="A14" s="40" t="n">
        <f aca="false">'تحليل الزمن'!A10</f>
        <v>46082</v>
      </c>
      <c r="B14" s="43" t="str">
        <f aca="false">'تحليل الزمن'!B10</f>
        <v>مارس 2026</v>
      </c>
      <c r="C14" s="56" t="n">
        <v>0.102</v>
      </c>
      <c r="D14" s="42" t="n">
        <f aca="false">$B$4*C14</f>
        <v>226440</v>
      </c>
      <c r="E14" s="42" t="n">
        <f aca="false">SUMIFS(d_Rev,d_Period,$A14)</f>
        <v>157027.5</v>
      </c>
      <c r="F14" s="58" t="n">
        <f aca="false">E14-D14</f>
        <v>-69412.5</v>
      </c>
      <c r="G14" s="44" t="n">
        <f aca="false">IFERROR(E14/D14,0)</f>
        <v>0.693461844197138</v>
      </c>
      <c r="H14" s="43" t="str">
        <f aca="false">IF(G14&gt;=1,"تحقق",IF(G14&gt;=$B$5,"قريب","لم يتحقق"))</f>
        <v>لم يتحقق</v>
      </c>
      <c r="I14" s="42" t="n">
        <f aca="false">SUM($D$9:D14)</f>
        <v>1240980</v>
      </c>
      <c r="J14" s="42" t="n">
        <f aca="false">SUM($E$9:E14)</f>
        <v>1128741.5</v>
      </c>
      <c r="K14" s="44" t="n">
        <f aca="false">IFERROR(J14/I14,0)</f>
        <v>0.909556560137956</v>
      </c>
    </row>
    <row r="15" customFormat="false" ht="15" hidden="false" customHeight="false" outlineLevel="0" collapsed="false">
      <c r="A15" s="40" t="n">
        <f aca="false">'تحليل الزمن'!A11</f>
        <v>46113</v>
      </c>
      <c r="B15" s="43" t="str">
        <f aca="false">'تحليل الزمن'!B11</f>
        <v>أبريل 2026</v>
      </c>
      <c r="C15" s="56" t="n">
        <v>0.078</v>
      </c>
      <c r="D15" s="42" t="n">
        <f aca="false">$B$4*C15</f>
        <v>173160</v>
      </c>
      <c r="E15" s="42" t="n">
        <f aca="false">SUMIFS(d_Rev,d_Period,$A15)</f>
        <v>166026.5</v>
      </c>
      <c r="F15" s="58" t="n">
        <f aca="false">E15-D15</f>
        <v>-7133.5</v>
      </c>
      <c r="G15" s="44" t="n">
        <f aca="false">IFERROR(E15/D15,0)</f>
        <v>0.958803996303996</v>
      </c>
      <c r="H15" s="43" t="str">
        <f aca="false">IF(G15&gt;=1,"تحقق",IF(G15&gt;=$B$5,"قريب","لم يتحقق"))</f>
        <v>قريب</v>
      </c>
      <c r="I15" s="42" t="n">
        <f aca="false">SUM($D$9:D15)</f>
        <v>1414140</v>
      </c>
      <c r="J15" s="42" t="n">
        <f aca="false">SUM($E$9:E15)</f>
        <v>1294768</v>
      </c>
      <c r="K15" s="44" t="n">
        <f aca="false">IFERROR(J15/I15,0)</f>
        <v>0.915586858444001</v>
      </c>
    </row>
    <row r="16" customFormat="false" ht="15" hidden="false" customHeight="false" outlineLevel="0" collapsed="false">
      <c r="A16" s="40" t="n">
        <f aca="false">'تحليل الزمن'!A12</f>
        <v>46143</v>
      </c>
      <c r="B16" s="43" t="str">
        <f aca="false">'تحليل الزمن'!B12</f>
        <v>مايو 2026</v>
      </c>
      <c r="C16" s="56" t="n">
        <v>0.073</v>
      </c>
      <c r="D16" s="42" t="n">
        <f aca="false">$B$4*C16</f>
        <v>162060</v>
      </c>
      <c r="E16" s="42" t="n">
        <f aca="false">SUMIFS(d_Rev,d_Period,$A16)</f>
        <v>204552.5</v>
      </c>
      <c r="F16" s="58" t="n">
        <f aca="false">E16-D16</f>
        <v>42492.5</v>
      </c>
      <c r="G16" s="44" t="n">
        <f aca="false">IFERROR(E16/D16,0)</f>
        <v>1.26220227076391</v>
      </c>
      <c r="H16" s="43" t="str">
        <f aca="false">IF(G16&gt;=1,"تحقق",IF(G16&gt;=$B$5,"قريب","لم يتحقق"))</f>
        <v>تحقق</v>
      </c>
      <c r="I16" s="42" t="n">
        <f aca="false">SUM($D$9:D16)</f>
        <v>1576200</v>
      </c>
      <c r="J16" s="42" t="n">
        <f aca="false">SUM($E$9:E16)</f>
        <v>1499320.5</v>
      </c>
      <c r="K16" s="44" t="n">
        <f aca="false">IFERROR(J16/I16,0)</f>
        <v>0.951224781119147</v>
      </c>
    </row>
    <row r="17" customFormat="false" ht="15" hidden="false" customHeight="false" outlineLevel="0" collapsed="false">
      <c r="A17" s="40" t="n">
        <f aca="false">'تحليل الزمن'!A13</f>
        <v>46174</v>
      </c>
      <c r="B17" s="43" t="str">
        <f aca="false">'تحليل الزمن'!B13</f>
        <v>يونيو 2026</v>
      </c>
      <c r="C17" s="56" t="n">
        <v>0.078</v>
      </c>
      <c r="D17" s="42" t="n">
        <f aca="false">$B$4*C17</f>
        <v>173160</v>
      </c>
      <c r="E17" s="42" t="n">
        <f aca="false">SUMIFS(d_Rev,d_Period,$A17)</f>
        <v>165984</v>
      </c>
      <c r="F17" s="58" t="n">
        <f aca="false">E17-D17</f>
        <v>-7176</v>
      </c>
      <c r="G17" s="44" t="n">
        <f aca="false">IFERROR(E17/D17,0)</f>
        <v>0.958558558558559</v>
      </c>
      <c r="H17" s="43" t="str">
        <f aca="false">IF(G17&gt;=1,"تحقق",IF(G17&gt;=$B$5,"قريب","لم يتحقق"))</f>
        <v>قريب</v>
      </c>
      <c r="I17" s="42" t="n">
        <f aca="false">SUM($D$9:D17)</f>
        <v>1749360</v>
      </c>
      <c r="J17" s="42" t="n">
        <f aca="false">SUM($E$9:E17)</f>
        <v>1665304.5</v>
      </c>
      <c r="K17" s="44" t="n">
        <f aca="false">IFERROR(J17/I17,0)</f>
        <v>0.951950713403759</v>
      </c>
    </row>
    <row r="18" customFormat="false" ht="15" hidden="false" customHeight="false" outlineLevel="0" collapsed="false">
      <c r="A18" s="40" t="n">
        <f aca="false">'تحليل الزمن'!A14</f>
        <v>46204</v>
      </c>
      <c r="B18" s="43" t="str">
        <f aca="false">'تحليل الزمن'!B14</f>
        <v>يوليو 2026</v>
      </c>
      <c r="C18" s="56" t="n">
        <v>0.065</v>
      </c>
      <c r="D18" s="42" t="n">
        <f aca="false">$B$4*C18</f>
        <v>144300</v>
      </c>
      <c r="E18" s="42" t="n">
        <f aca="false">SUMIFS(d_Rev,d_Period,$A18)</f>
        <v>137862.5</v>
      </c>
      <c r="F18" s="58" t="n">
        <f aca="false">E18-D18</f>
        <v>-6437.5</v>
      </c>
      <c r="G18" s="44" t="n">
        <f aca="false">IFERROR(E18/D18,0)</f>
        <v>0.95538808038808</v>
      </c>
      <c r="H18" s="43" t="str">
        <f aca="false">IF(G18&gt;=1,"تحقق",IF(G18&gt;=$B$5,"قريب","لم يتحقق"))</f>
        <v>قريب</v>
      </c>
      <c r="I18" s="42" t="n">
        <f aca="false">SUM($D$9:D18)</f>
        <v>1893660</v>
      </c>
      <c r="J18" s="42" t="n">
        <f aca="false">SUM($E$9:E18)</f>
        <v>1803167</v>
      </c>
      <c r="K18" s="44" t="n">
        <f aca="false">IFERROR(J18/I18,0)</f>
        <v>0.952212646409598</v>
      </c>
    </row>
    <row r="19" customFormat="false" ht="15" hidden="false" customHeight="false" outlineLevel="0" collapsed="false">
      <c r="A19" s="40" t="n">
        <f aca="false">'تحليل الزمن'!A15</f>
        <v>46235</v>
      </c>
      <c r="B19" s="43" t="str">
        <f aca="false">'تحليل الزمن'!B15</f>
        <v>أغسطس 2026</v>
      </c>
      <c r="C19" s="56" t="n">
        <v>0.069</v>
      </c>
      <c r="D19" s="42" t="n">
        <f aca="false">$B$4*C19</f>
        <v>153180</v>
      </c>
      <c r="E19" s="42" t="n">
        <f aca="false">SUMIFS(d_Rev,d_Period,$A19)</f>
        <v>153928.5</v>
      </c>
      <c r="F19" s="58" t="n">
        <f aca="false">E19-D19</f>
        <v>748.5</v>
      </c>
      <c r="G19" s="44" t="n">
        <f aca="false">IFERROR(E19/D19,0)</f>
        <v>1.00488640814728</v>
      </c>
      <c r="H19" s="43" t="str">
        <f aca="false">IF(G19&gt;=1,"تحقق",IF(G19&gt;=$B$5,"قريب","لم يتحقق"))</f>
        <v>تحقق</v>
      </c>
      <c r="I19" s="42" t="n">
        <f aca="false">SUM($D$9:D19)</f>
        <v>2046840</v>
      </c>
      <c r="J19" s="42" t="n">
        <f aca="false">SUM($E$9:E19)</f>
        <v>1957095.5</v>
      </c>
      <c r="K19" s="44" t="n">
        <f aca="false">IFERROR(J19/I19,0)</f>
        <v>0.956154609055911</v>
      </c>
    </row>
    <row r="20" customFormat="false" ht="15" hidden="false" customHeight="false" outlineLevel="0" collapsed="false">
      <c r="A20" s="40" t="n">
        <f aca="false">'تحليل الزمن'!A16</f>
        <v>46266</v>
      </c>
      <c r="B20" s="43" t="str">
        <f aca="false">'تحليل الزمن'!B16</f>
        <v>سبتمبر 2026</v>
      </c>
      <c r="C20" s="56" t="n">
        <v>0.078</v>
      </c>
      <c r="D20" s="42" t="n">
        <f aca="false">$B$4*C20</f>
        <v>173160</v>
      </c>
      <c r="E20" s="42" t="n">
        <f aca="false">SUMIFS(d_Rev,d_Period,$A20)</f>
        <v>179494</v>
      </c>
      <c r="F20" s="58" t="n">
        <f aca="false">E20-D20</f>
        <v>6334</v>
      </c>
      <c r="G20" s="44" t="n">
        <f aca="false">IFERROR(E20/D20,0)</f>
        <v>1.03657888657889</v>
      </c>
      <c r="H20" s="43" t="str">
        <f aca="false">IF(G20&gt;=1,"تحقق",IF(G20&gt;=$B$5,"قريب","لم يتحقق"))</f>
        <v>تحقق</v>
      </c>
      <c r="I20" s="42" t="n">
        <f aca="false">SUM($D$9:D20)</f>
        <v>2220000</v>
      </c>
      <c r="J20" s="42" t="n">
        <f aca="false">SUM($E$9:E20)</f>
        <v>2136589.5</v>
      </c>
      <c r="K20" s="44" t="n">
        <f aca="false">IFERROR(J20/I20,0)</f>
        <v>0.962427702702703</v>
      </c>
    </row>
    <row r="21" customFormat="false" ht="15" hidden="false" customHeight="false" outlineLevel="0" collapsed="false">
      <c r="A21" s="23" t="s">
        <v>122</v>
      </c>
      <c r="B21" s="23"/>
      <c r="C21" s="49" t="n">
        <f aca="false">SUM(C9:C20)</f>
        <v>1</v>
      </c>
      <c r="D21" s="48" t="n">
        <f aca="false">SUM(D9:D20)</f>
        <v>2220000</v>
      </c>
      <c r="E21" s="48" t="n">
        <f aca="false">SUM(E9:E20)</f>
        <v>2136589.5</v>
      </c>
      <c r="F21" s="59" t="n">
        <f aca="false">E21-D21</f>
        <v>-83410.5</v>
      </c>
      <c r="G21" s="49" t="n">
        <f aca="false">IFERROR(E21/D21,0)</f>
        <v>0.962427702702703</v>
      </c>
      <c r="H21" s="23"/>
      <c r="I21" s="23"/>
      <c r="J21" s="23"/>
      <c r="K21" s="23"/>
    </row>
    <row r="24" customFormat="false" ht="21.75" hidden="false" customHeight="true" outlineLevel="0" collapsed="false">
      <c r="A24" s="7" t="s">
        <v>480</v>
      </c>
      <c r="B24" s="8"/>
      <c r="C24" s="8"/>
      <c r="D24" s="8"/>
      <c r="E24" s="8"/>
      <c r="F24" s="8"/>
    </row>
    <row r="25" customFormat="false" ht="30" hidden="false" customHeight="true" outlineLevel="0" collapsed="false">
      <c r="A25" s="9" t="s">
        <v>75</v>
      </c>
      <c r="B25" s="9" t="s">
        <v>473</v>
      </c>
      <c r="C25" s="9" t="s">
        <v>474</v>
      </c>
      <c r="D25" s="9" t="s">
        <v>475</v>
      </c>
      <c r="E25" s="9" t="s">
        <v>438</v>
      </c>
      <c r="F25" s="9" t="s">
        <v>476</v>
      </c>
    </row>
    <row r="26" customFormat="false" ht="15" hidden="false" customHeight="false" outlineLevel="0" collapsed="false">
      <c r="A26" s="43" t="s">
        <v>99</v>
      </c>
      <c r="B26" s="54" t="n">
        <v>670000</v>
      </c>
      <c r="C26" s="42" t="n">
        <f aca="false">SUMIFS(d_Rev,d_Region,$A26)</f>
        <v>692926.5</v>
      </c>
      <c r="D26" s="58" t="n">
        <f aca="false">C26-B26</f>
        <v>22926.5</v>
      </c>
      <c r="E26" s="44" t="n">
        <f aca="false">IFERROR(C26/B26,0)</f>
        <v>1.03421865671642</v>
      </c>
      <c r="F26" s="43" t="str">
        <f aca="false">IF(E26&gt;=1,"تحقق",IF(E26&gt;=$B$5,"قريب","لم يتحقق"))</f>
        <v>تحقق</v>
      </c>
    </row>
    <row r="27" customFormat="false" ht="15" hidden="false" customHeight="false" outlineLevel="0" collapsed="false">
      <c r="A27" s="43" t="s">
        <v>100</v>
      </c>
      <c r="B27" s="54" t="n">
        <v>560000</v>
      </c>
      <c r="C27" s="42" t="n">
        <f aca="false">SUMIFS(d_Rev,d_Region,$A27)</f>
        <v>565303</v>
      </c>
      <c r="D27" s="58" t="n">
        <f aca="false">C27-B27</f>
        <v>5303</v>
      </c>
      <c r="E27" s="44" t="n">
        <f aca="false">IFERROR(C27/B27,0)</f>
        <v>1.00946964285714</v>
      </c>
      <c r="F27" s="43" t="str">
        <f aca="false">IF(E27&gt;=1,"تحقق",IF(E27&gt;=$B$5,"قريب","لم يتحقق"))</f>
        <v>تحقق</v>
      </c>
    </row>
    <row r="28" customFormat="false" ht="15" hidden="false" customHeight="false" outlineLevel="0" collapsed="false">
      <c r="A28" s="43" t="s">
        <v>101</v>
      </c>
      <c r="B28" s="54" t="n">
        <v>530000</v>
      </c>
      <c r="C28" s="42" t="n">
        <f aca="false">SUMIFS(d_Rev,d_Region,$A28)</f>
        <v>499447</v>
      </c>
      <c r="D28" s="58" t="n">
        <f aca="false">C28-B28</f>
        <v>-30553</v>
      </c>
      <c r="E28" s="44" t="n">
        <f aca="false">IFERROR(C28/B28,0)</f>
        <v>0.942352830188679</v>
      </c>
      <c r="F28" s="43" t="str">
        <f aca="false">IF(E28&gt;=1,"تحقق",IF(E28&gt;=$B$5,"قريب","لم يتحقق"))</f>
        <v>قريب</v>
      </c>
    </row>
    <row r="29" customFormat="false" ht="15" hidden="false" customHeight="false" outlineLevel="0" collapsed="false">
      <c r="A29" s="43" t="s">
        <v>102</v>
      </c>
      <c r="B29" s="54" t="n">
        <v>360000</v>
      </c>
      <c r="C29" s="42" t="n">
        <f aca="false">SUMIFS(d_Rev,d_Region,$A29)</f>
        <v>378913</v>
      </c>
      <c r="D29" s="58" t="n">
        <f aca="false">C29-B29</f>
        <v>18913</v>
      </c>
      <c r="E29" s="44" t="n">
        <f aca="false">IFERROR(C29/B29,0)</f>
        <v>1.05253611111111</v>
      </c>
      <c r="F29" s="43" t="str">
        <f aca="false">IF(E29&gt;=1,"تحقق",IF(E29&gt;=$B$5,"قريب","لم يتحقق"))</f>
        <v>تحقق</v>
      </c>
    </row>
    <row r="30" customFormat="false" ht="15" hidden="false" customHeight="false" outlineLevel="0" collapsed="false">
      <c r="A30" s="23" t="s">
        <v>122</v>
      </c>
      <c r="B30" s="48" t="n">
        <f aca="false">SUM(B26:B29)</f>
        <v>2120000</v>
      </c>
      <c r="C30" s="48" t="n">
        <f aca="false">SUM(C26:C29)</f>
        <v>2136589.5</v>
      </c>
      <c r="D30" s="59" t="n">
        <f aca="false">C30-B30</f>
        <v>16589.5</v>
      </c>
      <c r="E30" s="49" t="n">
        <f aca="false">IFERROR(C30/B30,0)</f>
        <v>1.00782523584906</v>
      </c>
      <c r="F30" s="23"/>
    </row>
  </sheetData>
  <mergeCells count="2">
    <mergeCell ref="A1:K1"/>
    <mergeCell ref="B2:K2"/>
  </mergeCells>
  <conditionalFormatting sqref="G9:G20">
    <cfRule type="iconSet" priority="2">
      <iconSet iconSet="3TrafficLights1">
        <cfvo type="num" val="0"/>
        <cfvo type="num" val="0.9"/>
        <cfvo type="num" val="1"/>
      </iconSet>
    </cfRule>
  </conditionalFormatting>
  <conditionalFormatting sqref="H9:H20">
    <cfRule type="cellIs" priority="3" operator="equal" aboveAverage="0" equalAverage="0" bottom="0" percent="0" rank="0" text="" dxfId="4">
      <formula>"تحقق"</formula>
    </cfRule>
    <cfRule type="cellIs" priority="4" operator="equal" aboveAverage="0" equalAverage="0" bottom="0" percent="0" rank="0" text="" dxfId="5">
      <formula>"قريب"</formula>
    </cfRule>
    <cfRule type="cellIs" priority="5" operator="equal" aboveAverage="0" equalAverage="0" bottom="0" percent="0" rank="0" text="" dxfId="7">
      <formula>"لم يتحقق"</formula>
    </cfRule>
  </conditionalFormatting>
  <conditionalFormatting sqref="E26:E29">
    <cfRule type="iconSet" priority="6">
      <iconSet iconSet="3TrafficLights1">
        <cfvo type="num" val="0"/>
        <cfvo type="num" val="0.9"/>
        <cfvo type="num" val="1"/>
      </iconSet>
    </cfRule>
  </conditionalFormatting>
  <conditionalFormatting sqref="F26:F29">
    <cfRule type="cellIs" priority="7" operator="equal" aboveAverage="0" equalAverage="0" bottom="0" percent="0" rank="0" text="" dxfId="4">
      <formula>"تحقق"</formula>
    </cfRule>
    <cfRule type="cellIs" priority="8" operator="equal" aboveAverage="0" equalAverage="0" bottom="0" percent="0" rank="0" text="" dxfId="5">
      <formula>"قريب"</formula>
    </cfRule>
    <cfRule type="cellIs" priority="9" operator="equal" aboveAverage="0" equalAverage="0" bottom="0" percent="0" rank="0" text="" dxfId="7">
      <formula>"لم يتحقق"</formula>
    </cfRule>
  </conditionalFormatting>
  <hyperlinks>
    <hyperlink ref="A2" location="'الفهرس'!A1" display="↩ الفهرس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O6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6" min="3" style="0" width="15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18"/>
    <col collapsed="false" customWidth="true" hidden="false" outlineLevel="0" max="13" min="12" style="0" width="12"/>
    <col collapsed="false" customWidth="true" hidden="false" outlineLevel="0" max="15" min="14" style="0" width="11"/>
  </cols>
  <sheetData>
    <row r="1" customFormat="false" ht="33.75" hidden="false" customHeight="true" outlineLevel="0" collapsed="false">
      <c r="A1" s="1" t="s">
        <v>481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A2" s="2" t="s">
        <v>1</v>
      </c>
      <c r="B2" s="3" t="s">
        <v>482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21.75" hidden="false" customHeight="true" outlineLevel="0" collapsed="false">
      <c r="A3" s="7" t="s">
        <v>483</v>
      </c>
      <c r="B3" s="8"/>
      <c r="C3" s="8"/>
      <c r="D3" s="8"/>
      <c r="E3" s="8"/>
      <c r="K3" s="7" t="s">
        <v>484</v>
      </c>
      <c r="L3" s="8"/>
      <c r="M3" s="8"/>
      <c r="N3" s="8"/>
      <c r="O3" s="8"/>
    </row>
    <row r="4" customFormat="false" ht="15" hidden="false" customHeight="false" outlineLevel="0" collapsed="false">
      <c r="A4" s="50" t="s">
        <v>485</v>
      </c>
      <c r="B4" s="60" t="n">
        <v>0.05</v>
      </c>
      <c r="K4" s="50" t="s">
        <v>486</v>
      </c>
      <c r="L4" s="54" t="n">
        <v>500</v>
      </c>
    </row>
    <row r="5" customFormat="false" ht="25.5" hidden="false" customHeight="true" outlineLevel="0" collapsed="false">
      <c r="A5" s="9" t="s">
        <v>200</v>
      </c>
      <c r="B5" s="9" t="s">
        <v>487</v>
      </c>
      <c r="C5" s="9" t="s">
        <v>488</v>
      </c>
      <c r="D5" s="9"/>
      <c r="E5" s="9"/>
      <c r="K5" s="9" t="s">
        <v>77</v>
      </c>
      <c r="L5" s="9" t="s">
        <v>489</v>
      </c>
      <c r="M5" s="9" t="s">
        <v>490</v>
      </c>
      <c r="N5" s="9" t="s">
        <v>491</v>
      </c>
      <c r="O5" s="9" t="s">
        <v>492</v>
      </c>
    </row>
    <row r="6" customFormat="false" ht="15" hidden="false" customHeight="false" outlineLevel="0" collapsed="false">
      <c r="A6" s="61" t="s">
        <v>493</v>
      </c>
      <c r="B6" s="42" t="n">
        <f aca="false">COUNT(d_RevPos)</f>
        <v>1434</v>
      </c>
      <c r="C6" s="62" t="s">
        <v>494</v>
      </c>
      <c r="D6" s="62"/>
      <c r="E6" s="62"/>
      <c r="K6" s="43" t="str">
        <f aca="false">TEXT(L6,"#,##0")&amp;" - "&amp;TEXT(M6,"#,##0")</f>
        <v>0 - 500</v>
      </c>
      <c r="L6" s="42" t="n">
        <v>0</v>
      </c>
      <c r="M6" s="42" t="n">
        <f aca="false">L6+$L$4</f>
        <v>500</v>
      </c>
      <c r="N6" s="42" t="n">
        <f aca="false">COUNTIFS(d_RevPos,"&gt;="&amp;L6,d_RevPos,"&lt;"&amp;M6)</f>
        <v>508</v>
      </c>
      <c r="O6" s="44" t="n">
        <f aca="false">IFERROR(N6/SUM($N$6:$N$16),0)</f>
        <v>0.354253835425384</v>
      </c>
    </row>
    <row r="7" customFormat="false" ht="15" hidden="false" customHeight="false" outlineLevel="0" collapsed="false">
      <c r="A7" s="61" t="s">
        <v>495</v>
      </c>
      <c r="B7" s="42" t="n">
        <f aca="false">AVERAGE(d_RevPos)</f>
        <v>1489.95083682008</v>
      </c>
      <c r="C7" s="62" t="s">
        <v>496</v>
      </c>
      <c r="D7" s="62"/>
      <c r="E7" s="62"/>
      <c r="K7" s="43" t="str">
        <f aca="false">TEXT(L7,"#,##0")&amp;" - "&amp;TEXT(M7,"#,##0")</f>
        <v>500 - 1,000</v>
      </c>
      <c r="L7" s="42" t="n">
        <f aca="false">M6</f>
        <v>500</v>
      </c>
      <c r="M7" s="42" t="n">
        <f aca="false">L7+$L$4</f>
        <v>1000</v>
      </c>
      <c r="N7" s="42" t="n">
        <f aca="false">COUNTIFS(d_RevPos,"&gt;="&amp;L7,d_RevPos,"&lt;"&amp;M7)</f>
        <v>321</v>
      </c>
      <c r="O7" s="44" t="n">
        <f aca="false">IFERROR(N7/SUM($N$6:$N$16),0)</f>
        <v>0.223849372384937</v>
      </c>
    </row>
    <row r="8" customFormat="false" ht="15" hidden="false" customHeight="false" outlineLevel="0" collapsed="false">
      <c r="A8" s="61" t="s">
        <v>202</v>
      </c>
      <c r="B8" s="42" t="n">
        <f aca="false">MEDIAN(d_RevPos)</f>
        <v>748.5</v>
      </c>
      <c r="C8" s="62" t="s">
        <v>497</v>
      </c>
      <c r="D8" s="62"/>
      <c r="E8" s="62"/>
      <c r="K8" s="43" t="str">
        <f aca="false">TEXT(L8,"#,##0")&amp;" - "&amp;TEXT(M8,"#,##0")</f>
        <v>1,000 - 1,500</v>
      </c>
      <c r="L8" s="42" t="n">
        <f aca="false">M7</f>
        <v>1000</v>
      </c>
      <c r="M8" s="42" t="n">
        <f aca="false">L8+$L$4</f>
        <v>1500</v>
      </c>
      <c r="N8" s="42" t="n">
        <f aca="false">COUNTIFS(d_RevPos,"&gt;="&amp;L8,d_RevPos,"&lt;"&amp;M8)</f>
        <v>177</v>
      </c>
      <c r="O8" s="44" t="n">
        <f aca="false">IFERROR(N8/SUM($N$6:$N$16),0)</f>
        <v>0.123430962343096</v>
      </c>
    </row>
    <row r="9" customFormat="false" ht="15" hidden="false" customHeight="false" outlineLevel="0" collapsed="false">
      <c r="A9" s="61" t="s">
        <v>498</v>
      </c>
      <c r="B9" s="42" t="n">
        <f aca="false">STDEV(d_RevPos)</f>
        <v>2436.53876930133</v>
      </c>
      <c r="C9" s="62" t="s">
        <v>499</v>
      </c>
      <c r="D9" s="62"/>
      <c r="E9" s="62"/>
      <c r="K9" s="43" t="str">
        <f aca="false">TEXT(L9,"#,##0")&amp;" - "&amp;TEXT(M9,"#,##0")</f>
        <v>1,500 - 2,000</v>
      </c>
      <c r="L9" s="42" t="n">
        <f aca="false">M8</f>
        <v>1500</v>
      </c>
      <c r="M9" s="42" t="n">
        <f aca="false">L9+$L$4</f>
        <v>2000</v>
      </c>
      <c r="N9" s="42" t="n">
        <f aca="false">COUNTIFS(d_RevPos,"&gt;="&amp;L9,d_RevPos,"&lt;"&amp;M9)</f>
        <v>140</v>
      </c>
      <c r="O9" s="44" t="n">
        <f aca="false">IFERROR(N9/SUM($N$6:$N$16),0)</f>
        <v>0.097629009762901</v>
      </c>
    </row>
    <row r="10" customFormat="false" ht="15" hidden="false" customHeight="false" outlineLevel="0" collapsed="false">
      <c r="A10" s="61" t="s">
        <v>500</v>
      </c>
      <c r="B10" s="42" t="n">
        <f aca="false">VAR(d_RevPos)</f>
        <v>5936721.17430845</v>
      </c>
      <c r="C10" s="62" t="s">
        <v>501</v>
      </c>
      <c r="D10" s="62"/>
      <c r="E10" s="62"/>
      <c r="K10" s="43" t="str">
        <f aca="false">TEXT(L10,"#,##0")&amp;" - "&amp;TEXT(M10,"#,##0")</f>
        <v>2,000 - 2,500</v>
      </c>
      <c r="L10" s="42" t="n">
        <f aca="false">M9</f>
        <v>2000</v>
      </c>
      <c r="M10" s="42" t="n">
        <f aca="false">L10+$L$4</f>
        <v>2500</v>
      </c>
      <c r="N10" s="42" t="n">
        <f aca="false">COUNTIFS(d_RevPos,"&gt;="&amp;L10,d_RevPos,"&lt;"&amp;M10)</f>
        <v>92</v>
      </c>
      <c r="O10" s="44" t="n">
        <f aca="false">IFERROR(N10/SUM($N$6:$N$16),0)</f>
        <v>0.0641562064156206</v>
      </c>
    </row>
    <row r="11" customFormat="false" ht="15" hidden="false" customHeight="false" outlineLevel="0" collapsed="false">
      <c r="A11" s="61" t="s">
        <v>502</v>
      </c>
      <c r="B11" s="44" t="n">
        <f aca="false">IFERROR(B9/B7,0)</f>
        <v>1.6353148768999</v>
      </c>
      <c r="C11" s="62" t="s">
        <v>503</v>
      </c>
      <c r="D11" s="62"/>
      <c r="E11" s="62"/>
      <c r="K11" s="43" t="str">
        <f aca="false">TEXT(L11,"#,##0")&amp;" - "&amp;TEXT(M11,"#,##0")</f>
        <v>2,500 - 3,000</v>
      </c>
      <c r="L11" s="42" t="n">
        <f aca="false">M10</f>
        <v>2500</v>
      </c>
      <c r="M11" s="42" t="n">
        <f aca="false">L11+$L$4</f>
        <v>3000</v>
      </c>
      <c r="N11" s="42" t="n">
        <f aca="false">COUNTIFS(d_RevPos,"&gt;="&amp;L11,d_RevPos,"&lt;"&amp;M11)</f>
        <v>29</v>
      </c>
      <c r="O11" s="44" t="n">
        <f aca="false">IFERROR(N11/SUM($N$6:$N$16),0)</f>
        <v>0.0202231520223152</v>
      </c>
    </row>
    <row r="12" customFormat="false" ht="15" hidden="false" customHeight="false" outlineLevel="0" collapsed="false">
      <c r="A12" s="61" t="s">
        <v>504</v>
      </c>
      <c r="B12" s="42" t="n">
        <f aca="false">MIN(d_RevPos)</f>
        <v>72</v>
      </c>
      <c r="C12" s="62" t="s">
        <v>505</v>
      </c>
      <c r="D12" s="62"/>
      <c r="E12" s="62"/>
      <c r="K12" s="43" t="str">
        <f aca="false">TEXT(L12,"#,##0")&amp;" - "&amp;TEXT(M12,"#,##0")</f>
        <v>3,000 - 3,500</v>
      </c>
      <c r="L12" s="42" t="n">
        <f aca="false">M11</f>
        <v>3000</v>
      </c>
      <c r="M12" s="42" t="n">
        <f aca="false">L12+$L$4</f>
        <v>3500</v>
      </c>
      <c r="N12" s="42" t="n">
        <f aca="false">COUNTIFS(d_RevPos,"&gt;="&amp;L12,d_RevPos,"&lt;"&amp;M12)</f>
        <v>47</v>
      </c>
      <c r="O12" s="44" t="n">
        <f aca="false">IFERROR(N12/SUM($N$6:$N$16),0)</f>
        <v>0.0327754532775453</v>
      </c>
    </row>
    <row r="13" customFormat="false" ht="15" hidden="false" customHeight="false" outlineLevel="0" collapsed="false">
      <c r="A13" s="61" t="s">
        <v>506</v>
      </c>
      <c r="B13" s="42" t="n">
        <f aca="false">MAX(d_RevPos)</f>
        <v>30000</v>
      </c>
      <c r="C13" s="62" t="s">
        <v>507</v>
      </c>
      <c r="D13" s="62"/>
      <c r="E13" s="62"/>
      <c r="K13" s="43" t="str">
        <f aca="false">TEXT(L13,"#,##0")&amp;" - "&amp;TEXT(M13,"#,##0")</f>
        <v>3,500 - 4,000</v>
      </c>
      <c r="L13" s="42" t="n">
        <f aca="false">M12</f>
        <v>3500</v>
      </c>
      <c r="M13" s="42" t="n">
        <f aca="false">L13+$L$4</f>
        <v>4000</v>
      </c>
      <c r="N13" s="42" t="n">
        <f aca="false">COUNTIFS(d_RevPos,"&gt;="&amp;L13,d_RevPos,"&lt;"&amp;M13)</f>
        <v>31</v>
      </c>
      <c r="O13" s="44" t="n">
        <f aca="false">IFERROR(N13/SUM($N$6:$N$16),0)</f>
        <v>0.0216178521617852</v>
      </c>
    </row>
    <row r="14" customFormat="false" ht="15" hidden="false" customHeight="false" outlineLevel="0" collapsed="false">
      <c r="A14" s="61" t="s">
        <v>508</v>
      </c>
      <c r="B14" s="42" t="n">
        <f aca="false">B13-B12</f>
        <v>29928</v>
      </c>
      <c r="C14" s="62" t="s">
        <v>509</v>
      </c>
      <c r="D14" s="62"/>
      <c r="E14" s="62"/>
      <c r="K14" s="43" t="str">
        <f aca="false">TEXT(L14,"#,##0")&amp;" - "&amp;TEXT(M14,"#,##0")</f>
        <v>4,000 - 4,500</v>
      </c>
      <c r="L14" s="42" t="n">
        <f aca="false">M13</f>
        <v>4000</v>
      </c>
      <c r="M14" s="42" t="n">
        <f aca="false">L14+$L$4</f>
        <v>4500</v>
      </c>
      <c r="N14" s="42" t="n">
        <f aca="false">COUNTIFS(d_RevPos,"&gt;="&amp;L14,d_RevPos,"&lt;"&amp;M14)</f>
        <v>14</v>
      </c>
      <c r="O14" s="44" t="n">
        <f aca="false">IFERROR(N14/SUM($N$6:$N$16),0)</f>
        <v>0.0097629009762901</v>
      </c>
    </row>
    <row r="15" customFormat="false" ht="15" hidden="false" customHeight="false" outlineLevel="0" collapsed="false">
      <c r="A15" s="61" t="s">
        <v>510</v>
      </c>
      <c r="B15" s="42" t="n">
        <f aca="false">QUARTILE(d_RevPos,1)</f>
        <v>365.75</v>
      </c>
      <c r="C15" s="62" t="s">
        <v>511</v>
      </c>
      <c r="D15" s="62"/>
      <c r="E15" s="62"/>
      <c r="K15" s="43" t="str">
        <f aca="false">TEXT(L15,"#,##0")&amp;" - "&amp;TEXT(M15,"#,##0")</f>
        <v>4,500 - 5,000</v>
      </c>
      <c r="L15" s="42" t="n">
        <f aca="false">M14</f>
        <v>4500</v>
      </c>
      <c r="M15" s="42" t="n">
        <f aca="false">L15+$L$4</f>
        <v>5000</v>
      </c>
      <c r="N15" s="42" t="n">
        <f aca="false">COUNTIFS(d_RevPos,"&gt;="&amp;L15,d_RevPos,"&lt;"&amp;M15)</f>
        <v>14</v>
      </c>
      <c r="O15" s="44" t="n">
        <f aca="false">IFERROR(N15/SUM($N$6:$N$16),0)</f>
        <v>0.0097629009762901</v>
      </c>
    </row>
    <row r="16" customFormat="false" ht="15" hidden="false" customHeight="false" outlineLevel="0" collapsed="false">
      <c r="A16" s="61" t="s">
        <v>512</v>
      </c>
      <c r="B16" s="42" t="n">
        <f aca="false">QUARTILE(d_RevPos,3)</f>
        <v>1729</v>
      </c>
      <c r="C16" s="62" t="s">
        <v>513</v>
      </c>
      <c r="D16" s="62"/>
      <c r="E16" s="62"/>
      <c r="K16" s="43" t="str">
        <f aca="false">TEXT(L16,"#,##0")&amp;"+"</f>
        <v>5,000+</v>
      </c>
      <c r="L16" s="42" t="n">
        <f aca="false">M15</f>
        <v>5000</v>
      </c>
      <c r="M16" s="42"/>
      <c r="N16" s="42" t="n">
        <f aca="false">COUNTIF(d_RevPos,"&gt;="&amp;L16)</f>
        <v>61</v>
      </c>
      <c r="O16" s="44" t="n">
        <f aca="false">IFERROR(N16/SUM($N$6:$N$16),0)</f>
        <v>0.0425383542538354</v>
      </c>
    </row>
    <row r="17" customFormat="false" ht="15" hidden="false" customHeight="false" outlineLevel="0" collapsed="false">
      <c r="A17" s="61" t="s">
        <v>514</v>
      </c>
      <c r="B17" s="42" t="n">
        <f aca="false">B16-B15</f>
        <v>1363.25</v>
      </c>
      <c r="C17" s="62" t="s">
        <v>515</v>
      </c>
      <c r="D17" s="62"/>
      <c r="E17" s="62"/>
    </row>
    <row r="18" customFormat="false" ht="15" hidden="false" customHeight="false" outlineLevel="0" collapsed="false">
      <c r="A18" s="61" t="s">
        <v>516</v>
      </c>
      <c r="B18" s="46" t="n">
        <f aca="false">SKEW(d_RevPos)</f>
        <v>5.69884007439361</v>
      </c>
      <c r="C18" s="62" t="s">
        <v>517</v>
      </c>
      <c r="D18" s="62"/>
      <c r="E18" s="62"/>
    </row>
    <row r="19" customFormat="false" ht="15" hidden="false" customHeight="false" outlineLevel="0" collapsed="false">
      <c r="A19" s="61" t="s">
        <v>518</v>
      </c>
      <c r="B19" s="46" t="n">
        <f aca="false">KURT(d_RevPos)</f>
        <v>44.7135926722462</v>
      </c>
      <c r="C19" s="62" t="s">
        <v>519</v>
      </c>
      <c r="D19" s="62"/>
      <c r="E19" s="62"/>
    </row>
    <row r="20" customFormat="false" ht="15" hidden="false" customHeight="false" outlineLevel="0" collapsed="false">
      <c r="A20" s="61" t="s">
        <v>520</v>
      </c>
      <c r="B20" s="42" t="n">
        <f aca="false">CONFIDENCE($B$4,B9,B6)</f>
        <v>126.109220558201</v>
      </c>
      <c r="C20" s="62" t="s">
        <v>521</v>
      </c>
      <c r="D20" s="62"/>
      <c r="E20" s="62"/>
    </row>
    <row r="21" customFormat="false" ht="15" hidden="false" customHeight="false" outlineLevel="0" collapsed="false">
      <c r="A21" s="61" t="s">
        <v>522</v>
      </c>
      <c r="B21" s="42" t="n">
        <f aca="false">B7-B20</f>
        <v>1363.84161626188</v>
      </c>
      <c r="C21" s="62" t="s">
        <v>523</v>
      </c>
      <c r="D21" s="62"/>
      <c r="E21" s="62"/>
    </row>
    <row r="22" customFormat="false" ht="15" hidden="false" customHeight="false" outlineLevel="0" collapsed="false">
      <c r="A22" s="61" t="s">
        <v>524</v>
      </c>
      <c r="B22" s="42" t="n">
        <f aca="false">B7+B20</f>
        <v>1616.06005737828</v>
      </c>
      <c r="C22" s="62" t="s">
        <v>525</v>
      </c>
      <c r="D22" s="62"/>
      <c r="E22" s="62"/>
    </row>
    <row r="23" customFormat="false" ht="15" hidden="false" customHeight="false" outlineLevel="0" collapsed="false">
      <c r="A23" s="61" t="s">
        <v>526</v>
      </c>
      <c r="B23" s="42" t="n">
        <f aca="false">B16+1.5*B17</f>
        <v>3773.875</v>
      </c>
      <c r="C23" s="62" t="s">
        <v>527</v>
      </c>
      <c r="D23" s="62"/>
      <c r="E23" s="62"/>
    </row>
    <row r="24" customFormat="false" ht="15" hidden="false" customHeight="false" outlineLevel="0" collapsed="false">
      <c r="A24" s="61" t="s">
        <v>528</v>
      </c>
      <c r="B24" s="42" t="n">
        <f aca="false">COUNTIF(d_RevPos,"&gt;"&amp;B23)</f>
        <v>105</v>
      </c>
      <c r="C24" s="62" t="s">
        <v>529</v>
      </c>
      <c r="D24" s="62"/>
      <c r="E24" s="62"/>
    </row>
    <row r="25" customFormat="false" ht="15" hidden="false" customHeight="false" outlineLevel="0" collapsed="false">
      <c r="A25" s="61" t="s">
        <v>530</v>
      </c>
      <c r="B25" s="44" t="n">
        <f aca="false">IFERROR(B24/B6,0)</f>
        <v>0.0732217573221757</v>
      </c>
      <c r="C25" s="62" t="s">
        <v>531</v>
      </c>
      <c r="D25" s="62"/>
      <c r="E25" s="62"/>
    </row>
    <row r="28" customFormat="false" ht="21.75" hidden="false" customHeight="true" outlineLevel="0" collapsed="false">
      <c r="A28" s="7" t="s">
        <v>532</v>
      </c>
      <c r="B28" s="8"/>
      <c r="C28" s="8"/>
      <c r="D28" s="8"/>
      <c r="E28" s="8"/>
    </row>
    <row r="29" customFormat="false" ht="25.5" hidden="false" customHeight="true" outlineLevel="0" collapsed="false">
      <c r="A29" s="9" t="s">
        <v>533</v>
      </c>
      <c r="B29" s="9" t="s">
        <v>487</v>
      </c>
      <c r="C29" s="9" t="s">
        <v>534</v>
      </c>
      <c r="D29" s="9"/>
      <c r="E29" s="9"/>
    </row>
    <row r="30" customFormat="false" ht="15" hidden="false" customHeight="false" outlineLevel="0" collapsed="false">
      <c r="A30" s="61" t="s">
        <v>535</v>
      </c>
      <c r="B30" s="63" t="n">
        <f aca="false">CORREL(d_Disc,d_Margin)</f>
        <v>-0.414778802231225</v>
      </c>
      <c r="C30" s="62" t="str">
        <f aca="false">IF(ABS(B30)&gt;=0.7,"قوي",IF(ABS(B30)&gt;=0.4,"متوسط",IF(ABS(B30)&gt;=0.2,"ضعيف","شبه معدوم")))&amp;IF(B30&lt;0," (عكسي)"," (طردي)")</f>
        <v>متوسط (عكسي)</v>
      </c>
      <c r="D30" s="62"/>
      <c r="E30" s="62"/>
    </row>
    <row r="31" customFormat="false" ht="15" hidden="false" customHeight="false" outlineLevel="0" collapsed="false">
      <c r="A31" s="61" t="s">
        <v>536</v>
      </c>
      <c r="B31" s="63" t="n">
        <f aca="false">SLOPE(d_Margin,d_Disc)</f>
        <v>-0.726208125041611</v>
      </c>
      <c r="C31" s="62" t="s">
        <v>537</v>
      </c>
      <c r="D31" s="62"/>
      <c r="E31" s="62"/>
    </row>
    <row r="32" customFormat="false" ht="15" hidden="false" customHeight="false" outlineLevel="0" collapsed="false">
      <c r="A32" s="61" t="s">
        <v>538</v>
      </c>
      <c r="B32" s="63" t="n">
        <f aca="false">INTERCEPT(d_Margin,d_Disc)</f>
        <v>0.435880254433964</v>
      </c>
      <c r="C32" s="62" t="s">
        <v>539</v>
      </c>
      <c r="D32" s="62"/>
      <c r="E32" s="62"/>
    </row>
    <row r="33" customFormat="false" ht="15" hidden="false" customHeight="false" outlineLevel="0" collapsed="false">
      <c r="A33" s="61" t="s">
        <v>540</v>
      </c>
      <c r="B33" s="63" t="n">
        <f aca="false">RSQ(d_Margin,d_Disc)</f>
        <v>0.17204145478037</v>
      </c>
      <c r="C33" s="62" t="s">
        <v>541</v>
      </c>
      <c r="D33" s="62"/>
      <c r="E33" s="62"/>
    </row>
    <row r="34" customFormat="false" ht="15" hidden="false" customHeight="false" outlineLevel="0" collapsed="false">
      <c r="A34" s="61" t="s">
        <v>542</v>
      </c>
      <c r="B34" s="63" t="n">
        <f aca="false">CORREL(d_Qty,d_RevPos)</f>
        <v>0.596599603660883</v>
      </c>
      <c r="C34" s="62" t="str">
        <f aca="false">IF(ABS(B34)&gt;=0.7,"قوي",IF(ABS(B34)&gt;=0.4,"متوسط",IF(ABS(B34)&gt;=0.2,"ضعيف","شبه معدوم")))&amp;IF(B34&lt;0," (عكسي)"," (طردي)")</f>
        <v>متوسط (طردي)</v>
      </c>
      <c r="D34" s="62"/>
      <c r="E34" s="62"/>
    </row>
    <row r="35" customFormat="false" ht="15" hidden="false" customHeight="false" outlineLevel="0" collapsed="false">
      <c r="A35" s="61" t="s">
        <v>543</v>
      </c>
      <c r="B35" s="63" t="n">
        <f aca="false">CORREL(d_Price,d_Qty)</f>
        <v>-0.141996300917694</v>
      </c>
      <c r="C35" s="62" t="str">
        <f aca="false">IF(ABS(B35)&gt;=0.7,"قوي",IF(ABS(B35)&gt;=0.4,"متوسط",IF(ABS(B35)&gt;=0.2,"ضعيف","شبه معدوم")))&amp;IF(B35&lt;0," (عكسي)"," (طردي)")</f>
        <v>شبه معدوم (عكسي)</v>
      </c>
      <c r="D35" s="62"/>
      <c r="E35" s="62"/>
    </row>
    <row r="38" customFormat="false" ht="21.75" hidden="false" customHeight="true" outlineLevel="0" collapsed="false">
      <c r="A38" s="7" t="s">
        <v>544</v>
      </c>
      <c r="B38" s="8"/>
      <c r="C38" s="8"/>
      <c r="D38" s="8"/>
      <c r="E38" s="8"/>
      <c r="F38" s="8"/>
      <c r="G38" s="8"/>
      <c r="H38" s="8"/>
      <c r="I38" s="8"/>
    </row>
    <row r="39" customFormat="false" ht="39.75" hidden="false" customHeight="true" outlineLevel="0" collapsed="false">
      <c r="A39" s="9" t="s">
        <v>8</v>
      </c>
      <c r="B39" s="9" t="s">
        <v>87</v>
      </c>
      <c r="C39" s="9" t="s">
        <v>545</v>
      </c>
      <c r="D39" s="9" t="s">
        <v>546</v>
      </c>
      <c r="E39" s="9" t="s">
        <v>547</v>
      </c>
      <c r="F39" s="9" t="s">
        <v>548</v>
      </c>
      <c r="G39" s="9" t="s">
        <v>549</v>
      </c>
      <c r="H39" s="9" t="s">
        <v>550</v>
      </c>
      <c r="I39" s="9" t="s">
        <v>86</v>
      </c>
    </row>
    <row r="40" customFormat="false" ht="15" hidden="false" customHeight="false" outlineLevel="0" collapsed="false">
      <c r="A40" s="47" t="n">
        <v>1</v>
      </c>
      <c r="B40" s="43" t="str">
        <f aca="false">CHOOSE(MONTH(I40),"يناير","فبراير","مارس","أبريل","مايو","يونيو","يوليو","أغسطس","سبتمبر","أكتوبر","نوفمبر","ديسمبر")&amp;" "&amp;YEAR(I40)</f>
        <v>أكتوبر 2025</v>
      </c>
      <c r="C40" s="42" t="n">
        <f aca="false">'تحليل الزمن'!C5</f>
        <v>186629.5</v>
      </c>
      <c r="D40" s="42" t="n">
        <f aca="false">FORECAST($A40,$C$40:$C$51,$A$40:$A$51)</f>
        <v>196704.826923077</v>
      </c>
      <c r="E40" s="42" t="n">
        <f aca="false">D40-NORMSINV(1-$B$4/2)*$B$57</f>
        <v>151961.660012771</v>
      </c>
      <c r="F40" s="42" t="n">
        <f aca="false">D40+NORMSINV(1-$B$4/2)*$B$57</f>
        <v>241447.993833383</v>
      </c>
      <c r="G40" s="42" t="n">
        <f aca="false">C40/'تحليل الزمن'!J5</f>
        <v>178049.125</v>
      </c>
      <c r="H40" s="42" t="n">
        <f aca="false">FORECAST($A40,$G$40:$G$51,$A$40:$A$51)*INDEX('تحليل الزمن'!$J$5:$J$16,MOD($A40-1,12)+1)</f>
        <v>186629.5</v>
      </c>
      <c r="I40" s="40" t="n">
        <f aca="false">EDATE('تحليل الزمن'!$A$5,A40-1)</f>
        <v>45931</v>
      </c>
    </row>
    <row r="41" customFormat="false" ht="15" hidden="false" customHeight="false" outlineLevel="0" collapsed="false">
      <c r="A41" s="47" t="n">
        <v>2</v>
      </c>
      <c r="B41" s="43" t="str">
        <f aca="false">CHOOSE(MONTH(I41),"يناير","فبراير","مارس","أبريل","مايو","يونيو","يوليو","أغسطس","سبتمبر","أكتوبر","نوفمبر","ديسمبر")&amp;" "&amp;YEAR(I41)</f>
        <v>نوفمبر 2025</v>
      </c>
      <c r="C41" s="42" t="n">
        <f aca="false">'تحليل الزمن'!C6</f>
        <v>211433</v>
      </c>
      <c r="D41" s="42" t="n">
        <f aca="false">FORECAST($A41,$C$40:$C$51,$A$40:$A$51)</f>
        <v>193312.881118881</v>
      </c>
      <c r="E41" s="42" t="n">
        <f aca="false">D41-NORMSINV(1-$B$4/2)*$B$57</f>
        <v>148569.714208575</v>
      </c>
      <c r="F41" s="42" t="n">
        <f aca="false">D41+NORMSINV(1-$B$4/2)*$B$57</f>
        <v>238056.048029187</v>
      </c>
      <c r="G41" s="42" t="n">
        <f aca="false">C41/'تحليل الزمن'!J6</f>
        <v>178049.125</v>
      </c>
      <c r="H41" s="42" t="n">
        <f aca="false">FORECAST($A41,$G$40:$G$51,$A$40:$A$51)*INDEX('تحليل الزمن'!$J$5:$J$16,MOD($A41-1,12)+1)</f>
        <v>211433</v>
      </c>
      <c r="I41" s="40" t="n">
        <f aca="false">EDATE('تحليل الزمن'!$A$5,A41-1)</f>
        <v>45962</v>
      </c>
    </row>
    <row r="42" customFormat="false" ht="15" hidden="false" customHeight="false" outlineLevel="0" collapsed="false">
      <c r="A42" s="47" t="n">
        <v>3</v>
      </c>
      <c r="B42" s="43" t="str">
        <f aca="false">CHOOSE(MONTH(I42),"يناير","فبراير","مارس","أبريل","مايو","يونيو","يوليو","أغسطس","سبتمبر","أكتوبر","نوفمبر","ديسمبر")&amp;" "&amp;YEAR(I42)</f>
        <v>ديسمبر 2025</v>
      </c>
      <c r="C42" s="42" t="n">
        <f aca="false">'تحليل الزمن'!C7</f>
        <v>183489.5</v>
      </c>
      <c r="D42" s="42" t="n">
        <f aca="false">FORECAST($A42,$C$40:$C$51,$A$40:$A$51)</f>
        <v>189920.935314685</v>
      </c>
      <c r="E42" s="42" t="n">
        <f aca="false">D42-NORMSINV(1-$B$4/2)*$B$57</f>
        <v>145177.768404379</v>
      </c>
      <c r="F42" s="42" t="n">
        <f aca="false">D42+NORMSINV(1-$B$4/2)*$B$57</f>
        <v>234664.102224991</v>
      </c>
      <c r="G42" s="42" t="n">
        <f aca="false">C42/'تحليل الزمن'!J7</f>
        <v>178049.125</v>
      </c>
      <c r="H42" s="42" t="n">
        <f aca="false">FORECAST($A42,$G$40:$G$51,$A$40:$A$51)*INDEX('تحليل الزمن'!$J$5:$J$16,MOD($A42-1,12)+1)</f>
        <v>183489.5</v>
      </c>
      <c r="I42" s="40" t="n">
        <f aca="false">EDATE('تحليل الزمن'!$A$5,A42-1)</f>
        <v>45992</v>
      </c>
    </row>
    <row r="43" customFormat="false" ht="15" hidden="false" customHeight="false" outlineLevel="0" collapsed="false">
      <c r="A43" s="47" t="n">
        <v>4</v>
      </c>
      <c r="B43" s="43" t="str">
        <f aca="false">CHOOSE(MONTH(I43),"يناير","فبراير","مارس","أبريل","مايو","يونيو","يوليو","أغسطس","سبتمبر","أكتوبر","نوفمبر","ديسمبر")&amp;" "&amp;YEAR(I43)</f>
        <v>يناير 2026</v>
      </c>
      <c r="C43" s="42" t="n">
        <f aca="false">'تحليل الزمن'!C8</f>
        <v>168383.5</v>
      </c>
      <c r="D43" s="42" t="n">
        <f aca="false">FORECAST($A43,$C$40:$C$51,$A$40:$A$51)</f>
        <v>186528.98951049</v>
      </c>
      <c r="E43" s="42" t="n">
        <f aca="false">D43-NORMSINV(1-$B$4/2)*$B$57</f>
        <v>141785.822600184</v>
      </c>
      <c r="F43" s="42" t="n">
        <f aca="false">D43+NORMSINV(1-$B$4/2)*$B$57</f>
        <v>231272.156420795</v>
      </c>
      <c r="G43" s="42" t="n">
        <f aca="false">C43/'تحليل الزمن'!J8</f>
        <v>178049.125</v>
      </c>
      <c r="H43" s="42" t="n">
        <f aca="false">FORECAST($A43,$G$40:$G$51,$A$40:$A$51)*INDEX('تحليل الزمن'!$J$5:$J$16,MOD($A43-1,12)+1)</f>
        <v>168383.5</v>
      </c>
      <c r="I43" s="40" t="n">
        <f aca="false">EDATE('تحليل الزمن'!$A$5,A43-1)</f>
        <v>46023</v>
      </c>
    </row>
    <row r="44" customFormat="false" ht="15" hidden="false" customHeight="false" outlineLevel="0" collapsed="false">
      <c r="A44" s="47" t="n">
        <v>5</v>
      </c>
      <c r="B44" s="43" t="str">
        <f aca="false">CHOOSE(MONTH(I44),"يناير","فبراير","مارس","أبريل","مايو","يونيو","يوليو","أغسطس","سبتمبر","أكتوبر","نوفمبر","ديسمبر")&amp;" "&amp;YEAR(I44)</f>
        <v>فبراير 2026</v>
      </c>
      <c r="C44" s="42" t="n">
        <f aca="false">'تحليل الزمن'!C9</f>
        <v>221778.5</v>
      </c>
      <c r="D44" s="42" t="n">
        <f aca="false">FORECAST($A44,$C$40:$C$51,$A$40:$A$51)</f>
        <v>183137.043706294</v>
      </c>
      <c r="E44" s="42" t="n">
        <f aca="false">D44-NORMSINV(1-$B$4/2)*$B$57</f>
        <v>138393.876795988</v>
      </c>
      <c r="F44" s="42" t="n">
        <f aca="false">D44+NORMSINV(1-$B$4/2)*$B$57</f>
        <v>227880.2106166</v>
      </c>
      <c r="G44" s="42" t="n">
        <f aca="false">C44/'تحليل الزمن'!J9</f>
        <v>178049.125</v>
      </c>
      <c r="H44" s="42" t="n">
        <f aca="false">FORECAST($A44,$G$40:$G$51,$A$40:$A$51)*INDEX('تحليل الزمن'!$J$5:$J$16,MOD($A44-1,12)+1)</f>
        <v>221778.5</v>
      </c>
      <c r="I44" s="40" t="n">
        <f aca="false">EDATE('تحليل الزمن'!$A$5,A44-1)</f>
        <v>46054</v>
      </c>
    </row>
    <row r="45" customFormat="false" ht="15" hidden="false" customHeight="false" outlineLevel="0" collapsed="false">
      <c r="A45" s="47" t="n">
        <v>6</v>
      </c>
      <c r="B45" s="43" t="str">
        <f aca="false">CHOOSE(MONTH(I45),"يناير","فبراير","مارس","أبريل","مايو","يونيو","يوليو","أغسطس","سبتمبر","أكتوبر","نوفمبر","ديسمبر")&amp;" "&amp;YEAR(I45)</f>
        <v>مارس 2026</v>
      </c>
      <c r="C45" s="42" t="n">
        <f aca="false">'تحليل الزمن'!C10</f>
        <v>157027.5</v>
      </c>
      <c r="D45" s="42" t="n">
        <f aca="false">FORECAST($A45,$C$40:$C$51,$A$40:$A$51)</f>
        <v>179745.097902098</v>
      </c>
      <c r="E45" s="42" t="n">
        <f aca="false">D45-NORMSINV(1-$B$4/2)*$B$57</f>
        <v>135001.930991792</v>
      </c>
      <c r="F45" s="42" t="n">
        <f aca="false">D45+NORMSINV(1-$B$4/2)*$B$57</f>
        <v>224488.264812404</v>
      </c>
      <c r="G45" s="42" t="n">
        <f aca="false">C45/'تحليل الزمن'!J10</f>
        <v>178049.125</v>
      </c>
      <c r="H45" s="42" t="n">
        <f aca="false">FORECAST($A45,$G$40:$G$51,$A$40:$A$51)*INDEX('تحليل الزمن'!$J$5:$J$16,MOD($A45-1,12)+1)</f>
        <v>157027.5</v>
      </c>
      <c r="I45" s="40" t="n">
        <f aca="false">EDATE('تحليل الزمن'!$A$5,A45-1)</f>
        <v>46082</v>
      </c>
    </row>
    <row r="46" customFormat="false" ht="15" hidden="false" customHeight="false" outlineLevel="0" collapsed="false">
      <c r="A46" s="47" t="n">
        <v>7</v>
      </c>
      <c r="B46" s="43" t="str">
        <f aca="false">CHOOSE(MONTH(I46),"يناير","فبراير","مارس","أبريل","مايو","يونيو","يوليو","أغسطس","سبتمبر","أكتوبر","نوفمبر","ديسمبر")&amp;" "&amp;YEAR(I46)</f>
        <v>أبريل 2026</v>
      </c>
      <c r="C46" s="42" t="n">
        <f aca="false">'تحليل الزمن'!C11</f>
        <v>166026.5</v>
      </c>
      <c r="D46" s="42" t="n">
        <f aca="false">FORECAST($A46,$C$40:$C$51,$A$40:$A$51)</f>
        <v>176353.152097902</v>
      </c>
      <c r="E46" s="42" t="n">
        <f aca="false">D46-NORMSINV(1-$B$4/2)*$B$57</f>
        <v>131609.985187596</v>
      </c>
      <c r="F46" s="42" t="n">
        <f aca="false">D46+NORMSINV(1-$B$4/2)*$B$57</f>
        <v>221096.319008208</v>
      </c>
      <c r="G46" s="42" t="n">
        <f aca="false">C46/'تحليل الزمن'!J11</f>
        <v>178049.125</v>
      </c>
      <c r="H46" s="42" t="n">
        <f aca="false">FORECAST($A46,$G$40:$G$51,$A$40:$A$51)*INDEX('تحليل الزمن'!$J$5:$J$16,MOD($A46-1,12)+1)</f>
        <v>166026.5</v>
      </c>
      <c r="I46" s="40" t="n">
        <f aca="false">EDATE('تحليل الزمن'!$A$5,A46-1)</f>
        <v>46113</v>
      </c>
    </row>
    <row r="47" customFormat="false" ht="15" hidden="false" customHeight="false" outlineLevel="0" collapsed="false">
      <c r="A47" s="47" t="n">
        <v>8</v>
      </c>
      <c r="B47" s="43" t="str">
        <f aca="false">CHOOSE(MONTH(I47),"يناير","فبراير","مارس","أبريل","مايو","يونيو","يوليو","أغسطس","سبتمبر","أكتوبر","نوفمبر","ديسمبر")&amp;" "&amp;YEAR(I47)</f>
        <v>مايو 2026</v>
      </c>
      <c r="C47" s="42" t="n">
        <f aca="false">'تحليل الزمن'!C12</f>
        <v>204552.5</v>
      </c>
      <c r="D47" s="42" t="n">
        <f aca="false">FORECAST($A47,$C$40:$C$51,$A$40:$A$51)</f>
        <v>172961.206293706</v>
      </c>
      <c r="E47" s="42" t="n">
        <f aca="false">D47-NORMSINV(1-$B$4/2)*$B$57</f>
        <v>128218.0393834</v>
      </c>
      <c r="F47" s="42" t="n">
        <f aca="false">D47+NORMSINV(1-$B$4/2)*$B$57</f>
        <v>217704.373204012</v>
      </c>
      <c r="G47" s="42" t="n">
        <f aca="false">C47/'تحليل الزمن'!J12</f>
        <v>178049.125</v>
      </c>
      <c r="H47" s="42" t="n">
        <f aca="false">FORECAST($A47,$G$40:$G$51,$A$40:$A$51)*INDEX('تحليل الزمن'!$J$5:$J$16,MOD($A47-1,12)+1)</f>
        <v>204552.5</v>
      </c>
      <c r="I47" s="40" t="n">
        <f aca="false">EDATE('تحليل الزمن'!$A$5,A47-1)</f>
        <v>46143</v>
      </c>
    </row>
    <row r="48" customFormat="false" ht="15" hidden="false" customHeight="false" outlineLevel="0" collapsed="false">
      <c r="A48" s="47" t="n">
        <v>9</v>
      </c>
      <c r="B48" s="43" t="str">
        <f aca="false">CHOOSE(MONTH(I48),"يناير","فبراير","مارس","أبريل","مايو","يونيو","يوليو","أغسطس","سبتمبر","أكتوبر","نوفمبر","ديسمبر")&amp;" "&amp;YEAR(I48)</f>
        <v>يونيو 2026</v>
      </c>
      <c r="C48" s="42" t="n">
        <f aca="false">'تحليل الزمن'!C13</f>
        <v>165984</v>
      </c>
      <c r="D48" s="42" t="n">
        <f aca="false">FORECAST($A48,$C$40:$C$51,$A$40:$A$51)</f>
        <v>169569.260489511</v>
      </c>
      <c r="E48" s="42" t="n">
        <f aca="false">D48-NORMSINV(1-$B$4/2)*$B$57</f>
        <v>124826.093579205</v>
      </c>
      <c r="F48" s="42" t="n">
        <f aca="false">D48+NORMSINV(1-$B$4/2)*$B$57</f>
        <v>214312.427399816</v>
      </c>
      <c r="G48" s="42" t="n">
        <f aca="false">C48/'تحليل الزمن'!J13</f>
        <v>178049.125</v>
      </c>
      <c r="H48" s="42" t="n">
        <f aca="false">FORECAST($A48,$G$40:$G$51,$A$40:$A$51)*INDEX('تحليل الزمن'!$J$5:$J$16,MOD($A48-1,12)+1)</f>
        <v>165984</v>
      </c>
      <c r="I48" s="40" t="n">
        <f aca="false">EDATE('تحليل الزمن'!$A$5,A48-1)</f>
        <v>46174</v>
      </c>
    </row>
    <row r="49" customFormat="false" ht="15" hidden="false" customHeight="false" outlineLevel="0" collapsed="false">
      <c r="A49" s="47" t="n">
        <v>10</v>
      </c>
      <c r="B49" s="43" t="str">
        <f aca="false">CHOOSE(MONTH(I49),"يناير","فبراير","مارس","أبريل","مايو","يونيو","يوليو","أغسطس","سبتمبر","أكتوبر","نوفمبر","ديسمبر")&amp;" "&amp;YEAR(I49)</f>
        <v>يوليو 2026</v>
      </c>
      <c r="C49" s="42" t="n">
        <f aca="false">'تحليل الزمن'!C14</f>
        <v>137862.5</v>
      </c>
      <c r="D49" s="42" t="n">
        <f aca="false">FORECAST($A49,$C$40:$C$51,$A$40:$A$51)</f>
        <v>166177.314685315</v>
      </c>
      <c r="E49" s="42" t="n">
        <f aca="false">D49-NORMSINV(1-$B$4/2)*$B$57</f>
        <v>121434.147775009</v>
      </c>
      <c r="F49" s="42" t="n">
        <f aca="false">D49+NORMSINV(1-$B$4/2)*$B$57</f>
        <v>210920.481595621</v>
      </c>
      <c r="G49" s="42" t="n">
        <f aca="false">C49/'تحليل الزمن'!J14</f>
        <v>178049.125</v>
      </c>
      <c r="H49" s="42" t="n">
        <f aca="false">FORECAST($A49,$G$40:$G$51,$A$40:$A$51)*INDEX('تحليل الزمن'!$J$5:$J$16,MOD($A49-1,12)+1)</f>
        <v>137862.5</v>
      </c>
      <c r="I49" s="40" t="n">
        <f aca="false">EDATE('تحليل الزمن'!$A$5,A49-1)</f>
        <v>46204</v>
      </c>
    </row>
    <row r="50" customFormat="false" ht="15" hidden="false" customHeight="false" outlineLevel="0" collapsed="false">
      <c r="A50" s="47" t="n">
        <v>11</v>
      </c>
      <c r="B50" s="43" t="str">
        <f aca="false">CHOOSE(MONTH(I50),"يناير","فبراير","مارس","أبريل","مايو","يونيو","يوليو","أغسطس","سبتمبر","أكتوبر","نوفمبر","ديسمبر")&amp;" "&amp;YEAR(I50)</f>
        <v>أغسطس 2026</v>
      </c>
      <c r="C50" s="42" t="n">
        <f aca="false">'تحليل الزمن'!C15</f>
        <v>153928.5</v>
      </c>
      <c r="D50" s="42" t="n">
        <f aca="false">FORECAST($A50,$C$40:$C$51,$A$40:$A$51)</f>
        <v>162785.368881119</v>
      </c>
      <c r="E50" s="42" t="n">
        <f aca="false">D50-NORMSINV(1-$B$4/2)*$B$57</f>
        <v>118042.201970813</v>
      </c>
      <c r="F50" s="42" t="n">
        <f aca="false">D50+NORMSINV(1-$B$4/2)*$B$57</f>
        <v>207528.535791425</v>
      </c>
      <c r="G50" s="42" t="n">
        <f aca="false">C50/'تحليل الزمن'!J15</f>
        <v>178049.125</v>
      </c>
      <c r="H50" s="42" t="n">
        <f aca="false">FORECAST($A50,$G$40:$G$51,$A$40:$A$51)*INDEX('تحليل الزمن'!$J$5:$J$16,MOD($A50-1,12)+1)</f>
        <v>153928.5</v>
      </c>
      <c r="I50" s="40" t="n">
        <f aca="false">EDATE('تحليل الزمن'!$A$5,A50-1)</f>
        <v>46235</v>
      </c>
    </row>
    <row r="51" customFormat="false" ht="15" hidden="false" customHeight="false" outlineLevel="0" collapsed="false">
      <c r="A51" s="47" t="n">
        <v>12</v>
      </c>
      <c r="B51" s="43" t="str">
        <f aca="false">CHOOSE(MONTH(I51),"يناير","فبراير","مارس","أبريل","مايو","يونيو","يوليو","أغسطس","سبتمبر","أكتوبر","نوفمبر","ديسمبر")&amp;" "&amp;YEAR(I51)</f>
        <v>سبتمبر 2026</v>
      </c>
      <c r="C51" s="42" t="n">
        <f aca="false">'تحليل الزمن'!C16</f>
        <v>179494</v>
      </c>
      <c r="D51" s="42" t="n">
        <f aca="false">FORECAST($A51,$C$40:$C$51,$A$40:$A$51)</f>
        <v>159393.423076923</v>
      </c>
      <c r="E51" s="42" t="n">
        <f aca="false">D51-NORMSINV(1-$B$4/2)*$B$57</f>
        <v>114650.256166617</v>
      </c>
      <c r="F51" s="42" t="n">
        <f aca="false">D51+NORMSINV(1-$B$4/2)*$B$57</f>
        <v>204136.589987229</v>
      </c>
      <c r="G51" s="42" t="n">
        <f aca="false">C51/'تحليل الزمن'!J16</f>
        <v>178049.125</v>
      </c>
      <c r="H51" s="42" t="n">
        <f aca="false">FORECAST($A51,$G$40:$G$51,$A$40:$A$51)*INDEX('تحليل الزمن'!$J$5:$J$16,MOD($A51-1,12)+1)</f>
        <v>179494</v>
      </c>
      <c r="I51" s="40" t="n">
        <f aca="false">EDATE('تحليل الزمن'!$A$5,A51-1)</f>
        <v>46266</v>
      </c>
    </row>
    <row r="52" customFormat="false" ht="15" hidden="false" customHeight="false" outlineLevel="0" collapsed="false">
      <c r="A52" s="64" t="n">
        <v>13</v>
      </c>
      <c r="B52" s="65" t="str">
        <f aca="false">CHOOSE(MONTH(I52),"يناير","فبراير","مارس","أبريل","مايو","يونيو","يوليو","أغسطس","سبتمبر","أكتوبر","نوفمبر","ديسمبر")&amp;" "&amp;YEAR(I52)</f>
        <v>أكتوبر 2026</v>
      </c>
      <c r="C52" s="66"/>
      <c r="D52" s="67" t="n">
        <f aca="false">FORECAST($A52,$C$40:$C$51,$A$40:$A$51)</f>
        <v>156001.477272727</v>
      </c>
      <c r="E52" s="67" t="n">
        <f aca="false">D52-NORMSINV(1-$B$4/2)*$B$57</f>
        <v>111258.310362421</v>
      </c>
      <c r="F52" s="67" t="n">
        <f aca="false">D52+NORMSINV(1-$B$4/2)*$B$57</f>
        <v>200744.644183033</v>
      </c>
      <c r="G52" s="66"/>
      <c r="H52" s="67" t="n">
        <f aca="false">FORECAST($A52,$G$40:$G$51,$A$40:$A$51)*INDEX('تحليل الزمن'!$J$5:$J$16,MOD($A52-1,12)+1)</f>
        <v>186629.5</v>
      </c>
      <c r="I52" s="68" t="n">
        <f aca="false">EDATE('تحليل الزمن'!$A$5,A52-1)</f>
        <v>46296</v>
      </c>
    </row>
    <row r="53" customFormat="false" ht="15" hidden="false" customHeight="false" outlineLevel="0" collapsed="false">
      <c r="A53" s="64" t="n">
        <v>14</v>
      </c>
      <c r="B53" s="65" t="str">
        <f aca="false">CHOOSE(MONTH(I53),"يناير","فبراير","مارس","أبريل","مايو","يونيو","يوليو","أغسطس","سبتمبر","أكتوبر","نوفمبر","ديسمبر")&amp;" "&amp;YEAR(I53)</f>
        <v>نوفمبر 2026</v>
      </c>
      <c r="C53" s="66"/>
      <c r="D53" s="67" t="n">
        <f aca="false">FORECAST($A53,$C$40:$C$51,$A$40:$A$51)</f>
        <v>152609.531468531</v>
      </c>
      <c r="E53" s="67" t="n">
        <f aca="false">D53-NORMSINV(1-$B$4/2)*$B$57</f>
        <v>107866.364558226</v>
      </c>
      <c r="F53" s="67" t="n">
        <f aca="false">D53+NORMSINV(1-$B$4/2)*$B$57</f>
        <v>197352.698378837</v>
      </c>
      <c r="G53" s="66"/>
      <c r="H53" s="67" t="n">
        <f aca="false">FORECAST($A53,$G$40:$G$51,$A$40:$A$51)*INDEX('تحليل الزمن'!$J$5:$J$16,MOD($A53-1,12)+1)</f>
        <v>211433</v>
      </c>
      <c r="I53" s="68" t="n">
        <f aca="false">EDATE('تحليل الزمن'!$A$5,A53-1)</f>
        <v>46327</v>
      </c>
    </row>
    <row r="54" customFormat="false" ht="15" hidden="false" customHeight="false" outlineLevel="0" collapsed="false">
      <c r="A54" s="64" t="n">
        <v>15</v>
      </c>
      <c r="B54" s="65" t="str">
        <f aca="false">CHOOSE(MONTH(I54),"يناير","فبراير","مارس","أبريل","مايو","يونيو","يوليو","أغسطس","سبتمبر","أكتوبر","نوفمبر","ديسمبر")&amp;" "&amp;YEAR(I54)</f>
        <v>ديسمبر 2026</v>
      </c>
      <c r="C54" s="66"/>
      <c r="D54" s="67" t="n">
        <f aca="false">FORECAST($A54,$C$40:$C$51,$A$40:$A$51)</f>
        <v>149217.585664336</v>
      </c>
      <c r="E54" s="67" t="n">
        <f aca="false">D54-NORMSINV(1-$B$4/2)*$B$57</f>
        <v>104474.41875403</v>
      </c>
      <c r="F54" s="67" t="n">
        <f aca="false">D54+NORMSINV(1-$B$4/2)*$B$57</f>
        <v>193960.752574642</v>
      </c>
      <c r="G54" s="66"/>
      <c r="H54" s="67" t="n">
        <f aca="false">FORECAST($A54,$G$40:$G$51,$A$40:$A$51)*INDEX('تحليل الزمن'!$J$5:$J$16,MOD($A54-1,12)+1)</f>
        <v>183489.5</v>
      </c>
      <c r="I54" s="68" t="n">
        <f aca="false">EDATE('تحليل الزمن'!$A$5,A54-1)</f>
        <v>46357</v>
      </c>
    </row>
    <row r="56" customFormat="false" ht="21.75" hidden="false" customHeight="true" outlineLevel="0" collapsed="false">
      <c r="A56" s="7" t="s">
        <v>551</v>
      </c>
      <c r="B56" s="8"/>
      <c r="C56" s="8"/>
    </row>
    <row r="57" customFormat="false" ht="15" hidden="false" customHeight="false" outlineLevel="0" collapsed="false">
      <c r="A57" s="61" t="s">
        <v>552</v>
      </c>
      <c r="B57" s="42" t="n">
        <f aca="false">STEYX($C$40:$C$51,$A$40:$A$51)</f>
        <v>22828.5658630639</v>
      </c>
    </row>
    <row r="58" customFormat="false" ht="15" hidden="false" customHeight="false" outlineLevel="0" collapsed="false">
      <c r="A58" s="61" t="s">
        <v>553</v>
      </c>
      <c r="B58" s="42" t="n">
        <f aca="false">SLOPE($C$40:$C$51,$A$40:$A$51)</f>
        <v>-3391.9458041958</v>
      </c>
    </row>
    <row r="59" customFormat="false" ht="15" hidden="false" customHeight="false" outlineLevel="0" collapsed="false">
      <c r="A59" s="61" t="s">
        <v>554</v>
      </c>
      <c r="B59" s="63" t="n">
        <f aca="false">RSQ($C$40:$C$51,$A$40:$A$51)</f>
        <v>0.239949159096421</v>
      </c>
    </row>
    <row r="60" customFormat="false" ht="15" hidden="false" customHeight="false" outlineLevel="0" collapsed="false">
      <c r="A60" s="61" t="s">
        <v>555</v>
      </c>
      <c r="B60" s="42" t="n">
        <f aca="false">SUM(H52:H54)</f>
        <v>581552</v>
      </c>
    </row>
    <row r="61" customFormat="false" ht="15" hidden="false" customHeight="false" outlineLevel="0" collapsed="false">
      <c r="A61" s="61" t="s">
        <v>556</v>
      </c>
      <c r="B61" s="42" t="n">
        <f aca="false">SUM(D52:D54)</f>
        <v>457828.594405594</v>
      </c>
    </row>
  </sheetData>
  <mergeCells count="30">
    <mergeCell ref="A1:O1"/>
    <mergeCell ref="B2:O2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9:E29"/>
    <mergeCell ref="C30:E30"/>
    <mergeCell ref="C31:E31"/>
    <mergeCell ref="C32:E32"/>
    <mergeCell ref="C33:E33"/>
    <mergeCell ref="C34:E34"/>
    <mergeCell ref="C35:E35"/>
  </mergeCells>
  <conditionalFormatting sqref="N6:N16">
    <cfRule type="dataBar" priority="2">
      <dataBar showValue="1" minLength="10" maxLength="90">
        <cfvo type="num" val="0"/>
        <cfvo type="max" val="0"/>
        <color rgb="FFF4A261"/>
      </dataBar>
      <extLst>
        <ext xmlns:x14="http://schemas.microsoft.com/office/spreadsheetml/2009/9/main" uri="{B025F937-C7B1-47D3-B67F-A62EFF666E3E}">
          <x14:id>{895A266C-FCFB-4F8C-9638-E7408EA9A32E}</x14:id>
        </ext>
      </extLst>
    </cfRule>
  </conditionalFormatting>
  <hyperlinks>
    <hyperlink ref="A2" location="'الفهرس'!A1" display="↩ الفهرس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5A266C-FCFB-4F8C-9638-E7408EA9A32E}">
            <x14:dataBar minLength="10" maxLength="90" axisPosition="none" gradient="true">
              <x14:cfvo type="num">
                <xm:f>0</xm:f>
              </x14:cfvo>
              <x14:cfvo type="max"/>
              <x14:negativeFillColor rgb="FFF4A261"/>
              <x14:axisColor rgb="FF000000"/>
            </x14:dataBar>
          </x14:cfRule>
          <xm:sqref>N6:N16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A261"/>
    <pageSetUpPr fitToPage="true"/>
  </sheetPr>
  <dimension ref="A1:H4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17"/>
    <col collapsed="false" customWidth="true" hidden="false" outlineLevel="0" max="8" min="6" style="0" width="15"/>
    <col collapsed="false" customWidth="true" hidden="false" outlineLevel="0" max="9" min="9" style="0" width="3"/>
  </cols>
  <sheetData>
    <row r="1" customFormat="false" ht="33.75" hidden="false" customHeight="true" outlineLevel="0" collapsed="false">
      <c r="A1" s="1" t="s">
        <v>557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3" t="s">
        <v>558</v>
      </c>
      <c r="C2" s="3"/>
      <c r="D2" s="3"/>
      <c r="E2" s="3"/>
      <c r="F2" s="3"/>
    </row>
    <row r="4" customFormat="false" ht="21.75" hidden="false" customHeight="true" outlineLevel="0" collapsed="false">
      <c r="A4" s="7" t="s">
        <v>559</v>
      </c>
      <c r="B4" s="8"/>
      <c r="C4" s="8"/>
      <c r="D4" s="8"/>
      <c r="E4" s="8"/>
    </row>
    <row r="5" customFormat="false" ht="27.75" hidden="false" customHeight="true" outlineLevel="0" collapsed="false">
      <c r="A5" s="9" t="s">
        <v>560</v>
      </c>
      <c r="B5" s="9" t="s">
        <v>561</v>
      </c>
      <c r="C5" s="9" t="s">
        <v>562</v>
      </c>
      <c r="D5" s="9" t="s">
        <v>563</v>
      </c>
      <c r="E5" s="9" t="s">
        <v>564</v>
      </c>
    </row>
    <row r="6" customFormat="false" ht="15" hidden="false" customHeight="false" outlineLevel="0" collapsed="false">
      <c r="A6" s="61" t="s">
        <v>565</v>
      </c>
      <c r="B6" s="56" t="n">
        <v>0</v>
      </c>
      <c r="C6" s="56" t="n">
        <v>0.05</v>
      </c>
      <c r="D6" s="56" t="n">
        <v>-0.05</v>
      </c>
      <c r="E6" s="56" t="n">
        <v>0.03</v>
      </c>
    </row>
    <row r="7" customFormat="false" ht="15" hidden="false" customHeight="false" outlineLevel="0" collapsed="false">
      <c r="A7" s="61" t="s">
        <v>566</v>
      </c>
      <c r="B7" s="56" t="n">
        <v>0</v>
      </c>
      <c r="C7" s="56" t="n">
        <v>0.1</v>
      </c>
      <c r="D7" s="56" t="n">
        <v>-0.1</v>
      </c>
      <c r="E7" s="56" t="n">
        <v>0.04</v>
      </c>
    </row>
    <row r="8" customFormat="false" ht="15" hidden="false" customHeight="false" outlineLevel="0" collapsed="false">
      <c r="A8" s="61" t="s">
        <v>567</v>
      </c>
      <c r="B8" s="56" t="n">
        <v>0</v>
      </c>
      <c r="C8" s="56" t="n">
        <v>0.02</v>
      </c>
      <c r="D8" s="56" t="n">
        <v>0.06</v>
      </c>
      <c r="E8" s="56" t="n">
        <v>0.02</v>
      </c>
    </row>
    <row r="9" customFormat="false" ht="15" hidden="false" customHeight="false" outlineLevel="0" collapsed="false">
      <c r="A9" s="61" t="s">
        <v>568</v>
      </c>
      <c r="B9" s="56" t="n">
        <v>0</v>
      </c>
      <c r="C9" s="56" t="n">
        <v>0.03</v>
      </c>
      <c r="D9" s="56" t="n">
        <v>0.08</v>
      </c>
      <c r="E9" s="56" t="n">
        <v>0.05</v>
      </c>
    </row>
    <row r="11" customFormat="false" ht="15" hidden="false" customHeight="false" outlineLevel="0" collapsed="false">
      <c r="A11" s="69" t="s">
        <v>569</v>
      </c>
      <c r="B11" s="42" t="n">
        <f aca="false">SUM(d_Rev)</f>
        <v>2136589.5</v>
      </c>
    </row>
    <row r="12" customFormat="false" ht="15" hidden="false" customHeight="false" outlineLevel="0" collapsed="false">
      <c r="A12" s="69" t="s">
        <v>570</v>
      </c>
      <c r="B12" s="42" t="n">
        <f aca="false">SUM(d_Cost)</f>
        <v>1421075</v>
      </c>
    </row>
    <row r="13" customFormat="false" ht="15" hidden="false" customHeight="false" outlineLevel="0" collapsed="false">
      <c r="A13" s="69" t="s">
        <v>571</v>
      </c>
      <c r="B13" s="54" t="n">
        <v>256000</v>
      </c>
    </row>
    <row r="15" customFormat="false" ht="21.75" hidden="false" customHeight="true" outlineLevel="0" collapsed="false">
      <c r="A15" s="7" t="s">
        <v>572</v>
      </c>
      <c r="B15" s="8"/>
      <c r="C15" s="8"/>
      <c r="D15" s="8"/>
      <c r="E15" s="8"/>
    </row>
    <row r="16" customFormat="false" ht="27.75" hidden="false" customHeight="true" outlineLevel="0" collapsed="false">
      <c r="A16" s="9" t="s">
        <v>573</v>
      </c>
      <c r="B16" s="9" t="s">
        <v>561</v>
      </c>
      <c r="C16" s="9" t="s">
        <v>562</v>
      </c>
      <c r="D16" s="9" t="s">
        <v>563</v>
      </c>
      <c r="E16" s="9" t="s">
        <v>564</v>
      </c>
    </row>
    <row r="17" customFormat="false" ht="15" hidden="false" customHeight="false" outlineLevel="0" collapsed="false">
      <c r="A17" s="61" t="s">
        <v>88</v>
      </c>
      <c r="B17" s="42" t="n">
        <f aca="false">$B$11*(1+B$6)*(1+B$7)</f>
        <v>2136589.5</v>
      </c>
      <c r="C17" s="42" t="n">
        <f aca="false">$B$11*(1+C$6)*(1+C$7)</f>
        <v>2467760.8725</v>
      </c>
      <c r="D17" s="42" t="n">
        <f aca="false">$B$11*(1+D$6)*(1+D$7)</f>
        <v>1826784.0225</v>
      </c>
      <c r="E17" s="42" t="n">
        <f aca="false">$B$11*(1+E$6)*(1+E$7)</f>
        <v>2288714.6724</v>
      </c>
    </row>
    <row r="18" customFormat="false" ht="15" hidden="false" customHeight="false" outlineLevel="0" collapsed="false">
      <c r="A18" s="61" t="s">
        <v>574</v>
      </c>
      <c r="B18" s="42" t="n">
        <f aca="false">$B$12*(1+B$7)*(1+B$8)</f>
        <v>1421075</v>
      </c>
      <c r="C18" s="42" t="n">
        <f aca="false">$B$12*(1+C$7)*(1+C$8)</f>
        <v>1594446.15</v>
      </c>
      <c r="D18" s="42" t="n">
        <f aca="false">$B$12*(1+D$7)*(1+D$8)</f>
        <v>1355705.55</v>
      </c>
      <c r="E18" s="42" t="n">
        <f aca="false">$B$12*(1+E$7)*(1+E$8)</f>
        <v>1507476.36</v>
      </c>
    </row>
    <row r="19" customFormat="false" ht="15" hidden="false" customHeight="false" outlineLevel="0" collapsed="false">
      <c r="A19" s="61" t="s">
        <v>575</v>
      </c>
      <c r="B19" s="42" t="n">
        <f aca="false">B17-B18</f>
        <v>715514.5</v>
      </c>
      <c r="C19" s="42" t="n">
        <f aca="false">C17-C18</f>
        <v>873314.7225</v>
      </c>
      <c r="D19" s="42" t="n">
        <f aca="false">D17-D18</f>
        <v>471078.4725</v>
      </c>
      <c r="E19" s="42" t="n">
        <f aca="false">E17-E18</f>
        <v>781238.3124</v>
      </c>
    </row>
    <row r="20" customFormat="false" ht="15" hidden="false" customHeight="false" outlineLevel="0" collapsed="false">
      <c r="A20" s="61" t="s">
        <v>576</v>
      </c>
      <c r="B20" s="44" t="n">
        <f aca="false">IFERROR(B19/B17,0)</f>
        <v>0.334886275533976</v>
      </c>
      <c r="C20" s="44" t="n">
        <f aca="false">IFERROR(C19/C17,0)</f>
        <v>0.353889524804434</v>
      </c>
      <c r="D20" s="44" t="n">
        <f aca="false">IFERROR(D19/D17,0)</f>
        <v>0.25787310743791</v>
      </c>
      <c r="E20" s="44" t="n">
        <f aca="false">IFERROR(E19/E17,0)</f>
        <v>0.341343690334617</v>
      </c>
    </row>
    <row r="21" customFormat="false" ht="15" hidden="false" customHeight="false" outlineLevel="0" collapsed="false">
      <c r="A21" s="61" t="s">
        <v>577</v>
      </c>
      <c r="B21" s="42" t="n">
        <f aca="false">$B$13*(1+B$9)</f>
        <v>256000</v>
      </c>
      <c r="C21" s="42" t="n">
        <f aca="false">$B$13*(1+C$9)</f>
        <v>263680</v>
      </c>
      <c r="D21" s="42" t="n">
        <f aca="false">$B$13*(1+D$9)</f>
        <v>276480</v>
      </c>
      <c r="E21" s="42" t="n">
        <f aca="false">$B$13*(1+E$9)</f>
        <v>268800</v>
      </c>
    </row>
    <row r="22" customFormat="false" ht="15" hidden="false" customHeight="false" outlineLevel="0" collapsed="false">
      <c r="A22" s="70" t="s">
        <v>578</v>
      </c>
      <c r="B22" s="48" t="n">
        <f aca="false">B19-B21</f>
        <v>459514.5</v>
      </c>
      <c r="C22" s="48" t="n">
        <f aca="false">C19-C21</f>
        <v>609634.7225</v>
      </c>
      <c r="D22" s="48" t="n">
        <f aca="false">D19-D21</f>
        <v>194598.4725</v>
      </c>
      <c r="E22" s="48" t="n">
        <f aca="false">E19-E21</f>
        <v>512438.3124</v>
      </c>
    </row>
    <row r="23" customFormat="false" ht="15" hidden="false" customHeight="false" outlineLevel="0" collapsed="false">
      <c r="A23" s="61" t="s">
        <v>579</v>
      </c>
      <c r="B23" s="44" t="n">
        <f aca="false">IFERROR(B22/B17,0)</f>
        <v>0.215069155773723</v>
      </c>
      <c r="C23" s="44" t="n">
        <f aca="false">IFERROR(C22/C17,0)</f>
        <v>0.247039625797455</v>
      </c>
      <c r="D23" s="44" t="n">
        <f aca="false">IFERROR(D22/D17,0)</f>
        <v>0.106525166688116</v>
      </c>
      <c r="E23" s="44" t="n">
        <f aca="false">IFERROR(E22/E17,0)</f>
        <v>0.22389785785864</v>
      </c>
    </row>
    <row r="24" customFormat="false" ht="15" hidden="false" customHeight="false" outlineLevel="0" collapsed="false">
      <c r="A24" s="61" t="s">
        <v>580</v>
      </c>
      <c r="B24" s="58" t="n">
        <f aca="false">B22-$B$22</f>
        <v>0</v>
      </c>
      <c r="C24" s="58" t="n">
        <f aca="false">C22-$B$22</f>
        <v>150120.2225</v>
      </c>
      <c r="D24" s="58" t="n">
        <f aca="false">D22-$B$22</f>
        <v>-264916.0275</v>
      </c>
      <c r="E24" s="58" t="n">
        <f aca="false">E22-$B$22</f>
        <v>52923.8123999999</v>
      </c>
    </row>
    <row r="25" customFormat="false" ht="15" hidden="false" customHeight="false" outlineLevel="0" collapsed="false">
      <c r="A25" s="61" t="s">
        <v>581</v>
      </c>
      <c r="B25" s="71" t="n">
        <f aca="false">IFERROR(B24/ABS($B$22),0)</f>
        <v>0</v>
      </c>
      <c r="C25" s="71" t="n">
        <f aca="false">IFERROR(C24/ABS($B$22),0)</f>
        <v>0.326693113057369</v>
      </c>
      <c r="D25" s="71" t="n">
        <f aca="false">IFERROR(D24/ABS($B$22),0)</f>
        <v>-0.576512879354188</v>
      </c>
      <c r="E25" s="71" t="n">
        <f aca="false">IFERROR(E24/ABS($B$22),0)</f>
        <v>0.115173324019155</v>
      </c>
    </row>
    <row r="27" customFormat="false" ht="21.75" hidden="false" customHeight="true" outlineLevel="0" collapsed="false">
      <c r="A27" s="7" t="s">
        <v>582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0" collapsed="false">
      <c r="A28" s="72" t="s">
        <v>583</v>
      </c>
      <c r="B28" s="55" t="n">
        <v>-0.15</v>
      </c>
      <c r="C28" s="55" t="n">
        <v>-0.1</v>
      </c>
      <c r="D28" s="55" t="n">
        <v>-0.05</v>
      </c>
      <c r="E28" s="55" t="n">
        <v>0</v>
      </c>
      <c r="F28" s="55" t="n">
        <v>0.05</v>
      </c>
      <c r="G28" s="55" t="n">
        <v>0.1</v>
      </c>
      <c r="H28" s="55" t="n">
        <v>0.15</v>
      </c>
    </row>
    <row r="29" customFormat="false" ht="15" hidden="false" customHeight="false" outlineLevel="0" collapsed="false">
      <c r="A29" s="55" t="n">
        <v>-0.15</v>
      </c>
      <c r="B29" s="58" t="n">
        <f aca="false">$B$11*(1+$A29)*(1+B$28)-$B$12*(1+B$28)-$B$13</f>
        <v>79772.1637499998</v>
      </c>
      <c r="C29" s="58" t="n">
        <f aca="false">$B$11*(1+$A29)*(1+C$28)-$B$12*(1+C$28)-$B$13</f>
        <v>99523.4675</v>
      </c>
      <c r="D29" s="58" t="n">
        <f aca="false">$B$11*(1+$A29)*(1+D$28)-$B$12*(1+D$28)-$B$13</f>
        <v>119274.77125</v>
      </c>
      <c r="E29" s="58" t="n">
        <f aca="false">$B$11*(1+$A29)*(1+E$28)-$B$12*(1+E$28)-$B$13</f>
        <v>139026.075</v>
      </c>
      <c r="F29" s="58" t="n">
        <f aca="false">$B$11*(1+$A29)*(1+F$28)-$B$12*(1+F$28)-$B$13</f>
        <v>158777.37875</v>
      </c>
      <c r="G29" s="58" t="n">
        <f aca="false">$B$11*(1+$A29)*(1+G$28)-$B$12*(1+G$28)-$B$13</f>
        <v>178528.6825</v>
      </c>
      <c r="H29" s="58" t="n">
        <f aca="false">$B$11*(1+$A29)*(1+H$28)-$B$12*(1+H$28)-$B$13</f>
        <v>198279.98625</v>
      </c>
    </row>
    <row r="30" customFormat="false" ht="15" hidden="false" customHeight="false" outlineLevel="0" collapsed="false">
      <c r="A30" s="55" t="n">
        <v>-0.1</v>
      </c>
      <c r="B30" s="58" t="n">
        <f aca="false">$B$11*(1+$A30)*(1+B$28)-$B$12*(1+B$28)-$B$13</f>
        <v>170577.2175</v>
      </c>
      <c r="C30" s="58" t="n">
        <f aca="false">$B$11*(1+$A30)*(1+C$28)-$B$12*(1+C$28)-$B$13</f>
        <v>195669.995</v>
      </c>
      <c r="D30" s="58" t="n">
        <f aca="false">$B$11*(1+$A30)*(1+D$28)-$B$12*(1+D$28)-$B$13</f>
        <v>220762.7725</v>
      </c>
      <c r="E30" s="58" t="n">
        <f aca="false">$B$11*(1+$A30)*(1+E$28)-$B$12*(1+E$28)-$B$13</f>
        <v>245855.55</v>
      </c>
      <c r="F30" s="58" t="n">
        <f aca="false">$B$11*(1+$A30)*(1+F$28)-$B$12*(1+F$28)-$B$13</f>
        <v>270948.3275</v>
      </c>
      <c r="G30" s="58" t="n">
        <f aca="false">$B$11*(1+$A30)*(1+G$28)-$B$12*(1+G$28)-$B$13</f>
        <v>296041.105</v>
      </c>
      <c r="H30" s="58" t="n">
        <f aca="false">$B$11*(1+$A30)*(1+H$28)-$B$12*(1+H$28)-$B$13</f>
        <v>321133.8825</v>
      </c>
    </row>
    <row r="31" customFormat="false" ht="15" hidden="false" customHeight="false" outlineLevel="0" collapsed="false">
      <c r="A31" s="55" t="n">
        <v>-0.05</v>
      </c>
      <c r="B31" s="58" t="n">
        <f aca="false">$B$11*(1+$A31)*(1+B$28)-$B$12*(1+B$28)-$B$13</f>
        <v>261382.27125</v>
      </c>
      <c r="C31" s="58" t="n">
        <f aca="false">$B$11*(1+$A31)*(1+C$28)-$B$12*(1+C$28)-$B$13</f>
        <v>291816.5225</v>
      </c>
      <c r="D31" s="58" t="n">
        <f aca="false">$B$11*(1+$A31)*(1+D$28)-$B$12*(1+D$28)-$B$13</f>
        <v>322250.77375</v>
      </c>
      <c r="E31" s="58" t="n">
        <f aca="false">$B$11*(1+$A31)*(1+E$28)-$B$12*(1+E$28)-$B$13</f>
        <v>352685.025</v>
      </c>
      <c r="F31" s="58" t="n">
        <f aca="false">$B$11*(1+$A31)*(1+F$28)-$B$12*(1+F$28)-$B$13</f>
        <v>383119.27625</v>
      </c>
      <c r="G31" s="58" t="n">
        <f aca="false">$B$11*(1+$A31)*(1+G$28)-$B$12*(1+G$28)-$B$13</f>
        <v>413553.5275</v>
      </c>
      <c r="H31" s="58" t="n">
        <f aca="false">$B$11*(1+$A31)*(1+H$28)-$B$12*(1+H$28)-$B$13</f>
        <v>443987.77875</v>
      </c>
    </row>
    <row r="32" customFormat="false" ht="15" hidden="false" customHeight="false" outlineLevel="0" collapsed="false">
      <c r="A32" s="55" t="n">
        <v>0</v>
      </c>
      <c r="B32" s="58" t="n">
        <f aca="false">$B$11*(1+$A32)*(1+B$28)-$B$12*(1+B$28)-$B$13</f>
        <v>352187.325</v>
      </c>
      <c r="C32" s="58" t="n">
        <f aca="false">$B$11*(1+$A32)*(1+C$28)-$B$12*(1+C$28)-$B$13</f>
        <v>387963.05</v>
      </c>
      <c r="D32" s="58" t="n">
        <f aca="false">$B$11*(1+$A32)*(1+D$28)-$B$12*(1+D$28)-$B$13</f>
        <v>423738.775</v>
      </c>
      <c r="E32" s="58" t="n">
        <f aca="false">$B$11*(1+$A32)*(1+E$28)-$B$12*(1+E$28)-$B$13</f>
        <v>459514.5</v>
      </c>
      <c r="F32" s="58" t="n">
        <f aca="false">$B$11*(1+$A32)*(1+F$28)-$B$12*(1+F$28)-$B$13</f>
        <v>495290.225</v>
      </c>
      <c r="G32" s="58" t="n">
        <f aca="false">$B$11*(1+$A32)*(1+G$28)-$B$12*(1+G$28)-$B$13</f>
        <v>531065.95</v>
      </c>
      <c r="H32" s="58" t="n">
        <f aca="false">$B$11*(1+$A32)*(1+H$28)-$B$12*(1+H$28)-$B$13</f>
        <v>566841.675</v>
      </c>
    </row>
    <row r="33" customFormat="false" ht="15" hidden="false" customHeight="false" outlineLevel="0" collapsed="false">
      <c r="A33" s="55" t="n">
        <v>0.05</v>
      </c>
      <c r="B33" s="58" t="n">
        <f aca="false">$B$11*(1+$A33)*(1+B$28)-$B$12*(1+B$28)-$B$13</f>
        <v>442992.37875</v>
      </c>
      <c r="C33" s="58" t="n">
        <f aca="false">$B$11*(1+$A33)*(1+C$28)-$B$12*(1+C$28)-$B$13</f>
        <v>484109.5775</v>
      </c>
      <c r="D33" s="58" t="n">
        <f aca="false">$B$11*(1+$A33)*(1+D$28)-$B$12*(1+D$28)-$B$13</f>
        <v>525226.77625</v>
      </c>
      <c r="E33" s="58" t="n">
        <f aca="false">$B$11*(1+$A33)*(1+E$28)-$B$12*(1+E$28)-$B$13</f>
        <v>566343.975</v>
      </c>
      <c r="F33" s="58" t="n">
        <f aca="false">$B$11*(1+$A33)*(1+F$28)-$B$12*(1+F$28)-$B$13</f>
        <v>607461.17375</v>
      </c>
      <c r="G33" s="58" t="n">
        <f aca="false">$B$11*(1+$A33)*(1+G$28)-$B$12*(1+G$28)-$B$13</f>
        <v>648578.3725</v>
      </c>
      <c r="H33" s="58" t="n">
        <f aca="false">$B$11*(1+$A33)*(1+H$28)-$B$12*(1+H$28)-$B$13</f>
        <v>689695.57125</v>
      </c>
    </row>
    <row r="34" customFormat="false" ht="15" hidden="false" customHeight="false" outlineLevel="0" collapsed="false">
      <c r="A34" s="55" t="n">
        <v>0.1</v>
      </c>
      <c r="B34" s="58" t="n">
        <f aca="false">$B$11*(1+$A34)*(1+B$28)-$B$12*(1+B$28)-$B$13</f>
        <v>533797.4325</v>
      </c>
      <c r="C34" s="58" t="n">
        <f aca="false">$B$11*(1+$A34)*(1+C$28)-$B$12*(1+C$28)-$B$13</f>
        <v>580256.105</v>
      </c>
      <c r="D34" s="58" t="n">
        <f aca="false">$B$11*(1+$A34)*(1+D$28)-$B$12*(1+D$28)-$B$13</f>
        <v>626714.7775</v>
      </c>
      <c r="E34" s="58" t="n">
        <f aca="false">$B$11*(1+$A34)*(1+E$28)-$B$12*(1+E$28)-$B$13</f>
        <v>673173.45</v>
      </c>
      <c r="F34" s="58" t="n">
        <f aca="false">$B$11*(1+$A34)*(1+F$28)-$B$12*(1+F$28)-$B$13</f>
        <v>719632.122500001</v>
      </c>
      <c r="G34" s="58" t="n">
        <f aca="false">$B$11*(1+$A34)*(1+G$28)-$B$12*(1+G$28)-$B$13</f>
        <v>766090.795</v>
      </c>
      <c r="H34" s="58" t="n">
        <f aca="false">$B$11*(1+$A34)*(1+H$28)-$B$12*(1+H$28)-$B$13</f>
        <v>812549.4675</v>
      </c>
    </row>
    <row r="35" customFormat="false" ht="15" hidden="false" customHeight="false" outlineLevel="0" collapsed="false">
      <c r="A35" s="55" t="n">
        <v>0.15</v>
      </c>
      <c r="B35" s="58" t="n">
        <f aca="false">$B$11*(1+$A35)*(1+B$28)-$B$12*(1+B$28)-$B$13</f>
        <v>624602.48625</v>
      </c>
      <c r="C35" s="58" t="n">
        <f aca="false">$B$11*(1+$A35)*(1+C$28)-$B$12*(1+C$28)-$B$13</f>
        <v>676402.6325</v>
      </c>
      <c r="D35" s="58" t="n">
        <f aca="false">$B$11*(1+$A35)*(1+D$28)-$B$12*(1+D$28)-$B$13</f>
        <v>728202.77875</v>
      </c>
      <c r="E35" s="58" t="n">
        <f aca="false">$B$11*(1+$A35)*(1+E$28)-$B$12*(1+E$28)-$B$13</f>
        <v>780002.925</v>
      </c>
      <c r="F35" s="58" t="n">
        <f aca="false">$B$11*(1+$A35)*(1+F$28)-$B$12*(1+F$28)-$B$13</f>
        <v>831803.07125</v>
      </c>
      <c r="G35" s="58" t="n">
        <f aca="false">$B$11*(1+$A35)*(1+G$28)-$B$12*(1+G$28)-$B$13</f>
        <v>883603.2175</v>
      </c>
      <c r="H35" s="58" t="n">
        <f aca="false">$B$11*(1+$A35)*(1+H$28)-$B$12*(1+H$28)-$B$13</f>
        <v>935403.36375</v>
      </c>
    </row>
    <row r="37" customFormat="false" ht="21.75" hidden="false" customHeight="true" outlineLevel="0" collapsed="false">
      <c r="A37" s="7" t="s">
        <v>584</v>
      </c>
      <c r="B37" s="8"/>
      <c r="C37" s="8"/>
      <c r="D37" s="8"/>
      <c r="E37" s="8"/>
      <c r="F37" s="8"/>
    </row>
    <row r="38" customFormat="false" ht="15" hidden="false" customHeight="false" outlineLevel="0" collapsed="false">
      <c r="A38" s="50" t="s">
        <v>585</v>
      </c>
      <c r="B38" s="14" t="s">
        <v>562</v>
      </c>
      <c r="C38" s="73" t="n">
        <f aca="false">MATCH(B38,$B$5:$E$5,0)</f>
        <v>2</v>
      </c>
      <c r="D38" s="74" t="s">
        <v>586</v>
      </c>
    </row>
    <row r="40" customFormat="false" ht="33.75" hidden="false" customHeight="true" outlineLevel="0" collapsed="false">
      <c r="A40" s="9" t="s">
        <v>77</v>
      </c>
      <c r="B40" s="9" t="s">
        <v>587</v>
      </c>
      <c r="C40" s="9" t="s">
        <v>588</v>
      </c>
      <c r="D40" s="9" t="s">
        <v>589</v>
      </c>
      <c r="E40" s="9" t="s">
        <v>590</v>
      </c>
      <c r="F40" s="9" t="s">
        <v>591</v>
      </c>
    </row>
    <row r="41" customFormat="false" ht="15" hidden="false" customHeight="false" outlineLevel="0" collapsed="false">
      <c r="A41" s="43" t="s">
        <v>90</v>
      </c>
      <c r="B41" s="42" t="n">
        <f aca="false">SUMIFS(d_Rev,d_Cat,$A41)</f>
        <v>524652.5</v>
      </c>
      <c r="C41" s="42" t="n">
        <f aca="false">B41*(1+INDEX($B$6:$E$6,$C$38))*(1+INDEX($B$7:$E$7,$C$38))</f>
        <v>605973.6375</v>
      </c>
      <c r="D41" s="42" t="n">
        <f aca="false">SUMIFS(d_Profit,d_Cat,$A41)</f>
        <v>123282.5</v>
      </c>
      <c r="E41" s="42" t="n">
        <f aca="false">C41-SUMIFS(d_Cost,d_Cat,$A41)*(1+INDEX($B$7:$E$7,$C$38))*(1+INDEX($B$8:$E$8,$C$38))</f>
        <v>155636.4975</v>
      </c>
      <c r="F41" s="58" t="n">
        <f aca="false">E41-D41</f>
        <v>32353.9975</v>
      </c>
    </row>
    <row r="42" customFormat="false" ht="15" hidden="false" customHeight="false" outlineLevel="0" collapsed="false">
      <c r="A42" s="43" t="s">
        <v>92</v>
      </c>
      <c r="B42" s="42" t="n">
        <f aca="false">SUMIFS(d_Rev,d_Cat,$A42)</f>
        <v>260789</v>
      </c>
      <c r="C42" s="42" t="n">
        <f aca="false">B42*(1+INDEX($B$6:$E$6,$C$38))*(1+INDEX($B$7:$E$7,$C$38))</f>
        <v>301211.295</v>
      </c>
      <c r="D42" s="42" t="n">
        <f aca="false">SUMIFS(d_Profit,d_Cat,$A42)</f>
        <v>83319</v>
      </c>
      <c r="E42" s="42" t="n">
        <f aca="false">C42-SUMIFS(d_Cost,d_Cat,$A42)*(1+INDEX($B$7:$E$7,$C$38))*(1+INDEX($B$8:$E$8,$C$38))</f>
        <v>102089.955</v>
      </c>
      <c r="F42" s="58" t="n">
        <f aca="false">E42-D42</f>
        <v>18770.955</v>
      </c>
    </row>
    <row r="43" customFormat="false" ht="15" hidden="false" customHeight="false" outlineLevel="0" collapsed="false">
      <c r="A43" s="43" t="s">
        <v>94</v>
      </c>
      <c r="B43" s="42" t="n">
        <f aca="false">SUMIFS(d_Rev,d_Cat,$A43)</f>
        <v>583692.5</v>
      </c>
      <c r="C43" s="42" t="n">
        <f aca="false">B43*(1+INDEX($B$6:$E$6,$C$38))*(1+INDEX($B$7:$E$7,$C$38))</f>
        <v>674164.8375</v>
      </c>
      <c r="D43" s="42" t="n">
        <f aca="false">SUMIFS(d_Profit,d_Cat,$A43)</f>
        <v>219682.5</v>
      </c>
      <c r="E43" s="42" t="n">
        <f aca="false">C43-SUMIFS(d_Cost,d_Cat,$A43)*(1+INDEX($B$7:$E$7,$C$38))*(1+INDEX($B$8:$E$8,$C$38))</f>
        <v>265745.6175</v>
      </c>
      <c r="F43" s="58" t="n">
        <f aca="false">E43-D43</f>
        <v>46063.1174999999</v>
      </c>
    </row>
    <row r="44" customFormat="false" ht="15" hidden="false" customHeight="false" outlineLevel="0" collapsed="false">
      <c r="A44" s="43" t="s">
        <v>96</v>
      </c>
      <c r="B44" s="42" t="n">
        <f aca="false">SUMIFS(d_Rev,d_Cat,$A44)</f>
        <v>333618.5</v>
      </c>
      <c r="C44" s="42" t="n">
        <f aca="false">B44*(1+INDEX($B$6:$E$6,$C$38))*(1+INDEX($B$7:$E$7,$C$38))</f>
        <v>385329.3675</v>
      </c>
      <c r="D44" s="42" t="n">
        <f aca="false">SUMIFS(d_Profit,d_Cat,$A44)</f>
        <v>107613.5</v>
      </c>
      <c r="E44" s="42" t="n">
        <f aca="false">C44-SUMIFS(d_Cost,d_Cat,$A44)*(1+INDEX($B$7:$E$7,$C$38))*(1+INDEX($B$8:$E$8,$C$38))</f>
        <v>131751.7575</v>
      </c>
      <c r="F44" s="58" t="n">
        <f aca="false">E44-D44</f>
        <v>24138.2575</v>
      </c>
    </row>
    <row r="45" customFormat="false" ht="15" hidden="false" customHeight="false" outlineLevel="0" collapsed="false">
      <c r="A45" s="43" t="s">
        <v>97</v>
      </c>
      <c r="B45" s="42" t="n">
        <f aca="false">SUMIFS(d_Rev,d_Cat,$A45)</f>
        <v>187066</v>
      </c>
      <c r="C45" s="42" t="n">
        <f aca="false">B45*(1+INDEX($B$6:$E$6,$C$38))*(1+INDEX($B$7:$E$7,$C$38))</f>
        <v>216061.23</v>
      </c>
      <c r="D45" s="42" t="n">
        <f aca="false">SUMIFS(d_Profit,d_Cat,$A45)</f>
        <v>64256</v>
      </c>
      <c r="E45" s="42" t="n">
        <f aca="false">C45-SUMIFS(d_Cost,d_Cat,$A45)*(1+INDEX($B$7:$E$7,$C$38))*(1+INDEX($B$8:$E$8,$C$38))</f>
        <v>78268.41</v>
      </c>
      <c r="F45" s="58" t="n">
        <f aca="false">E45-D45</f>
        <v>14012.41</v>
      </c>
    </row>
    <row r="46" customFormat="false" ht="15" hidden="false" customHeight="false" outlineLevel="0" collapsed="false">
      <c r="A46" s="43" t="s">
        <v>98</v>
      </c>
      <c r="B46" s="42" t="n">
        <f aca="false">SUMIFS(d_Rev,d_Cat,$A46)</f>
        <v>246771</v>
      </c>
      <c r="C46" s="42" t="n">
        <f aca="false">B46*(1+INDEX($B$6:$E$6,$C$38))*(1+INDEX($B$7:$E$7,$C$38))</f>
        <v>285020.505</v>
      </c>
      <c r="D46" s="42" t="n">
        <f aca="false">SUMIFS(d_Profit,d_Cat,$A46)</f>
        <v>117361</v>
      </c>
      <c r="E46" s="42" t="n">
        <f aca="false">C46-SUMIFS(d_Cost,d_Cat,$A46)*(1+INDEX($B$7:$E$7,$C$38))*(1+INDEX($B$8:$E$8,$C$38))</f>
        <v>139822.485</v>
      </c>
      <c r="F46" s="58" t="n">
        <f aca="false">E46-D46</f>
        <v>22461.4850000001</v>
      </c>
    </row>
    <row r="47" customFormat="false" ht="15" hidden="false" customHeight="false" outlineLevel="0" collapsed="false">
      <c r="A47" s="23" t="s">
        <v>122</v>
      </c>
      <c r="B47" s="48" t="n">
        <f aca="false">SUM(B41:B46)</f>
        <v>2136589.5</v>
      </c>
      <c r="C47" s="48" t="n">
        <f aca="false">SUM(C41:C46)</f>
        <v>2467760.8725</v>
      </c>
      <c r="D47" s="48" t="n">
        <f aca="false">SUM(D41:D46)</f>
        <v>715514.5</v>
      </c>
      <c r="E47" s="48" t="n">
        <f aca="false">SUM(E41:E46)</f>
        <v>873314.7225</v>
      </c>
      <c r="F47" s="59" t="n">
        <f aca="false">SUM(F41:F46)</f>
        <v>157800.2225</v>
      </c>
    </row>
  </sheetData>
  <mergeCells count="2">
    <mergeCell ref="A1:F1"/>
    <mergeCell ref="B2:F2"/>
  </mergeCells>
  <conditionalFormatting sqref="B29:H35">
    <cfRule type="colorScale" priority="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F41:F46">
    <cfRule type="dataBar" priority="3">
      <dataBar showValue="1" minLength="10" maxLength="90">
        <cfvo type="min" val="0"/>
        <cfvo type="max" val="0"/>
        <color rgb="FF2A9D8F"/>
      </dataBar>
      <extLst>
        <ext xmlns:x14="http://schemas.microsoft.com/office/spreadsheetml/2009/9/main" uri="{B025F937-C7B1-47D3-B67F-A62EFF666E3E}">
          <x14:id>{AAFE94E1-E9EC-473D-888D-1CD86077E4F6}</x14:id>
        </ext>
      </extLst>
    </cfRule>
  </conditionalFormatting>
  <dataValidations count="1">
    <dataValidation allowBlank="false" errorStyle="stop" operator="between" showDropDown="false" showErrorMessage="false" showInputMessage="false" sqref="B38" type="list">
      <formula1>"أساسي,متفائل,متشائم,مخصص"</formula1>
      <formula2>0</formula2>
    </dataValidation>
  </dataValidations>
  <hyperlinks>
    <hyperlink ref="A2" location="'الفهرس'!A1" display="↩ الفهرس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FE94E1-E9EC-473D-888D-1CD86077E4F6}">
            <x14:dataBar minLength="10" maxLength="90" axisPosition="none" gradient="true">
              <x14:cfvo type="min"/>
              <x14:cfvo type="max"/>
              <x14:negativeFillColor rgb="FF2A9D8F"/>
              <x14:axisColor rgb="FF000000"/>
            </x14:dataBar>
          </x14:cfRule>
          <xm:sqref>F41:F46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6F51"/>
    <pageSetUpPr fitToPage="true"/>
  </sheetPr>
  <dimension ref="A1:E2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44"/>
  </cols>
  <sheetData>
    <row r="1" customFormat="false" ht="33.75" hidden="false" customHeight="true" outlineLevel="0" collapsed="false">
      <c r="A1" s="1" t="s">
        <v>592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3" t="s">
        <v>593</v>
      </c>
      <c r="C2" s="3"/>
      <c r="D2" s="3"/>
      <c r="E2" s="3"/>
    </row>
    <row r="3" customFormat="false" ht="15" hidden="false" customHeight="false" outlineLevel="0" collapsed="false">
      <c r="A3" s="50" t="s">
        <v>594</v>
      </c>
      <c r="B3" s="75" t="n">
        <f aca="false">IFERROR(COUNTIF(D6:D28,"سليم")/(COUNTIF(D6:D28,"سليم")+COUNTIF(D6:D28,"مراجعة")),0)</f>
        <v>1</v>
      </c>
    </row>
    <row r="4" customFormat="false" ht="21.75" hidden="false" customHeight="true" outlineLevel="0" collapsed="false">
      <c r="A4" s="7" t="s">
        <v>595</v>
      </c>
      <c r="B4" s="8"/>
      <c r="C4" s="8"/>
      <c r="D4" s="8"/>
      <c r="E4" s="8"/>
    </row>
    <row r="5" customFormat="false" ht="25.5" hidden="false" customHeight="true" outlineLevel="0" collapsed="false">
      <c r="A5" s="9" t="s">
        <v>596</v>
      </c>
      <c r="B5" s="9" t="s">
        <v>106</v>
      </c>
      <c r="C5" s="9" t="s">
        <v>597</v>
      </c>
      <c r="D5" s="9" t="s">
        <v>476</v>
      </c>
      <c r="E5" s="9" t="s">
        <v>598</v>
      </c>
    </row>
    <row r="6" customFormat="false" ht="15" hidden="false" customHeight="false" outlineLevel="0" collapsed="false">
      <c r="A6" s="61" t="s">
        <v>599</v>
      </c>
      <c r="B6" s="42" t="n">
        <f aca="false">ROWS(d_Order)</f>
        <v>1500</v>
      </c>
      <c r="C6" s="41" t="s">
        <v>121</v>
      </c>
      <c r="D6" s="76" t="s">
        <v>600</v>
      </c>
      <c r="E6" s="62" t="s">
        <v>601</v>
      </c>
    </row>
    <row r="7" customFormat="false" ht="15" hidden="false" customHeight="false" outlineLevel="0" collapsed="false">
      <c r="A7" s="61" t="s">
        <v>602</v>
      </c>
      <c r="B7" s="42" t="n">
        <f aca="false">SUMPRODUCT((COUNTIF(d_Order,d_Order)&gt;1)*1)</f>
        <v>0</v>
      </c>
      <c r="C7" s="42" t="n">
        <v>0</v>
      </c>
      <c r="D7" s="43" t="str">
        <f aca="false">IF(B7&lt;=C7,"سليم","مراجعة")</f>
        <v>سليم</v>
      </c>
      <c r="E7" s="62" t="s">
        <v>603</v>
      </c>
    </row>
    <row r="8" customFormat="false" ht="15" hidden="false" customHeight="false" outlineLevel="0" collapsed="false">
      <c r="A8" s="61" t="s">
        <v>604</v>
      </c>
      <c r="B8" s="42" t="n">
        <f aca="false">COUNTBLANK(d_Date)</f>
        <v>0</v>
      </c>
      <c r="C8" s="42" t="n">
        <v>0</v>
      </c>
      <c r="D8" s="43" t="str">
        <f aca="false">IF(B8&lt;=C8,"سليم","مراجعة")</f>
        <v>سليم</v>
      </c>
      <c r="E8" s="62" t="s">
        <v>605</v>
      </c>
    </row>
    <row r="9" customFormat="false" ht="15" hidden="false" customHeight="false" outlineLevel="0" collapsed="false">
      <c r="A9" s="61" t="s">
        <v>606</v>
      </c>
      <c r="B9" s="42" t="n">
        <f aca="false">COUNTBLANK(d_Cust)</f>
        <v>0</v>
      </c>
      <c r="C9" s="42" t="n">
        <v>0</v>
      </c>
      <c r="D9" s="43" t="str">
        <f aca="false">IF(B9&lt;=C9,"سليم","مراجعة")</f>
        <v>سليم</v>
      </c>
      <c r="E9" s="62" t="s">
        <v>607</v>
      </c>
    </row>
    <row r="10" customFormat="false" ht="15" hidden="false" customHeight="false" outlineLevel="0" collapsed="false">
      <c r="A10" s="61" t="s">
        <v>608</v>
      </c>
      <c r="B10" s="42" t="n">
        <f aca="false">COUNTBLANK(d_PID)</f>
        <v>0</v>
      </c>
      <c r="C10" s="42" t="n">
        <v>0</v>
      </c>
      <c r="D10" s="43" t="str">
        <f aca="false">IF(B10&lt;=C10,"سليم","مراجعة")</f>
        <v>سليم</v>
      </c>
      <c r="E10" s="62" t="s">
        <v>609</v>
      </c>
    </row>
    <row r="11" customFormat="false" ht="15" hidden="false" customHeight="false" outlineLevel="0" collapsed="false">
      <c r="A11" s="61" t="s">
        <v>610</v>
      </c>
      <c r="B11" s="42" t="n">
        <f aca="false">SUMPRODUCT(--ISNA(MATCH(d_Cust,c_ID,0)))</f>
        <v>0</v>
      </c>
      <c r="C11" s="42" t="n">
        <v>0</v>
      </c>
      <c r="D11" s="43" t="str">
        <f aca="false">IF(B11&lt;=C11,"سليم","مراجعة")</f>
        <v>سليم</v>
      </c>
      <c r="E11" s="62" t="s">
        <v>611</v>
      </c>
    </row>
    <row r="12" customFormat="false" ht="15" hidden="false" customHeight="false" outlineLevel="0" collapsed="false">
      <c r="A12" s="61" t="s">
        <v>612</v>
      </c>
      <c r="B12" s="42" t="n">
        <f aca="false">SUMPRODUCT(--ISNA(MATCH(d_PID,p_ID,0)))</f>
        <v>0</v>
      </c>
      <c r="C12" s="42" t="n">
        <v>0</v>
      </c>
      <c r="D12" s="43" t="str">
        <f aca="false">IF(B12&lt;=C12,"سليم","مراجعة")</f>
        <v>سليم</v>
      </c>
      <c r="E12" s="62" t="s">
        <v>611</v>
      </c>
    </row>
    <row r="13" customFormat="false" ht="15" hidden="false" customHeight="false" outlineLevel="0" collapsed="false">
      <c r="A13" s="61" t="s">
        <v>613</v>
      </c>
      <c r="B13" s="42" t="n">
        <f aca="false">COUNTIF(d_Qty,"&lt;=0")</f>
        <v>0</v>
      </c>
      <c r="C13" s="42" t="n">
        <v>0</v>
      </c>
      <c r="D13" s="43" t="str">
        <f aca="false">IF(B13&lt;=C13,"سليم","مراجعة")</f>
        <v>سليم</v>
      </c>
      <c r="E13" s="62" t="s">
        <v>614</v>
      </c>
    </row>
    <row r="14" customFormat="false" ht="15" hidden="false" customHeight="false" outlineLevel="0" collapsed="false">
      <c r="A14" s="61" t="s">
        <v>615</v>
      </c>
      <c r="B14" s="42" t="n">
        <f aca="false">COUNTIF(d_Disc,"&lt;0")+COUNTIF(d_Disc,"&gt;0.5")</f>
        <v>0</v>
      </c>
      <c r="C14" s="42" t="n">
        <v>0</v>
      </c>
      <c r="D14" s="43" t="str">
        <f aca="false">IF(B14&lt;=C14,"سليم","مراجعة")</f>
        <v>سليم</v>
      </c>
      <c r="E14" s="62" t="s">
        <v>616</v>
      </c>
    </row>
    <row r="15" customFormat="false" ht="15" hidden="false" customHeight="false" outlineLevel="0" collapsed="false">
      <c r="A15" s="61" t="s">
        <v>617</v>
      </c>
      <c r="B15" s="42" t="n">
        <f aca="false">COUNTIF(d_Date,"&lt;"&amp;'تحليل الزمن'!$A$5)+COUNTIF(d_Date,"&gt;"&amp;(EDATE('تحليل الزمن'!$A$5,12)-1))</f>
        <v>0</v>
      </c>
      <c r="C15" s="42" t="n">
        <v>0</v>
      </c>
      <c r="D15" s="43" t="str">
        <f aca="false">IF(B15&lt;=C15,"سليم","مراجعة")</f>
        <v>سليم</v>
      </c>
      <c r="E15" s="62" t="s">
        <v>618</v>
      </c>
    </row>
    <row r="16" customFormat="false" ht="15" hidden="false" customHeight="false" outlineLevel="0" collapsed="false">
      <c r="A16" s="61" t="s">
        <v>619</v>
      </c>
      <c r="B16" s="42" t="n">
        <f aca="false">COUNTIF(d_Profit,"&lt;0")</f>
        <v>0</v>
      </c>
      <c r="C16" s="42" t="n">
        <v>0</v>
      </c>
      <c r="D16" s="43" t="str">
        <f aca="false">IF(B16&lt;=C16,"سليم","مراجعة")</f>
        <v>سليم</v>
      </c>
      <c r="E16" s="62" t="s">
        <v>620</v>
      </c>
    </row>
    <row r="17" customFormat="false" ht="15" hidden="false" customHeight="false" outlineLevel="0" collapsed="false">
      <c r="A17" s="61" t="s">
        <v>621</v>
      </c>
      <c r="B17" s="42" t="n">
        <f aca="false">'الإحصاء والتنبؤ'!B24</f>
        <v>105</v>
      </c>
      <c r="C17" s="42" t="n">
        <f aca="false">ROUND(0.1*B6,0)</f>
        <v>150</v>
      </c>
      <c r="D17" s="43" t="str">
        <f aca="false">IF(B17&lt;=C17,"سليم","مراجعة")</f>
        <v>سليم</v>
      </c>
      <c r="E17" s="62" t="s">
        <v>622</v>
      </c>
    </row>
    <row r="19" customFormat="false" ht="21.75" hidden="false" customHeight="true" outlineLevel="0" collapsed="false">
      <c r="A19" s="7" t="s">
        <v>623</v>
      </c>
      <c r="B19" s="8"/>
      <c r="C19" s="8"/>
      <c r="D19" s="8"/>
      <c r="E19" s="8"/>
    </row>
    <row r="20" customFormat="false" ht="25.5" hidden="false" customHeight="true" outlineLevel="0" collapsed="false">
      <c r="A20" s="9" t="s">
        <v>107</v>
      </c>
      <c r="B20" s="9" t="s">
        <v>113</v>
      </c>
      <c r="C20" s="9" t="s">
        <v>624</v>
      </c>
      <c r="D20" s="9" t="s">
        <v>476</v>
      </c>
      <c r="E20" s="9" t="s">
        <v>9</v>
      </c>
    </row>
    <row r="21" customFormat="false" ht="15" hidden="false" customHeight="false" outlineLevel="0" collapsed="false">
      <c r="A21" s="61" t="s">
        <v>625</v>
      </c>
      <c r="B21" s="42" t="n">
        <f aca="false">SUM(d_Rev)</f>
        <v>2136589.5</v>
      </c>
      <c r="C21" s="77" t="n">
        <f aca="false">B21-$B$21</f>
        <v>0</v>
      </c>
      <c r="D21" s="43" t="str">
        <f aca="false">IF(ABS(C21)&lt;=0.01,"سليم","مراجعة")</f>
        <v>سليم</v>
      </c>
      <c r="E21" s="78" t="s">
        <v>45</v>
      </c>
    </row>
    <row r="22" customFormat="false" ht="15" hidden="false" customHeight="false" outlineLevel="0" collapsed="false">
      <c r="A22" s="61" t="s">
        <v>626</v>
      </c>
      <c r="B22" s="42" t="n">
        <f aca="false">'الفئات والمناطق'!B12</f>
        <v>2136589.5</v>
      </c>
      <c r="C22" s="77" t="n">
        <f aca="false">B22-$B$21</f>
        <v>0</v>
      </c>
      <c r="D22" s="43" t="str">
        <f aca="false">IF(ABS(C22)&lt;=0.01,"سليم","مراجعة")</f>
        <v>سليم</v>
      </c>
      <c r="E22" s="79" t="s">
        <v>21</v>
      </c>
    </row>
    <row r="23" customFormat="false" ht="15" hidden="false" customHeight="false" outlineLevel="0" collapsed="false">
      <c r="A23" s="61" t="s">
        <v>627</v>
      </c>
      <c r="B23" s="42" t="n">
        <f aca="false">'الفئات والمناطق'!B20</f>
        <v>2136589.5</v>
      </c>
      <c r="C23" s="77" t="n">
        <f aca="false">B23-$B$21</f>
        <v>0</v>
      </c>
      <c r="D23" s="43" t="str">
        <f aca="false">IF(ABS(C23)&lt;=0.01,"سليم","مراجعة")</f>
        <v>سليم</v>
      </c>
      <c r="E23" s="79" t="s">
        <v>21</v>
      </c>
    </row>
    <row r="24" customFormat="false" ht="15" hidden="false" customHeight="false" outlineLevel="0" collapsed="false">
      <c r="A24" s="61" t="s">
        <v>628</v>
      </c>
      <c r="B24" s="42" t="n">
        <f aca="false">'الفئات والمناطق'!B27</f>
        <v>2136589.5</v>
      </c>
      <c r="C24" s="77" t="n">
        <f aca="false">B24-$B$21</f>
        <v>0</v>
      </c>
      <c r="D24" s="43" t="str">
        <f aca="false">IF(ABS(C24)&lt;=0.01,"سليم","مراجعة")</f>
        <v>سليم</v>
      </c>
      <c r="E24" s="79" t="s">
        <v>21</v>
      </c>
    </row>
    <row r="25" customFormat="false" ht="15" hidden="false" customHeight="false" outlineLevel="0" collapsed="false">
      <c r="A25" s="61" t="s">
        <v>629</v>
      </c>
      <c r="B25" s="42" t="n">
        <f aca="false">'تحليل الزمن'!C17</f>
        <v>2136589.5</v>
      </c>
      <c r="C25" s="77" t="n">
        <f aca="false">B25-$B$21</f>
        <v>0</v>
      </c>
      <c r="D25" s="43" t="str">
        <f aca="false">IF(ABS(C25)&lt;=0.01,"سليم","مراجعة")</f>
        <v>سليم</v>
      </c>
      <c r="E25" s="79" t="s">
        <v>18</v>
      </c>
    </row>
    <row r="26" customFormat="false" ht="15" hidden="false" customHeight="false" outlineLevel="0" collapsed="false">
      <c r="A26" s="61" t="s">
        <v>630</v>
      </c>
      <c r="B26" s="42" t="n">
        <f aca="false">'تحليل المنتجات'!E30</f>
        <v>2136589.5</v>
      </c>
      <c r="C26" s="77" t="n">
        <f aca="false">B26-$B$21</f>
        <v>0</v>
      </c>
      <c r="D26" s="43" t="str">
        <f aca="false">IF(ABS(C26)&lt;=0.01,"سليم","مراجعة")</f>
        <v>سليم</v>
      </c>
      <c r="E26" s="79" t="s">
        <v>24</v>
      </c>
    </row>
    <row r="27" customFormat="false" ht="15" hidden="false" customHeight="false" outlineLevel="0" collapsed="false">
      <c r="A27" s="61" t="s">
        <v>631</v>
      </c>
      <c r="B27" s="42" t="n">
        <f aca="false">SUM('تحليل العملاء'!F21:F220)</f>
        <v>2136589.5</v>
      </c>
      <c r="C27" s="77" t="n">
        <f aca="false">B27-$B$21</f>
        <v>0</v>
      </c>
      <c r="D27" s="43" t="str">
        <f aca="false">IF(ABS(C27)&lt;=0.01,"سليم","مراجعة")</f>
        <v>سليم</v>
      </c>
      <c r="E27" s="79" t="s">
        <v>27</v>
      </c>
    </row>
    <row r="28" customFormat="false" ht="15" hidden="false" customHeight="false" outlineLevel="0" collapsed="false">
      <c r="A28" s="61" t="s">
        <v>632</v>
      </c>
      <c r="B28" s="42" t="n">
        <f aca="false">الموظفون!E15</f>
        <v>2136589.5</v>
      </c>
      <c r="C28" s="77" t="n">
        <f aca="false">B28-$B$21</f>
        <v>0</v>
      </c>
      <c r="D28" s="43" t="str">
        <f aca="false">IF(ABS(C28)&lt;=0.01,"سليم","مراجعة")</f>
        <v>سليم</v>
      </c>
      <c r="E28" s="79" t="s">
        <v>30</v>
      </c>
    </row>
  </sheetData>
  <mergeCells count="2">
    <mergeCell ref="A1:E1"/>
    <mergeCell ref="B2:E2"/>
  </mergeCells>
  <conditionalFormatting sqref="D6:D28">
    <cfRule type="cellIs" priority="2" operator="equal" aboveAverage="0" equalAverage="0" bottom="0" percent="0" rank="0" text="" dxfId="25">
      <formula>"سليم"</formula>
    </cfRule>
    <cfRule type="cellIs" priority="3" operator="equal" aboveAverage="0" equalAverage="0" bottom="0" percent="0" rank="0" text="" dxfId="26">
      <formula>"مراجعة"</formula>
    </cfRule>
  </conditionalFormatting>
  <hyperlinks>
    <hyperlink ref="A2" location="'الفهرس'!A1" display="↩ الفهرس"/>
    <hyperlink ref="E22" location="'الفئات والمناطق'!A1" display="الفئات والمناطق"/>
    <hyperlink ref="E23" location="'الفئات والمناطق'!A1" display="الفئات والمناطق"/>
    <hyperlink ref="E24" location="'الفئات والمناطق'!A1" display="الفئات والمناطق"/>
    <hyperlink ref="E25" location="'تحليل الزمن'!A1" display="تحليل الزمن"/>
    <hyperlink ref="E26" location="'تحليل المنتجات'!A1" display="تحليل المنتجات"/>
    <hyperlink ref="E27" location="'تحليل العملاء'!A1" display="تحليل العملاء"/>
    <hyperlink ref="E28" location="'الموظفون'!A1" display="الموظفون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true"/>
  </sheetPr>
  <dimension ref="A1:W150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6" min="5" style="0" width="11"/>
    <col collapsed="false" customWidth="true" hidden="false" outlineLevel="0" max="7" min="7" style="0" width="18"/>
    <col collapsed="false" customWidth="true" hidden="false" outlineLevel="0" max="8" min="8" style="0" width="17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3"/>
    <col collapsed="false" customWidth="true" hidden="false" outlineLevel="0" max="18" min="16" style="0" width="12"/>
    <col collapsed="false" customWidth="true" hidden="false" outlineLevel="0" max="20" min="19" style="0" width="10"/>
    <col collapsed="false" customWidth="true" hidden="false" outlineLevel="0" max="21" min="21" style="0" width="14"/>
  </cols>
  <sheetData>
    <row r="1" customFormat="false" ht="33.75" hidden="false" customHeight="true" outlineLevel="0" collapsed="false">
      <c r="A1" s="9" t="s">
        <v>633</v>
      </c>
      <c r="B1" s="9" t="s">
        <v>634</v>
      </c>
      <c r="C1" s="9" t="s">
        <v>223</v>
      </c>
      <c r="D1" s="9" t="s">
        <v>635</v>
      </c>
      <c r="E1" s="9" t="s">
        <v>75</v>
      </c>
      <c r="F1" s="9" t="s">
        <v>157</v>
      </c>
      <c r="G1" s="9" t="s">
        <v>158</v>
      </c>
      <c r="H1" s="9" t="s">
        <v>77</v>
      </c>
      <c r="I1" s="9" t="s">
        <v>435</v>
      </c>
      <c r="J1" s="9" t="s">
        <v>78</v>
      </c>
      <c r="K1" s="9" t="s">
        <v>636</v>
      </c>
      <c r="L1" s="9" t="s">
        <v>637</v>
      </c>
      <c r="M1" s="9" t="s">
        <v>638</v>
      </c>
      <c r="N1" s="9" t="s">
        <v>476</v>
      </c>
      <c r="O1" s="9" t="s">
        <v>639</v>
      </c>
      <c r="P1" s="9" t="s">
        <v>640</v>
      </c>
      <c r="Q1" s="9" t="s">
        <v>89</v>
      </c>
      <c r="R1" s="9" t="s">
        <v>641</v>
      </c>
      <c r="S1" s="9" t="s">
        <v>126</v>
      </c>
      <c r="T1" s="9" t="s">
        <v>114</v>
      </c>
      <c r="U1" s="9" t="s">
        <v>642</v>
      </c>
      <c r="W1" s="80" t="s">
        <v>1</v>
      </c>
    </row>
    <row r="2" customFormat="false" ht="15" hidden="false" customHeight="false" outlineLevel="0" collapsed="false">
      <c r="A2" s="81" t="s">
        <v>643</v>
      </c>
      <c r="B2" s="82" t="n">
        <v>45931</v>
      </c>
      <c r="C2" s="81" t="s">
        <v>270</v>
      </c>
      <c r="D2" s="83" t="str">
        <f aca="false">IFERROR(INDEX(c_Name,MATCH($C2,c_ID,0)),"غير معرّف")</f>
        <v>ريم التميمي</v>
      </c>
      <c r="E2" s="83" t="str">
        <f aca="false">IFERROR(INDEX(c_Region,MATCH($C2,c_ID,0)),"غير معرّف")</f>
        <v>الشرقية</v>
      </c>
      <c r="F2" s="81" t="s">
        <v>169</v>
      </c>
      <c r="G2" s="83" t="str">
        <f aca="false">IFERROR(INDEX(p_Name,MATCH($F2,p_ID,0)),"غير معرّف")</f>
        <v>خلاط</v>
      </c>
      <c r="H2" s="83" t="str">
        <f aca="false">IFERROR(INDEX(p_Cat,MATCH($F2,p_ID,0)),"غير معرّف")</f>
        <v>أجهزة منزلية</v>
      </c>
      <c r="I2" s="81" t="s">
        <v>463</v>
      </c>
      <c r="J2" s="81" t="s">
        <v>93</v>
      </c>
      <c r="K2" s="81" t="n">
        <v>2</v>
      </c>
      <c r="L2" s="84" t="n">
        <f aca="false">IFERROR(INDEX(p_Price,MATCH($F2,p_ID,0)),0)</f>
        <v>300</v>
      </c>
      <c r="M2" s="85" t="n">
        <v>0</v>
      </c>
      <c r="N2" s="81" t="s">
        <v>644</v>
      </c>
      <c r="O2" s="84" t="n">
        <f aca="false">IF($N2="مرتجع",0,K2*L2*(1-M2))</f>
        <v>600</v>
      </c>
      <c r="P2" s="84" t="n">
        <f aca="false">IF($N2="مرتجع",0,K2*IFERROR(INDEX(p_Cost,MATCH($F2,p_ID,0)),0))</f>
        <v>350</v>
      </c>
      <c r="Q2" s="84" t="n">
        <f aca="false">O2-P2</f>
        <v>250</v>
      </c>
      <c r="R2" s="86" t="n">
        <f aca="false">DATE(YEAR(B2),MONTH(B2),1)</f>
        <v>45931</v>
      </c>
      <c r="S2" s="83" t="str">
        <f aca="false">YEAR(B2)&amp;"-Q"&amp;ROUNDUP(MONTH(B2)/3,0)</f>
        <v>2025-Q4</v>
      </c>
      <c r="T2" s="87" t="n">
        <f aca="false">IF(O2&gt;0,Q2/O2,"")</f>
        <v>0.416666666666667</v>
      </c>
      <c r="U2" s="84" t="n">
        <f aca="false">IF(O2&gt;0,O2,"")</f>
        <v>600</v>
      </c>
    </row>
    <row r="3" customFormat="false" ht="15" hidden="false" customHeight="false" outlineLevel="0" collapsed="false">
      <c r="A3" s="81" t="s">
        <v>645</v>
      </c>
      <c r="B3" s="82" t="n">
        <v>45932</v>
      </c>
      <c r="C3" s="81" t="s">
        <v>357</v>
      </c>
      <c r="D3" s="83" t="str">
        <f aca="false">IFERROR(INDEX(c_Name,MATCH($C3,c_ID,0)),"غير معرّف")</f>
        <v>منى الحربي</v>
      </c>
      <c r="E3" s="83" t="str">
        <f aca="false">IFERROR(INDEX(c_Region,MATCH($C3,c_ID,0)),"غير معرّف")</f>
        <v>الوسطى</v>
      </c>
      <c r="F3" s="81" t="s">
        <v>166</v>
      </c>
      <c r="G3" s="83" t="str">
        <f aca="false">IFERROR(INDEX(p_Name,MATCH($F3,p_ID,0)),"غير معرّف")</f>
        <v>سماعات لاسلكية</v>
      </c>
      <c r="H3" s="83" t="str">
        <f aca="false">IFERROR(INDEX(p_Cat,MATCH($F3,p_ID,0)),"غير معرّف")</f>
        <v>إلكترونيات</v>
      </c>
      <c r="I3" s="81" t="s">
        <v>446</v>
      </c>
      <c r="J3" s="81" t="s">
        <v>93</v>
      </c>
      <c r="K3" s="81" t="n">
        <v>2</v>
      </c>
      <c r="L3" s="84" t="n">
        <f aca="false">IFERROR(INDEX(p_Price,MATCH($F3,p_ID,0)),0)</f>
        <v>450</v>
      </c>
      <c r="M3" s="85" t="n">
        <v>0</v>
      </c>
      <c r="N3" s="81" t="s">
        <v>644</v>
      </c>
      <c r="O3" s="84" t="n">
        <f aca="false">IF($N3="مرتجع",0,K3*L3*(1-M3))</f>
        <v>900</v>
      </c>
      <c r="P3" s="84" t="n">
        <f aca="false">IF($N3="مرتجع",0,K3*IFERROR(INDEX(p_Cost,MATCH($F3,p_ID,0)),0))</f>
        <v>520</v>
      </c>
      <c r="Q3" s="84" t="n">
        <f aca="false">O3-P3</f>
        <v>380</v>
      </c>
      <c r="R3" s="86" t="n">
        <f aca="false">DATE(YEAR(B3),MONTH(B3),1)</f>
        <v>45931</v>
      </c>
      <c r="S3" s="83" t="str">
        <f aca="false">YEAR(B3)&amp;"-Q"&amp;ROUNDUP(MONTH(B3)/3,0)</f>
        <v>2025-Q4</v>
      </c>
      <c r="T3" s="87" t="n">
        <f aca="false">IF(O3&gt;0,Q3/O3,"")</f>
        <v>0.422222222222222</v>
      </c>
      <c r="U3" s="84" t="n">
        <f aca="false">IF(O3&gt;0,O3,"")</f>
        <v>900</v>
      </c>
    </row>
    <row r="4" customFormat="false" ht="15" hidden="false" customHeight="false" outlineLevel="0" collapsed="false">
      <c r="A4" s="81" t="s">
        <v>646</v>
      </c>
      <c r="B4" s="82" t="n">
        <v>45932</v>
      </c>
      <c r="C4" s="81" t="s">
        <v>428</v>
      </c>
      <c r="D4" s="83" t="str">
        <f aca="false">IFERROR(INDEX(c_Name,MATCH($C4,c_ID,0)),"غير معرّف")</f>
        <v>عبدالله القحطاني</v>
      </c>
      <c r="E4" s="83" t="str">
        <f aca="false">IFERROR(INDEX(c_Region,MATCH($C4,c_ID,0)),"غير معرّف")</f>
        <v>الوسطى</v>
      </c>
      <c r="F4" s="81" t="s">
        <v>175</v>
      </c>
      <c r="G4" s="83" t="str">
        <f aca="false">IFERROR(INDEX(p_Name,MATCH($F4,p_ID,0)),"غير معرّف")</f>
        <v>رف كتب</v>
      </c>
      <c r="H4" s="83" t="str">
        <f aca="false">IFERROR(INDEX(p_Cat,MATCH($F4,p_ID,0)),"غير معرّف")</f>
        <v>أثاث</v>
      </c>
      <c r="I4" s="81" t="s">
        <v>446</v>
      </c>
      <c r="J4" s="81" t="s">
        <v>93</v>
      </c>
      <c r="K4" s="81" t="n">
        <v>1</v>
      </c>
      <c r="L4" s="84" t="n">
        <f aca="false">IFERROR(INDEX(p_Price,MATCH($F4,p_ID,0)),0)</f>
        <v>400</v>
      </c>
      <c r="M4" s="85" t="n">
        <v>0</v>
      </c>
      <c r="N4" s="81" t="s">
        <v>644</v>
      </c>
      <c r="O4" s="84" t="n">
        <f aca="false">IF($N4="مرتجع",0,K4*L4*(1-M4))</f>
        <v>400</v>
      </c>
      <c r="P4" s="84" t="n">
        <f aca="false">IF($N4="مرتجع",0,K4*IFERROR(INDEX(p_Cost,MATCH($F4,p_ID,0)),0))</f>
        <v>220</v>
      </c>
      <c r="Q4" s="84" t="n">
        <f aca="false">O4-P4</f>
        <v>180</v>
      </c>
      <c r="R4" s="86" t="n">
        <f aca="false">DATE(YEAR(B4),MONTH(B4),1)</f>
        <v>45931</v>
      </c>
      <c r="S4" s="83" t="str">
        <f aca="false">YEAR(B4)&amp;"-Q"&amp;ROUNDUP(MONTH(B4)/3,0)</f>
        <v>2025-Q4</v>
      </c>
      <c r="T4" s="87" t="n">
        <f aca="false">IF(O4&gt;0,Q4/O4,"")</f>
        <v>0.45</v>
      </c>
      <c r="U4" s="84" t="n">
        <f aca="false">IF(O4&gt;0,O4,"")</f>
        <v>400</v>
      </c>
    </row>
    <row r="5" customFormat="false" ht="15" hidden="false" customHeight="false" outlineLevel="0" collapsed="false">
      <c r="A5" s="81" t="s">
        <v>647</v>
      </c>
      <c r="B5" s="82" t="n">
        <v>45932</v>
      </c>
      <c r="C5" s="81" t="s">
        <v>428</v>
      </c>
      <c r="D5" s="83" t="str">
        <f aca="false">IFERROR(INDEX(c_Name,MATCH($C5,c_ID,0)),"غير معرّف")</f>
        <v>عبدالله القحطاني</v>
      </c>
      <c r="E5" s="83" t="str">
        <f aca="false">IFERROR(INDEX(c_Region,MATCH($C5,c_ID,0)),"غير معرّف")</f>
        <v>الوسطى</v>
      </c>
      <c r="F5" s="81" t="s">
        <v>175</v>
      </c>
      <c r="G5" s="83" t="str">
        <f aca="false">IFERROR(INDEX(p_Name,MATCH($F5,p_ID,0)),"غير معرّف")</f>
        <v>رف كتب</v>
      </c>
      <c r="H5" s="83" t="str">
        <f aca="false">IFERROR(INDEX(p_Cat,MATCH($F5,p_ID,0)),"غير معرّف")</f>
        <v>أثاث</v>
      </c>
      <c r="I5" s="81" t="s">
        <v>443</v>
      </c>
      <c r="J5" s="81" t="s">
        <v>93</v>
      </c>
      <c r="K5" s="81" t="n">
        <v>1</v>
      </c>
      <c r="L5" s="84" t="n">
        <f aca="false">IFERROR(INDEX(p_Price,MATCH($F5,p_ID,0)),0)</f>
        <v>400</v>
      </c>
      <c r="M5" s="85" t="n">
        <v>0</v>
      </c>
      <c r="N5" s="81" t="s">
        <v>644</v>
      </c>
      <c r="O5" s="84" t="n">
        <f aca="false">IF($N5="مرتجع",0,K5*L5*(1-M5))</f>
        <v>400</v>
      </c>
      <c r="P5" s="84" t="n">
        <f aca="false">IF($N5="مرتجع",0,K5*IFERROR(INDEX(p_Cost,MATCH($F5,p_ID,0)),0))</f>
        <v>220</v>
      </c>
      <c r="Q5" s="84" t="n">
        <f aca="false">O5-P5</f>
        <v>180</v>
      </c>
      <c r="R5" s="86" t="n">
        <f aca="false">DATE(YEAR(B5),MONTH(B5),1)</f>
        <v>45931</v>
      </c>
      <c r="S5" s="83" t="str">
        <f aca="false">YEAR(B5)&amp;"-Q"&amp;ROUNDUP(MONTH(B5)/3,0)</f>
        <v>2025-Q4</v>
      </c>
      <c r="T5" s="87" t="n">
        <f aca="false">IF(O5&gt;0,Q5/O5,"")</f>
        <v>0.45</v>
      </c>
      <c r="U5" s="84" t="n">
        <f aca="false">IF(O5&gt;0,O5,"")</f>
        <v>400</v>
      </c>
    </row>
    <row r="6" customFormat="false" ht="15" hidden="false" customHeight="false" outlineLevel="0" collapsed="false">
      <c r="A6" s="81" t="s">
        <v>648</v>
      </c>
      <c r="B6" s="82" t="n">
        <v>45932</v>
      </c>
      <c r="C6" s="81" t="s">
        <v>361</v>
      </c>
      <c r="D6" s="83" t="str">
        <f aca="false">IFERROR(INDEX(c_Name,MATCH($C6,c_ID,0)),"غير معرّف")</f>
        <v>دانة المطيري</v>
      </c>
      <c r="E6" s="83" t="str">
        <f aca="false">IFERROR(INDEX(c_Region,MATCH($C6,c_ID,0)),"غير معرّف")</f>
        <v>الشرقية</v>
      </c>
      <c r="F6" s="81" t="s">
        <v>177</v>
      </c>
      <c r="G6" s="83" t="str">
        <f aca="false">IFERROR(INDEX(p_Name,MATCH($F6,p_ID,0)),"غير معرّف")</f>
        <v>ورق A4 (صندوق)</v>
      </c>
      <c r="H6" s="83" t="str">
        <f aca="false">IFERROR(INDEX(p_Cat,MATCH($F6,p_ID,0)),"غير معرّف")</f>
        <v>مستلزمات مكتبية</v>
      </c>
      <c r="I6" s="81" t="s">
        <v>461</v>
      </c>
      <c r="J6" s="81" t="s">
        <v>93</v>
      </c>
      <c r="K6" s="81" t="n">
        <v>2</v>
      </c>
      <c r="L6" s="84" t="n">
        <f aca="false">IFERROR(INDEX(p_Price,MATCH($F6,p_ID,0)),0)</f>
        <v>140</v>
      </c>
      <c r="M6" s="85" t="n">
        <v>0.1</v>
      </c>
      <c r="N6" s="81" t="s">
        <v>644</v>
      </c>
      <c r="O6" s="84" t="n">
        <f aca="false">IF($N6="مرتجع",0,K6*L6*(1-M6))</f>
        <v>252</v>
      </c>
      <c r="P6" s="84" t="n">
        <f aca="false">IF($N6="مرتجع",0,K6*IFERROR(INDEX(p_Cost,MATCH($F6,p_ID,0)),0))</f>
        <v>190</v>
      </c>
      <c r="Q6" s="84" t="n">
        <f aca="false">O6-P6</f>
        <v>62</v>
      </c>
      <c r="R6" s="86" t="n">
        <f aca="false">DATE(YEAR(B6),MONTH(B6),1)</f>
        <v>45931</v>
      </c>
      <c r="S6" s="83" t="str">
        <f aca="false">YEAR(B6)&amp;"-Q"&amp;ROUNDUP(MONTH(B6)/3,0)</f>
        <v>2025-Q4</v>
      </c>
      <c r="T6" s="87" t="n">
        <f aca="false">IF(O6&gt;0,Q6/O6,"")</f>
        <v>0.246031746031746</v>
      </c>
      <c r="U6" s="84" t="n">
        <f aca="false">IF(O6&gt;0,O6,"")</f>
        <v>252</v>
      </c>
    </row>
    <row r="7" customFormat="false" ht="15" hidden="false" customHeight="false" outlineLevel="0" collapsed="false">
      <c r="A7" s="81" t="s">
        <v>649</v>
      </c>
      <c r="B7" s="82" t="n">
        <v>45932</v>
      </c>
      <c r="C7" s="81" t="s">
        <v>405</v>
      </c>
      <c r="D7" s="83" t="str">
        <f aca="false">IFERROR(INDEX(c_Name,MATCH($C7,c_ID,0)),"غير معرّف")</f>
        <v>طارق التميمي</v>
      </c>
      <c r="E7" s="83" t="str">
        <f aca="false">IFERROR(INDEX(c_Region,MATCH($C7,c_ID,0)),"غير معرّف")</f>
        <v>الوسطى</v>
      </c>
      <c r="F7" s="81" t="s">
        <v>179</v>
      </c>
      <c r="G7" s="83" t="str">
        <f aca="false">IFERROR(INDEX(p_Name,MATCH($F7,p_ID,0)),"غير معرّف")</f>
        <v>طقم أدوات مكتبية</v>
      </c>
      <c r="H7" s="83" t="str">
        <f aca="false">IFERROR(INDEX(p_Cat,MATCH($F7,p_ID,0)),"غير معرّف")</f>
        <v>مستلزمات مكتبية</v>
      </c>
      <c r="I7" s="81" t="s">
        <v>446</v>
      </c>
      <c r="J7" s="81" t="s">
        <v>93</v>
      </c>
      <c r="K7" s="81" t="n">
        <v>8</v>
      </c>
      <c r="L7" s="84" t="n">
        <f aca="false">IFERROR(INDEX(p_Price,MATCH($F7,p_ID,0)),0)</f>
        <v>90</v>
      </c>
      <c r="M7" s="85" t="n">
        <v>0.05</v>
      </c>
      <c r="N7" s="81" t="s">
        <v>650</v>
      </c>
      <c r="O7" s="84" t="n">
        <f aca="false">IF($N7="مرتجع",0,K7*L7*(1-M7))</f>
        <v>0</v>
      </c>
      <c r="P7" s="84" t="n">
        <f aca="false">IF($N7="مرتجع",0,K7*IFERROR(INDEX(p_Cost,MATCH($F7,p_ID,0)),0))</f>
        <v>0</v>
      </c>
      <c r="Q7" s="84" t="n">
        <f aca="false">O7-P7</f>
        <v>0</v>
      </c>
      <c r="R7" s="86" t="n">
        <f aca="false">DATE(YEAR(B7),MONTH(B7),1)</f>
        <v>45931</v>
      </c>
      <c r="S7" s="83" t="str">
        <f aca="false">YEAR(B7)&amp;"-Q"&amp;ROUNDUP(MONTH(B7)/3,0)</f>
        <v>2025-Q4</v>
      </c>
      <c r="T7" s="87" t="str">
        <f aca="false">IF(O7&gt;0,Q7/O7,"")</f>
        <v/>
      </c>
      <c r="U7" s="84" t="str">
        <f aca="false">IF(O7&gt;0,O7,"")</f>
        <v/>
      </c>
    </row>
    <row r="8" customFormat="false" ht="15" hidden="false" customHeight="false" outlineLevel="0" collapsed="false">
      <c r="A8" s="81" t="s">
        <v>651</v>
      </c>
      <c r="B8" s="82" t="n">
        <v>45933</v>
      </c>
      <c r="C8" s="81" t="s">
        <v>311</v>
      </c>
      <c r="D8" s="83" t="str">
        <f aca="false">IFERROR(INDEX(c_Name,MATCH($C8,c_ID,0)),"غير معرّف")</f>
        <v>لمى الحسيني</v>
      </c>
      <c r="E8" s="83" t="str">
        <f aca="false">IFERROR(INDEX(c_Region,MATCH($C8,c_ID,0)),"غير معرّف")</f>
        <v>الوسطى</v>
      </c>
      <c r="F8" s="81" t="s">
        <v>182</v>
      </c>
      <c r="G8" s="83" t="str">
        <f aca="false">IFERROR(INDEX(p_Name,MATCH($F8,p_ID,0)),"غير معرّف")</f>
        <v>طقم أوزان</v>
      </c>
      <c r="H8" s="83" t="str">
        <f aca="false">IFERROR(INDEX(p_Cat,MATCH($F8,p_ID,0)),"غير معرّف")</f>
        <v>رياضة</v>
      </c>
      <c r="I8" s="81" t="s">
        <v>446</v>
      </c>
      <c r="J8" s="81" t="s">
        <v>91</v>
      </c>
      <c r="K8" s="81" t="n">
        <v>1</v>
      </c>
      <c r="L8" s="84" t="n">
        <f aca="false">IFERROR(INDEX(p_Price,MATCH($F8,p_ID,0)),0)</f>
        <v>380</v>
      </c>
      <c r="M8" s="85" t="n">
        <v>0</v>
      </c>
      <c r="N8" s="81" t="s">
        <v>644</v>
      </c>
      <c r="O8" s="84" t="n">
        <f aca="false">IF($N8="مرتجع",0,K8*L8*(1-M8))</f>
        <v>380</v>
      </c>
      <c r="P8" s="84" t="n">
        <f aca="false">IF($N8="مرتجع",0,K8*IFERROR(INDEX(p_Cost,MATCH($F8,p_ID,0)),0))</f>
        <v>210</v>
      </c>
      <c r="Q8" s="84" t="n">
        <f aca="false">O8-P8</f>
        <v>170</v>
      </c>
      <c r="R8" s="86" t="n">
        <f aca="false">DATE(YEAR(B8),MONTH(B8),1)</f>
        <v>45931</v>
      </c>
      <c r="S8" s="83" t="str">
        <f aca="false">YEAR(B8)&amp;"-Q"&amp;ROUNDUP(MONTH(B8)/3,0)</f>
        <v>2025-Q4</v>
      </c>
      <c r="T8" s="87" t="n">
        <f aca="false">IF(O8&gt;0,Q8/O8,"")</f>
        <v>0.447368421052632</v>
      </c>
      <c r="U8" s="84" t="n">
        <f aca="false">IF(O8&gt;0,O8,"")</f>
        <v>380</v>
      </c>
    </row>
    <row r="9" customFormat="false" ht="15" hidden="false" customHeight="false" outlineLevel="0" collapsed="false">
      <c r="A9" s="81" t="s">
        <v>652</v>
      </c>
      <c r="B9" s="82" t="n">
        <v>45933</v>
      </c>
      <c r="C9" s="81" t="s">
        <v>382</v>
      </c>
      <c r="D9" s="83" t="str">
        <f aca="false">IFERROR(INDEX(c_Name,MATCH($C9,c_ID,0)),"غير معرّف")</f>
        <v>دانة العتيبي</v>
      </c>
      <c r="E9" s="83" t="str">
        <f aca="false">IFERROR(INDEX(c_Region,MATCH($C9,c_ID,0)),"غير معرّف")</f>
        <v>الشرقية</v>
      </c>
      <c r="F9" s="81" t="s">
        <v>166</v>
      </c>
      <c r="G9" s="83" t="str">
        <f aca="false">IFERROR(INDEX(p_Name,MATCH($F9,p_ID,0)),"غير معرّف")</f>
        <v>سماعات لاسلكية</v>
      </c>
      <c r="H9" s="83" t="str">
        <f aca="false">IFERROR(INDEX(p_Cat,MATCH($F9,p_ID,0)),"غير معرّف")</f>
        <v>إلكترونيات</v>
      </c>
      <c r="I9" s="81" t="s">
        <v>463</v>
      </c>
      <c r="J9" s="81" t="s">
        <v>91</v>
      </c>
      <c r="K9" s="81" t="n">
        <v>19</v>
      </c>
      <c r="L9" s="84" t="n">
        <f aca="false">IFERROR(INDEX(p_Price,MATCH($F9,p_ID,0)),0)</f>
        <v>450</v>
      </c>
      <c r="M9" s="85" t="n">
        <v>0.05</v>
      </c>
      <c r="N9" s="81" t="s">
        <v>644</v>
      </c>
      <c r="O9" s="84" t="n">
        <f aca="false">IF($N9="مرتجع",0,K9*L9*(1-M9))</f>
        <v>8122.5</v>
      </c>
      <c r="P9" s="84" t="n">
        <f aca="false">IF($N9="مرتجع",0,K9*IFERROR(INDEX(p_Cost,MATCH($F9,p_ID,0)),0))</f>
        <v>4940</v>
      </c>
      <c r="Q9" s="84" t="n">
        <f aca="false">O9-P9</f>
        <v>3182.5</v>
      </c>
      <c r="R9" s="86" t="n">
        <f aca="false">DATE(YEAR(B9),MONTH(B9),1)</f>
        <v>45931</v>
      </c>
      <c r="S9" s="83" t="str">
        <f aca="false">YEAR(B9)&amp;"-Q"&amp;ROUNDUP(MONTH(B9)/3,0)</f>
        <v>2025-Q4</v>
      </c>
      <c r="T9" s="87" t="n">
        <f aca="false">IF(O9&gt;0,Q9/O9,"")</f>
        <v>0.391812865497076</v>
      </c>
      <c r="U9" s="84" t="n">
        <f aca="false">IF(O9&gt;0,O9,"")</f>
        <v>8122.5</v>
      </c>
    </row>
    <row r="10" customFormat="false" ht="15" hidden="false" customHeight="false" outlineLevel="0" collapsed="false">
      <c r="A10" s="81" t="s">
        <v>653</v>
      </c>
      <c r="B10" s="82" t="n">
        <v>45933</v>
      </c>
      <c r="C10" s="81" t="s">
        <v>368</v>
      </c>
      <c r="D10" s="83" t="str">
        <f aca="false">IFERROR(INDEX(c_Name,MATCH($C10,c_ID,0)),"غير معرّف")</f>
        <v>خالد الحربي</v>
      </c>
      <c r="E10" s="83" t="str">
        <f aca="false">IFERROR(INDEX(c_Region,MATCH($C10,c_ID,0)),"غير معرّف")</f>
        <v>الغربية</v>
      </c>
      <c r="F10" s="81" t="s">
        <v>180</v>
      </c>
      <c r="G10" s="83" t="str">
        <f aca="false">IFERROR(INDEX(p_Name,MATCH($F10,p_ID,0)),"غير معرّف")</f>
        <v>جهاز مشي</v>
      </c>
      <c r="H10" s="83" t="str">
        <f aca="false">IFERROR(INDEX(p_Cat,MATCH($F10,p_ID,0)),"غير معرّف")</f>
        <v>رياضة</v>
      </c>
      <c r="I10" s="81" t="s">
        <v>455</v>
      </c>
      <c r="J10" s="81" t="s">
        <v>91</v>
      </c>
      <c r="K10" s="81" t="n">
        <v>1</v>
      </c>
      <c r="L10" s="84" t="n">
        <f aca="false">IFERROR(INDEX(p_Price,MATCH($F10,p_ID,0)),0)</f>
        <v>3200</v>
      </c>
      <c r="M10" s="85" t="n">
        <v>0</v>
      </c>
      <c r="N10" s="81" t="s">
        <v>644</v>
      </c>
      <c r="O10" s="84" t="n">
        <f aca="false">IF($N10="مرتجع",0,K10*L10*(1-M10))</f>
        <v>3200</v>
      </c>
      <c r="P10" s="84" t="n">
        <f aca="false">IF($N10="مرتجع",0,K10*IFERROR(INDEX(p_Cost,MATCH($F10,p_ID,0)),0))</f>
        <v>2200</v>
      </c>
      <c r="Q10" s="84" t="n">
        <f aca="false">O10-P10</f>
        <v>1000</v>
      </c>
      <c r="R10" s="86" t="n">
        <f aca="false">DATE(YEAR(B10),MONTH(B10),1)</f>
        <v>45931</v>
      </c>
      <c r="S10" s="83" t="str">
        <f aca="false">YEAR(B10)&amp;"-Q"&amp;ROUNDUP(MONTH(B10)/3,0)</f>
        <v>2025-Q4</v>
      </c>
      <c r="T10" s="87" t="n">
        <f aca="false">IF(O10&gt;0,Q10/O10,"")</f>
        <v>0.3125</v>
      </c>
      <c r="U10" s="84" t="n">
        <f aca="false">IF(O10&gt;0,O10,"")</f>
        <v>3200</v>
      </c>
    </row>
    <row r="11" customFormat="false" ht="15" hidden="false" customHeight="false" outlineLevel="0" collapsed="false">
      <c r="A11" s="81" t="s">
        <v>654</v>
      </c>
      <c r="B11" s="82" t="n">
        <v>45933</v>
      </c>
      <c r="C11" s="81" t="s">
        <v>415</v>
      </c>
      <c r="D11" s="83" t="str">
        <f aca="false">IFERROR(INDEX(c_Name,MATCH($C11,c_ID,0)),"غير معرّف")</f>
        <v>سارة القحطاني</v>
      </c>
      <c r="E11" s="83" t="str">
        <f aca="false">IFERROR(INDEX(c_Region,MATCH($C11,c_ID,0)),"غير معرّف")</f>
        <v>الشرقية</v>
      </c>
      <c r="F11" s="81" t="s">
        <v>186</v>
      </c>
      <c r="G11" s="83" t="str">
        <f aca="false">IFERROR(INDEX(p_Name,MATCH($F11,p_ID,0)),"غير معرّف")</f>
        <v>مجفف شعر</v>
      </c>
      <c r="H11" s="83" t="str">
        <f aca="false">IFERROR(INDEX(p_Cat,MATCH($F11,p_ID,0)),"غير معرّف")</f>
        <v>عناية شخصية</v>
      </c>
      <c r="I11" s="81" t="s">
        <v>461</v>
      </c>
      <c r="J11" s="81" t="s">
        <v>93</v>
      </c>
      <c r="K11" s="81" t="n">
        <v>1</v>
      </c>
      <c r="L11" s="84" t="n">
        <f aca="false">IFERROR(INDEX(p_Price,MATCH($F11,p_ID,0)),0)</f>
        <v>280</v>
      </c>
      <c r="M11" s="85" t="n">
        <v>0.05</v>
      </c>
      <c r="N11" s="81" t="s">
        <v>644</v>
      </c>
      <c r="O11" s="84" t="n">
        <f aca="false">IF($N11="مرتجع",0,K11*L11*(1-M11))</f>
        <v>266</v>
      </c>
      <c r="P11" s="84" t="n">
        <f aca="false">IF($N11="مرتجع",0,K11*IFERROR(INDEX(p_Cost,MATCH($F11,p_ID,0)),0))</f>
        <v>140</v>
      </c>
      <c r="Q11" s="84" t="n">
        <f aca="false">O11-P11</f>
        <v>126</v>
      </c>
      <c r="R11" s="86" t="n">
        <f aca="false">DATE(YEAR(B11),MONTH(B11),1)</f>
        <v>45931</v>
      </c>
      <c r="S11" s="83" t="str">
        <f aca="false">YEAR(B11)&amp;"-Q"&amp;ROUNDUP(MONTH(B11)/3,0)</f>
        <v>2025-Q4</v>
      </c>
      <c r="T11" s="87" t="n">
        <f aca="false">IF(O11&gt;0,Q11/O11,"")</f>
        <v>0.473684210526316</v>
      </c>
      <c r="U11" s="84" t="n">
        <f aca="false">IF(O11&gt;0,O11,"")</f>
        <v>266</v>
      </c>
    </row>
    <row r="12" customFormat="false" ht="15" hidden="false" customHeight="false" outlineLevel="0" collapsed="false">
      <c r="A12" s="81" t="s">
        <v>655</v>
      </c>
      <c r="B12" s="82" t="n">
        <v>45934</v>
      </c>
      <c r="C12" s="81" t="s">
        <v>364</v>
      </c>
      <c r="D12" s="83" t="str">
        <f aca="false">IFERROR(INDEX(c_Name,MATCH($C12,c_ID,0)),"غير معرّف")</f>
        <v>عبير الدوسري</v>
      </c>
      <c r="E12" s="83" t="str">
        <f aca="false">IFERROR(INDEX(c_Region,MATCH($C12,c_ID,0)),"غير معرّف")</f>
        <v>الشرقية</v>
      </c>
      <c r="F12" s="81" t="s">
        <v>167</v>
      </c>
      <c r="G12" s="83" t="str">
        <f aca="false">IFERROR(INDEX(p_Name,MATCH($F12,p_ID,0)),"غير معرّف")</f>
        <v>شاشة 27 بوصة</v>
      </c>
      <c r="H12" s="83" t="str">
        <f aca="false">IFERROR(INDEX(p_Cat,MATCH($F12,p_ID,0)),"غير معرّف")</f>
        <v>إلكترونيات</v>
      </c>
      <c r="I12" s="81" t="s">
        <v>461</v>
      </c>
      <c r="J12" s="81" t="s">
        <v>93</v>
      </c>
      <c r="K12" s="81" t="n">
        <v>2</v>
      </c>
      <c r="L12" s="84" t="n">
        <f aca="false">IFERROR(INDEX(p_Price,MATCH($F12,p_ID,0)),0)</f>
        <v>1100</v>
      </c>
      <c r="M12" s="85" t="n">
        <v>0.05</v>
      </c>
      <c r="N12" s="81" t="s">
        <v>644</v>
      </c>
      <c r="O12" s="84" t="n">
        <f aca="false">IF($N12="مرتجع",0,K12*L12*(1-M12))</f>
        <v>2090</v>
      </c>
      <c r="P12" s="84" t="n">
        <f aca="false">IF($N12="مرتجع",0,K12*IFERROR(INDEX(p_Cost,MATCH($F12,p_ID,0)),0))</f>
        <v>1560</v>
      </c>
      <c r="Q12" s="84" t="n">
        <f aca="false">O12-P12</f>
        <v>530</v>
      </c>
      <c r="R12" s="86" t="n">
        <f aca="false">DATE(YEAR(B12),MONTH(B12),1)</f>
        <v>45931</v>
      </c>
      <c r="S12" s="83" t="str">
        <f aca="false">YEAR(B12)&amp;"-Q"&amp;ROUNDUP(MONTH(B12)/3,0)</f>
        <v>2025-Q4</v>
      </c>
      <c r="T12" s="87" t="n">
        <f aca="false">IF(O12&gt;0,Q12/O12,"")</f>
        <v>0.253588516746412</v>
      </c>
      <c r="U12" s="84" t="n">
        <f aca="false">IF(O12&gt;0,O12,"")</f>
        <v>2090</v>
      </c>
    </row>
    <row r="13" customFormat="false" ht="15" hidden="false" customHeight="false" outlineLevel="0" collapsed="false">
      <c r="A13" s="81" t="s">
        <v>656</v>
      </c>
      <c r="B13" s="82" t="n">
        <v>45934</v>
      </c>
      <c r="C13" s="81" t="s">
        <v>322</v>
      </c>
      <c r="D13" s="83" t="str">
        <f aca="false">IFERROR(INDEX(c_Name,MATCH($C13,c_ID,0)),"غير معرّف")</f>
        <v>نورة البلوي</v>
      </c>
      <c r="E13" s="83" t="str">
        <f aca="false">IFERROR(INDEX(c_Region,MATCH($C13,c_ID,0)),"غير معرّف")</f>
        <v>الغربية</v>
      </c>
      <c r="F13" s="81" t="s">
        <v>171</v>
      </c>
      <c r="G13" s="83" t="str">
        <f aca="false">IFERROR(INDEX(p_Name,MATCH($F13,p_ID,0)),"غير معرّف")</f>
        <v>قلاية هوائية</v>
      </c>
      <c r="H13" s="83" t="str">
        <f aca="false">IFERROR(INDEX(p_Cat,MATCH($F13,p_ID,0)),"غير معرّف")</f>
        <v>أجهزة منزلية</v>
      </c>
      <c r="I13" s="81" t="s">
        <v>458</v>
      </c>
      <c r="J13" s="81" t="s">
        <v>91</v>
      </c>
      <c r="K13" s="81" t="n">
        <v>4</v>
      </c>
      <c r="L13" s="84" t="n">
        <f aca="false">IFERROR(INDEX(p_Price,MATCH($F13,p_ID,0)),0)</f>
        <v>520</v>
      </c>
      <c r="M13" s="85" t="n">
        <v>0</v>
      </c>
      <c r="N13" s="81" t="s">
        <v>644</v>
      </c>
      <c r="O13" s="84" t="n">
        <f aca="false">IF($N13="مرتجع",0,K13*L13*(1-M13))</f>
        <v>2080</v>
      </c>
      <c r="P13" s="84" t="n">
        <f aca="false">IF($N13="مرتجع",0,K13*IFERROR(INDEX(p_Cost,MATCH($F13,p_ID,0)),0))</f>
        <v>1200</v>
      </c>
      <c r="Q13" s="84" t="n">
        <f aca="false">O13-P13</f>
        <v>880</v>
      </c>
      <c r="R13" s="86" t="n">
        <f aca="false">DATE(YEAR(B13),MONTH(B13),1)</f>
        <v>45931</v>
      </c>
      <c r="S13" s="83" t="str">
        <f aca="false">YEAR(B13)&amp;"-Q"&amp;ROUNDUP(MONTH(B13)/3,0)</f>
        <v>2025-Q4</v>
      </c>
      <c r="T13" s="87" t="n">
        <f aca="false">IF(O13&gt;0,Q13/O13,"")</f>
        <v>0.423076923076923</v>
      </c>
      <c r="U13" s="84" t="n">
        <f aca="false">IF(O13&gt;0,O13,"")</f>
        <v>2080</v>
      </c>
    </row>
    <row r="14" customFormat="false" ht="15" hidden="false" customHeight="false" outlineLevel="0" collapsed="false">
      <c r="A14" s="81" t="s">
        <v>657</v>
      </c>
      <c r="B14" s="82" t="n">
        <v>45934</v>
      </c>
      <c r="C14" s="81" t="s">
        <v>402</v>
      </c>
      <c r="D14" s="83" t="str">
        <f aca="false">IFERROR(INDEX(c_Name,MATCH($C14,c_ID,0)),"غير معرّف")</f>
        <v>أحمد القحطاني</v>
      </c>
      <c r="E14" s="83" t="str">
        <f aca="false">IFERROR(INDEX(c_Region,MATCH($C14,c_ID,0)),"غير معرّف")</f>
        <v>الوسطى</v>
      </c>
      <c r="F14" s="81" t="s">
        <v>169</v>
      </c>
      <c r="G14" s="83" t="str">
        <f aca="false">IFERROR(INDEX(p_Name,MATCH($F14,p_ID,0)),"غير معرّف")</f>
        <v>خلاط</v>
      </c>
      <c r="H14" s="83" t="str">
        <f aca="false">IFERROR(INDEX(p_Cat,MATCH($F14,p_ID,0)),"غير معرّف")</f>
        <v>أجهزة منزلية</v>
      </c>
      <c r="I14" s="81" t="s">
        <v>446</v>
      </c>
      <c r="J14" s="81" t="s">
        <v>95</v>
      </c>
      <c r="K14" s="81" t="n">
        <v>24</v>
      </c>
      <c r="L14" s="84" t="n">
        <f aca="false">IFERROR(INDEX(p_Price,MATCH($F14,p_ID,0)),0)</f>
        <v>300</v>
      </c>
      <c r="M14" s="85" t="n">
        <v>0.1</v>
      </c>
      <c r="N14" s="81" t="s">
        <v>644</v>
      </c>
      <c r="O14" s="84" t="n">
        <f aca="false">IF($N14="مرتجع",0,K14*L14*(1-M14))</f>
        <v>6480</v>
      </c>
      <c r="P14" s="84" t="n">
        <f aca="false">IF($N14="مرتجع",0,K14*IFERROR(INDEX(p_Cost,MATCH($F14,p_ID,0)),0))</f>
        <v>4200</v>
      </c>
      <c r="Q14" s="84" t="n">
        <f aca="false">O14-P14</f>
        <v>2280</v>
      </c>
      <c r="R14" s="86" t="n">
        <f aca="false">DATE(YEAR(B14),MONTH(B14),1)</f>
        <v>45931</v>
      </c>
      <c r="S14" s="83" t="str">
        <f aca="false">YEAR(B14)&amp;"-Q"&amp;ROUNDUP(MONTH(B14)/3,0)</f>
        <v>2025-Q4</v>
      </c>
      <c r="T14" s="87" t="n">
        <f aca="false">IF(O14&gt;0,Q14/O14,"")</f>
        <v>0.351851851851852</v>
      </c>
      <c r="U14" s="84" t="n">
        <f aca="false">IF(O14&gt;0,O14,"")</f>
        <v>6480</v>
      </c>
    </row>
    <row r="15" customFormat="false" ht="15" hidden="false" customHeight="false" outlineLevel="0" collapsed="false">
      <c r="A15" s="81" t="s">
        <v>658</v>
      </c>
      <c r="B15" s="82" t="n">
        <v>45935</v>
      </c>
      <c r="C15" s="81" t="s">
        <v>277</v>
      </c>
      <c r="D15" s="83" t="str">
        <f aca="false">IFERROR(INDEX(c_Name,MATCH($C15,c_ID,0)),"غير معرّف")</f>
        <v>خالد الخالدي</v>
      </c>
      <c r="E15" s="83" t="str">
        <f aca="false">IFERROR(INDEX(c_Region,MATCH($C15,c_ID,0)),"غير معرّف")</f>
        <v>الغربية</v>
      </c>
      <c r="F15" s="81" t="s">
        <v>174</v>
      </c>
      <c r="G15" s="83" t="str">
        <f aca="false">IFERROR(INDEX(p_Name,MATCH($F15,p_ID,0)),"غير معرّف")</f>
        <v>خزانة ملفات</v>
      </c>
      <c r="H15" s="83" t="str">
        <f aca="false">IFERROR(INDEX(p_Cat,MATCH($F15,p_ID,0)),"غير معرّف")</f>
        <v>أثاث</v>
      </c>
      <c r="I15" s="81" t="s">
        <v>458</v>
      </c>
      <c r="J15" s="81" t="s">
        <v>93</v>
      </c>
      <c r="K15" s="81" t="n">
        <v>7</v>
      </c>
      <c r="L15" s="84" t="n">
        <f aca="false">IFERROR(INDEX(p_Price,MATCH($F15,p_ID,0)),0)</f>
        <v>700</v>
      </c>
      <c r="M15" s="85" t="n">
        <v>0.1</v>
      </c>
      <c r="N15" s="81" t="s">
        <v>644</v>
      </c>
      <c r="O15" s="84" t="n">
        <f aca="false">IF($N15="مرتجع",0,K15*L15*(1-M15))</f>
        <v>4410</v>
      </c>
      <c r="P15" s="84" t="n">
        <f aca="false">IF($N15="مرتجع",0,K15*IFERROR(INDEX(p_Cost,MATCH($F15,p_ID,0)),0))</f>
        <v>2870</v>
      </c>
      <c r="Q15" s="84" t="n">
        <f aca="false">O15-P15</f>
        <v>1540</v>
      </c>
      <c r="R15" s="86" t="n">
        <f aca="false">DATE(YEAR(B15),MONTH(B15),1)</f>
        <v>45931</v>
      </c>
      <c r="S15" s="83" t="str">
        <f aca="false">YEAR(B15)&amp;"-Q"&amp;ROUNDUP(MONTH(B15)/3,0)</f>
        <v>2025-Q4</v>
      </c>
      <c r="T15" s="87" t="n">
        <f aca="false">IF(O15&gt;0,Q15/O15,"")</f>
        <v>0.349206349206349</v>
      </c>
      <c r="U15" s="84" t="n">
        <f aca="false">IF(O15&gt;0,O15,"")</f>
        <v>4410</v>
      </c>
    </row>
    <row r="16" customFormat="false" ht="15" hidden="false" customHeight="false" outlineLevel="0" collapsed="false">
      <c r="A16" s="81" t="s">
        <v>659</v>
      </c>
      <c r="B16" s="82" t="n">
        <v>45935</v>
      </c>
      <c r="C16" s="81" t="s">
        <v>345</v>
      </c>
      <c r="D16" s="83" t="str">
        <f aca="false">IFERROR(INDEX(c_Name,MATCH($C16,c_ID,0)),"غير معرّف")</f>
        <v>عبدالله العنزي</v>
      </c>
      <c r="E16" s="83" t="str">
        <f aca="false">IFERROR(INDEX(c_Region,MATCH($C16,c_ID,0)),"غير معرّف")</f>
        <v>الغربية</v>
      </c>
      <c r="F16" s="81" t="s">
        <v>175</v>
      </c>
      <c r="G16" s="83" t="str">
        <f aca="false">IFERROR(INDEX(p_Name,MATCH($F16,p_ID,0)),"غير معرّف")</f>
        <v>رف كتب</v>
      </c>
      <c r="H16" s="83" t="str">
        <f aca="false">IFERROR(INDEX(p_Cat,MATCH($F16,p_ID,0)),"غير معرّف")</f>
        <v>أثاث</v>
      </c>
      <c r="I16" s="81" t="s">
        <v>452</v>
      </c>
      <c r="J16" s="81" t="s">
        <v>91</v>
      </c>
      <c r="K16" s="81" t="n">
        <v>1</v>
      </c>
      <c r="L16" s="84" t="n">
        <f aca="false">IFERROR(INDEX(p_Price,MATCH($F16,p_ID,0)),0)</f>
        <v>400</v>
      </c>
      <c r="M16" s="85" t="n">
        <v>0.2</v>
      </c>
      <c r="N16" s="81" t="s">
        <v>644</v>
      </c>
      <c r="O16" s="84" t="n">
        <f aca="false">IF($N16="مرتجع",0,K16*L16*(1-M16))</f>
        <v>320</v>
      </c>
      <c r="P16" s="84" t="n">
        <f aca="false">IF($N16="مرتجع",0,K16*IFERROR(INDEX(p_Cost,MATCH($F16,p_ID,0)),0))</f>
        <v>220</v>
      </c>
      <c r="Q16" s="84" t="n">
        <f aca="false">O16-P16</f>
        <v>100</v>
      </c>
      <c r="R16" s="86" t="n">
        <f aca="false">DATE(YEAR(B16),MONTH(B16),1)</f>
        <v>45931</v>
      </c>
      <c r="S16" s="83" t="str">
        <f aca="false">YEAR(B16)&amp;"-Q"&amp;ROUNDUP(MONTH(B16)/3,0)</f>
        <v>2025-Q4</v>
      </c>
      <c r="T16" s="87" t="n">
        <f aca="false">IF(O16&gt;0,Q16/O16,"")</f>
        <v>0.3125</v>
      </c>
      <c r="U16" s="84" t="n">
        <f aca="false">IF(O16&gt;0,O16,"")</f>
        <v>320</v>
      </c>
    </row>
    <row r="17" customFormat="false" ht="15" hidden="false" customHeight="false" outlineLevel="0" collapsed="false">
      <c r="A17" s="81" t="s">
        <v>660</v>
      </c>
      <c r="B17" s="82" t="n">
        <v>45935</v>
      </c>
      <c r="C17" s="81" t="s">
        <v>242</v>
      </c>
      <c r="D17" s="83" t="str">
        <f aca="false">IFERROR(INDEX(c_Name,MATCH($C17,c_ID,0)),"غير معرّف")</f>
        <v>ياسر الغامدي</v>
      </c>
      <c r="E17" s="83" t="str">
        <f aca="false">IFERROR(INDEX(c_Region,MATCH($C17,c_ID,0)),"غير معرّف")</f>
        <v>الوسطى</v>
      </c>
      <c r="F17" s="81" t="s">
        <v>166</v>
      </c>
      <c r="G17" s="83" t="str">
        <f aca="false">IFERROR(INDEX(p_Name,MATCH($F17,p_ID,0)),"غير معرّف")</f>
        <v>سماعات لاسلكية</v>
      </c>
      <c r="H17" s="83" t="str">
        <f aca="false">IFERROR(INDEX(p_Cat,MATCH($F17,p_ID,0)),"غير معرّف")</f>
        <v>إلكترونيات</v>
      </c>
      <c r="I17" s="81" t="s">
        <v>443</v>
      </c>
      <c r="J17" s="81" t="s">
        <v>91</v>
      </c>
      <c r="K17" s="81" t="n">
        <v>1</v>
      </c>
      <c r="L17" s="84" t="n">
        <f aca="false">IFERROR(INDEX(p_Price,MATCH($F17,p_ID,0)),0)</f>
        <v>450</v>
      </c>
      <c r="M17" s="85" t="n">
        <v>0.1</v>
      </c>
      <c r="N17" s="81" t="s">
        <v>644</v>
      </c>
      <c r="O17" s="84" t="n">
        <f aca="false">IF($N17="مرتجع",0,K17*L17*(1-M17))</f>
        <v>405</v>
      </c>
      <c r="P17" s="84" t="n">
        <f aca="false">IF($N17="مرتجع",0,K17*IFERROR(INDEX(p_Cost,MATCH($F17,p_ID,0)),0))</f>
        <v>260</v>
      </c>
      <c r="Q17" s="84" t="n">
        <f aca="false">O17-P17</f>
        <v>145</v>
      </c>
      <c r="R17" s="86" t="n">
        <f aca="false">DATE(YEAR(B17),MONTH(B17),1)</f>
        <v>45931</v>
      </c>
      <c r="S17" s="83" t="str">
        <f aca="false">YEAR(B17)&amp;"-Q"&amp;ROUNDUP(MONTH(B17)/3,0)</f>
        <v>2025-Q4</v>
      </c>
      <c r="T17" s="87" t="n">
        <f aca="false">IF(O17&gt;0,Q17/O17,"")</f>
        <v>0.358024691358025</v>
      </c>
      <c r="U17" s="84" t="n">
        <f aca="false">IF(O17&gt;0,O17,"")</f>
        <v>405</v>
      </c>
    </row>
    <row r="18" customFormat="false" ht="15" hidden="false" customHeight="false" outlineLevel="0" collapsed="false">
      <c r="A18" s="81" t="s">
        <v>661</v>
      </c>
      <c r="B18" s="82" t="n">
        <v>45935</v>
      </c>
      <c r="C18" s="81" t="s">
        <v>319</v>
      </c>
      <c r="D18" s="83" t="str">
        <f aca="false">IFERROR(INDEX(c_Name,MATCH($C18,c_ID,0)),"غير معرّف")</f>
        <v>سعد التميمي</v>
      </c>
      <c r="E18" s="83" t="str">
        <f aca="false">IFERROR(INDEX(c_Region,MATCH($C18,c_ID,0)),"غير معرّف")</f>
        <v>الغربية</v>
      </c>
      <c r="F18" s="81" t="s">
        <v>175</v>
      </c>
      <c r="G18" s="83" t="str">
        <f aca="false">IFERROR(INDEX(p_Name,MATCH($F18,p_ID,0)),"غير معرّف")</f>
        <v>رف كتب</v>
      </c>
      <c r="H18" s="83" t="str">
        <f aca="false">IFERROR(INDEX(p_Cat,MATCH($F18,p_ID,0)),"غير معرّف")</f>
        <v>أثاث</v>
      </c>
      <c r="I18" s="81" t="s">
        <v>455</v>
      </c>
      <c r="J18" s="81" t="s">
        <v>95</v>
      </c>
      <c r="K18" s="81" t="n">
        <v>24</v>
      </c>
      <c r="L18" s="84" t="n">
        <f aca="false">IFERROR(INDEX(p_Price,MATCH($F18,p_ID,0)),0)</f>
        <v>400</v>
      </c>
      <c r="M18" s="85" t="n">
        <v>0.05</v>
      </c>
      <c r="N18" s="81" t="s">
        <v>644</v>
      </c>
      <c r="O18" s="84" t="n">
        <f aca="false">IF($N18="مرتجع",0,K18*L18*(1-M18))</f>
        <v>9120</v>
      </c>
      <c r="P18" s="84" t="n">
        <f aca="false">IF($N18="مرتجع",0,K18*IFERROR(INDEX(p_Cost,MATCH($F18,p_ID,0)),0))</f>
        <v>5280</v>
      </c>
      <c r="Q18" s="84" t="n">
        <f aca="false">O18-P18</f>
        <v>3840</v>
      </c>
      <c r="R18" s="86" t="n">
        <f aca="false">DATE(YEAR(B18),MONTH(B18),1)</f>
        <v>45931</v>
      </c>
      <c r="S18" s="83" t="str">
        <f aca="false">YEAR(B18)&amp;"-Q"&amp;ROUNDUP(MONTH(B18)/3,0)</f>
        <v>2025-Q4</v>
      </c>
      <c r="T18" s="87" t="n">
        <f aca="false">IF(O18&gt;0,Q18/O18,"")</f>
        <v>0.421052631578947</v>
      </c>
      <c r="U18" s="84" t="n">
        <f aca="false">IF(O18&gt;0,O18,"")</f>
        <v>9120</v>
      </c>
    </row>
    <row r="19" customFormat="false" ht="15" hidden="false" customHeight="false" outlineLevel="0" collapsed="false">
      <c r="A19" s="81" t="s">
        <v>662</v>
      </c>
      <c r="B19" s="82" t="n">
        <v>45935</v>
      </c>
      <c r="C19" s="81" t="s">
        <v>301</v>
      </c>
      <c r="D19" s="83" t="str">
        <f aca="false">IFERROR(INDEX(c_Name,MATCH($C19,c_ID,0)),"غير معرّف")</f>
        <v>أحمد الغامدي</v>
      </c>
      <c r="E19" s="83" t="str">
        <f aca="false">IFERROR(INDEX(c_Region,MATCH($C19,c_ID,0)),"غير معرّف")</f>
        <v>الشرقية</v>
      </c>
      <c r="F19" s="81" t="s">
        <v>182</v>
      </c>
      <c r="G19" s="83" t="str">
        <f aca="false">IFERROR(INDEX(p_Name,MATCH($F19,p_ID,0)),"غير معرّف")</f>
        <v>طقم أوزان</v>
      </c>
      <c r="H19" s="83" t="str">
        <f aca="false">IFERROR(INDEX(p_Cat,MATCH($F19,p_ID,0)),"غير معرّف")</f>
        <v>رياضة</v>
      </c>
      <c r="I19" s="81" t="s">
        <v>461</v>
      </c>
      <c r="J19" s="81" t="s">
        <v>93</v>
      </c>
      <c r="K19" s="81" t="n">
        <v>1</v>
      </c>
      <c r="L19" s="84" t="n">
        <f aca="false">IFERROR(INDEX(p_Price,MATCH($F19,p_ID,0)),0)</f>
        <v>380</v>
      </c>
      <c r="M19" s="85" t="n">
        <v>0</v>
      </c>
      <c r="N19" s="81" t="s">
        <v>644</v>
      </c>
      <c r="O19" s="84" t="n">
        <f aca="false">IF($N19="مرتجع",0,K19*L19*(1-M19))</f>
        <v>380</v>
      </c>
      <c r="P19" s="84" t="n">
        <f aca="false">IF($N19="مرتجع",0,K19*IFERROR(INDEX(p_Cost,MATCH($F19,p_ID,0)),0))</f>
        <v>210</v>
      </c>
      <c r="Q19" s="84" t="n">
        <f aca="false">O19-P19</f>
        <v>170</v>
      </c>
      <c r="R19" s="86" t="n">
        <f aca="false">DATE(YEAR(B19),MONTH(B19),1)</f>
        <v>45931</v>
      </c>
      <c r="S19" s="83" t="str">
        <f aca="false">YEAR(B19)&amp;"-Q"&amp;ROUNDUP(MONTH(B19)/3,0)</f>
        <v>2025-Q4</v>
      </c>
      <c r="T19" s="87" t="n">
        <f aca="false">IF(O19&gt;0,Q19/O19,"")</f>
        <v>0.447368421052632</v>
      </c>
      <c r="U19" s="84" t="n">
        <f aca="false">IF(O19&gt;0,O19,"")</f>
        <v>380</v>
      </c>
    </row>
    <row r="20" customFormat="false" ht="15" hidden="false" customHeight="false" outlineLevel="0" collapsed="false">
      <c r="A20" s="81" t="s">
        <v>663</v>
      </c>
      <c r="B20" s="82" t="n">
        <v>45936</v>
      </c>
      <c r="C20" s="81" t="s">
        <v>270</v>
      </c>
      <c r="D20" s="83" t="str">
        <f aca="false">IFERROR(INDEX(c_Name,MATCH($C20,c_ID,0)),"غير معرّف")</f>
        <v>ريم التميمي</v>
      </c>
      <c r="E20" s="83" t="str">
        <f aca="false">IFERROR(INDEX(c_Region,MATCH($C20,c_ID,0)),"غير معرّف")</f>
        <v>الشرقية</v>
      </c>
      <c r="F20" s="81" t="s">
        <v>177</v>
      </c>
      <c r="G20" s="83" t="str">
        <f aca="false">IFERROR(INDEX(p_Name,MATCH($F20,p_ID,0)),"غير معرّف")</f>
        <v>ورق A4 (صندوق)</v>
      </c>
      <c r="H20" s="83" t="str">
        <f aca="false">IFERROR(INDEX(p_Cat,MATCH($F20,p_ID,0)),"غير معرّف")</f>
        <v>مستلزمات مكتبية</v>
      </c>
      <c r="I20" s="81" t="s">
        <v>463</v>
      </c>
      <c r="J20" s="81" t="s">
        <v>93</v>
      </c>
      <c r="K20" s="81" t="n">
        <v>2</v>
      </c>
      <c r="L20" s="84" t="n">
        <f aca="false">IFERROR(INDEX(p_Price,MATCH($F20,p_ID,0)),0)</f>
        <v>140</v>
      </c>
      <c r="M20" s="85" t="n">
        <v>0.05</v>
      </c>
      <c r="N20" s="81" t="s">
        <v>650</v>
      </c>
      <c r="O20" s="84" t="n">
        <f aca="false">IF($N20="مرتجع",0,K20*L20*(1-M20))</f>
        <v>0</v>
      </c>
      <c r="P20" s="84" t="n">
        <f aca="false">IF($N20="مرتجع",0,K20*IFERROR(INDEX(p_Cost,MATCH($F20,p_ID,0)),0))</f>
        <v>0</v>
      </c>
      <c r="Q20" s="84" t="n">
        <f aca="false">O20-P20</f>
        <v>0</v>
      </c>
      <c r="R20" s="86" t="n">
        <f aca="false">DATE(YEAR(B20),MONTH(B20),1)</f>
        <v>45931</v>
      </c>
      <c r="S20" s="83" t="str">
        <f aca="false">YEAR(B20)&amp;"-Q"&amp;ROUNDUP(MONTH(B20)/3,0)</f>
        <v>2025-Q4</v>
      </c>
      <c r="T20" s="87" t="str">
        <f aca="false">IF(O20&gt;0,Q20/O20,"")</f>
        <v/>
      </c>
      <c r="U20" s="84" t="str">
        <f aca="false">IF(O20&gt;0,O20,"")</f>
        <v/>
      </c>
    </row>
    <row r="21" customFormat="false" ht="15" hidden="false" customHeight="false" outlineLevel="0" collapsed="false">
      <c r="A21" s="81" t="s">
        <v>664</v>
      </c>
      <c r="B21" s="82" t="n">
        <v>45936</v>
      </c>
      <c r="C21" s="81" t="s">
        <v>345</v>
      </c>
      <c r="D21" s="83" t="str">
        <f aca="false">IFERROR(INDEX(c_Name,MATCH($C21,c_ID,0)),"غير معرّف")</f>
        <v>عبدالله العنزي</v>
      </c>
      <c r="E21" s="83" t="str">
        <f aca="false">IFERROR(INDEX(c_Region,MATCH($C21,c_ID,0)),"غير معرّف")</f>
        <v>الغربية</v>
      </c>
      <c r="F21" s="81" t="s">
        <v>172</v>
      </c>
      <c r="G21" s="83" t="str">
        <f aca="false">IFERROR(INDEX(p_Name,MATCH($F21,p_ID,0)),"غير معرّف")</f>
        <v>مكتب عمل</v>
      </c>
      <c r="H21" s="83" t="str">
        <f aca="false">IFERROR(INDEX(p_Cat,MATCH($F21,p_ID,0)),"غير معرّف")</f>
        <v>أثاث</v>
      </c>
      <c r="I21" s="81" t="s">
        <v>452</v>
      </c>
      <c r="J21" s="81" t="s">
        <v>91</v>
      </c>
      <c r="K21" s="81" t="n">
        <v>1</v>
      </c>
      <c r="L21" s="84" t="n">
        <f aca="false">IFERROR(INDEX(p_Price,MATCH($F21,p_ID,0)),0)</f>
        <v>1200</v>
      </c>
      <c r="M21" s="85" t="n">
        <v>0.1</v>
      </c>
      <c r="N21" s="81" t="s">
        <v>644</v>
      </c>
      <c r="O21" s="84" t="n">
        <f aca="false">IF($N21="مرتجع",0,K21*L21*(1-M21))</f>
        <v>1080</v>
      </c>
      <c r="P21" s="84" t="n">
        <f aca="false">IF($N21="مرتجع",0,K21*IFERROR(INDEX(p_Cost,MATCH($F21,p_ID,0)),0))</f>
        <v>700</v>
      </c>
      <c r="Q21" s="84" t="n">
        <f aca="false">O21-P21</f>
        <v>380</v>
      </c>
      <c r="R21" s="86" t="n">
        <f aca="false">DATE(YEAR(B21),MONTH(B21),1)</f>
        <v>45931</v>
      </c>
      <c r="S21" s="83" t="str">
        <f aca="false">YEAR(B21)&amp;"-Q"&amp;ROUNDUP(MONTH(B21)/3,0)</f>
        <v>2025-Q4</v>
      </c>
      <c r="T21" s="87" t="n">
        <f aca="false">IF(O21&gt;0,Q21/O21,"")</f>
        <v>0.351851851851852</v>
      </c>
      <c r="U21" s="84" t="n">
        <f aca="false">IF(O21&gt;0,O21,"")</f>
        <v>1080</v>
      </c>
    </row>
    <row r="22" customFormat="false" ht="15" hidden="false" customHeight="false" outlineLevel="0" collapsed="false">
      <c r="A22" s="81" t="s">
        <v>665</v>
      </c>
      <c r="B22" s="82" t="n">
        <v>45936</v>
      </c>
      <c r="C22" s="81" t="s">
        <v>353</v>
      </c>
      <c r="D22" s="83" t="str">
        <f aca="false">IFERROR(INDEX(c_Name,MATCH($C22,c_ID,0)),"غير معرّف")</f>
        <v>أحمد الحسيني</v>
      </c>
      <c r="E22" s="83" t="str">
        <f aca="false">IFERROR(INDEX(c_Region,MATCH($C22,c_ID,0)),"غير معرّف")</f>
        <v>الشرقية</v>
      </c>
      <c r="F22" s="81" t="s">
        <v>177</v>
      </c>
      <c r="G22" s="83" t="str">
        <f aca="false">IFERROR(INDEX(p_Name,MATCH($F22,p_ID,0)),"غير معرّف")</f>
        <v>ورق A4 (صندوق)</v>
      </c>
      <c r="H22" s="83" t="str">
        <f aca="false">IFERROR(INDEX(p_Cat,MATCH($F22,p_ID,0)),"غير معرّف")</f>
        <v>مستلزمات مكتبية</v>
      </c>
      <c r="I22" s="81" t="s">
        <v>461</v>
      </c>
      <c r="J22" s="81" t="s">
        <v>91</v>
      </c>
      <c r="K22" s="81" t="n">
        <v>2</v>
      </c>
      <c r="L22" s="84" t="n">
        <f aca="false">IFERROR(INDEX(p_Price,MATCH($F22,p_ID,0)),0)</f>
        <v>140</v>
      </c>
      <c r="M22" s="85" t="n">
        <v>0.05</v>
      </c>
      <c r="N22" s="81" t="s">
        <v>644</v>
      </c>
      <c r="O22" s="84" t="n">
        <f aca="false">IF($N22="مرتجع",0,K22*L22*(1-M22))</f>
        <v>266</v>
      </c>
      <c r="P22" s="84" t="n">
        <f aca="false">IF($N22="مرتجع",0,K22*IFERROR(INDEX(p_Cost,MATCH($F22,p_ID,0)),0))</f>
        <v>190</v>
      </c>
      <c r="Q22" s="84" t="n">
        <f aca="false">O22-P22</f>
        <v>76</v>
      </c>
      <c r="R22" s="86" t="n">
        <f aca="false">DATE(YEAR(B22),MONTH(B22),1)</f>
        <v>45931</v>
      </c>
      <c r="S22" s="83" t="str">
        <f aca="false">YEAR(B22)&amp;"-Q"&amp;ROUNDUP(MONTH(B22)/3,0)</f>
        <v>2025-Q4</v>
      </c>
      <c r="T22" s="87" t="n">
        <f aca="false">IF(O22&gt;0,Q22/O22,"")</f>
        <v>0.285714285714286</v>
      </c>
      <c r="U22" s="84" t="n">
        <f aca="false">IF(O22&gt;0,O22,"")</f>
        <v>266</v>
      </c>
    </row>
    <row r="23" customFormat="false" ht="15" hidden="false" customHeight="false" outlineLevel="0" collapsed="false">
      <c r="A23" s="81" t="s">
        <v>666</v>
      </c>
      <c r="B23" s="82" t="n">
        <v>45936</v>
      </c>
      <c r="C23" s="81" t="s">
        <v>344</v>
      </c>
      <c r="D23" s="83" t="str">
        <f aca="false">IFERROR(INDEX(c_Name,MATCH($C23,c_ID,0)),"غير معرّف")</f>
        <v>خالد القحطاني</v>
      </c>
      <c r="E23" s="83" t="str">
        <f aca="false">IFERROR(INDEX(c_Region,MATCH($C23,c_ID,0)),"غير معرّف")</f>
        <v>الغربية</v>
      </c>
      <c r="F23" s="81" t="s">
        <v>182</v>
      </c>
      <c r="G23" s="83" t="str">
        <f aca="false">IFERROR(INDEX(p_Name,MATCH($F23,p_ID,0)),"غير معرّف")</f>
        <v>طقم أوزان</v>
      </c>
      <c r="H23" s="83" t="str">
        <f aca="false">IFERROR(INDEX(p_Cat,MATCH($F23,p_ID,0)),"غير معرّف")</f>
        <v>رياضة</v>
      </c>
      <c r="I23" s="81" t="s">
        <v>458</v>
      </c>
      <c r="J23" s="81" t="s">
        <v>91</v>
      </c>
      <c r="K23" s="81" t="n">
        <v>1</v>
      </c>
      <c r="L23" s="84" t="n">
        <f aca="false">IFERROR(INDEX(p_Price,MATCH($F23,p_ID,0)),0)</f>
        <v>380</v>
      </c>
      <c r="M23" s="85" t="n">
        <v>0.05</v>
      </c>
      <c r="N23" s="81" t="s">
        <v>644</v>
      </c>
      <c r="O23" s="84" t="n">
        <f aca="false">IF($N23="مرتجع",0,K23*L23*(1-M23))</f>
        <v>361</v>
      </c>
      <c r="P23" s="84" t="n">
        <f aca="false">IF($N23="مرتجع",0,K23*IFERROR(INDEX(p_Cost,MATCH($F23,p_ID,0)),0))</f>
        <v>210</v>
      </c>
      <c r="Q23" s="84" t="n">
        <f aca="false">O23-P23</f>
        <v>151</v>
      </c>
      <c r="R23" s="86" t="n">
        <f aca="false">DATE(YEAR(B23),MONTH(B23),1)</f>
        <v>45931</v>
      </c>
      <c r="S23" s="83" t="str">
        <f aca="false">YEAR(B23)&amp;"-Q"&amp;ROUNDUP(MONTH(B23)/3,0)</f>
        <v>2025-Q4</v>
      </c>
      <c r="T23" s="87" t="n">
        <f aca="false">IF(O23&gt;0,Q23/O23,"")</f>
        <v>0.418282548476454</v>
      </c>
      <c r="U23" s="84" t="n">
        <f aca="false">IF(O23&gt;0,O23,"")</f>
        <v>361</v>
      </c>
    </row>
    <row r="24" customFormat="false" ht="15" hidden="false" customHeight="false" outlineLevel="0" collapsed="false">
      <c r="A24" s="81" t="s">
        <v>667</v>
      </c>
      <c r="B24" s="82" t="n">
        <v>45937</v>
      </c>
      <c r="C24" s="81" t="s">
        <v>423</v>
      </c>
      <c r="D24" s="83" t="str">
        <f aca="false">IFERROR(INDEX(c_Name,MATCH($C24,c_ID,0)),"غير معرّف")</f>
        <v>ناصر المطيري</v>
      </c>
      <c r="E24" s="83" t="str">
        <f aca="false">IFERROR(INDEX(c_Region,MATCH($C24,c_ID,0)),"غير معرّف")</f>
        <v>الغربية</v>
      </c>
      <c r="F24" s="81" t="s">
        <v>172</v>
      </c>
      <c r="G24" s="83" t="str">
        <f aca="false">IFERROR(INDEX(p_Name,MATCH($F24,p_ID,0)),"غير معرّف")</f>
        <v>مكتب عمل</v>
      </c>
      <c r="H24" s="83" t="str">
        <f aca="false">IFERROR(INDEX(p_Cat,MATCH($F24,p_ID,0)),"غير معرّف")</f>
        <v>أثاث</v>
      </c>
      <c r="I24" s="81" t="s">
        <v>455</v>
      </c>
      <c r="J24" s="81" t="s">
        <v>91</v>
      </c>
      <c r="K24" s="81" t="n">
        <v>1</v>
      </c>
      <c r="L24" s="84" t="n">
        <f aca="false">IFERROR(INDEX(p_Price,MATCH($F24,p_ID,0)),0)</f>
        <v>1200</v>
      </c>
      <c r="M24" s="85" t="n">
        <v>0.05</v>
      </c>
      <c r="N24" s="81" t="s">
        <v>644</v>
      </c>
      <c r="O24" s="84" t="n">
        <f aca="false">IF($N24="مرتجع",0,K24*L24*(1-M24))</f>
        <v>1140</v>
      </c>
      <c r="P24" s="84" t="n">
        <f aca="false">IF($N24="مرتجع",0,K24*IFERROR(INDEX(p_Cost,MATCH($F24,p_ID,0)),0))</f>
        <v>700</v>
      </c>
      <c r="Q24" s="84" t="n">
        <f aca="false">O24-P24</f>
        <v>440</v>
      </c>
      <c r="R24" s="86" t="n">
        <f aca="false">DATE(YEAR(B24),MONTH(B24),1)</f>
        <v>45931</v>
      </c>
      <c r="S24" s="83" t="str">
        <f aca="false">YEAR(B24)&amp;"-Q"&amp;ROUNDUP(MONTH(B24)/3,0)</f>
        <v>2025-Q4</v>
      </c>
      <c r="T24" s="87" t="n">
        <f aca="false">IF(O24&gt;0,Q24/O24,"")</f>
        <v>0.385964912280702</v>
      </c>
      <c r="U24" s="84" t="n">
        <f aca="false">IF(O24&gt;0,O24,"")</f>
        <v>1140</v>
      </c>
    </row>
    <row r="25" customFormat="false" ht="15" hidden="false" customHeight="false" outlineLevel="0" collapsed="false">
      <c r="A25" s="81" t="s">
        <v>668</v>
      </c>
      <c r="B25" s="82" t="n">
        <v>45937</v>
      </c>
      <c r="C25" s="81" t="s">
        <v>294</v>
      </c>
      <c r="D25" s="83" t="str">
        <f aca="false">IFERROR(INDEX(c_Name,MATCH($C25,c_ID,0)),"غير معرّف")</f>
        <v>خالد البلوي</v>
      </c>
      <c r="E25" s="83" t="str">
        <f aca="false">IFERROR(INDEX(c_Region,MATCH($C25,c_ID,0)),"غير معرّف")</f>
        <v>الوسطى</v>
      </c>
      <c r="F25" s="81" t="s">
        <v>184</v>
      </c>
      <c r="G25" s="83" t="str">
        <f aca="false">IFERROR(INDEX(p_Name,MATCH($F25,p_ID,0)),"غير معرّف")</f>
        <v>عطر فاخر</v>
      </c>
      <c r="H25" s="83" t="str">
        <f aca="false">IFERROR(INDEX(p_Cat,MATCH($F25,p_ID,0)),"غير معرّف")</f>
        <v>عناية شخصية</v>
      </c>
      <c r="I25" s="81" t="s">
        <v>449</v>
      </c>
      <c r="J25" s="81" t="s">
        <v>95</v>
      </c>
      <c r="K25" s="81" t="n">
        <v>17</v>
      </c>
      <c r="L25" s="84" t="n">
        <f aca="false">IFERROR(INDEX(p_Price,MATCH($F25,p_ID,0)),0)</f>
        <v>520</v>
      </c>
      <c r="M25" s="85" t="n">
        <v>0.2</v>
      </c>
      <c r="N25" s="81" t="s">
        <v>644</v>
      </c>
      <c r="O25" s="84" t="n">
        <f aca="false">IF($N25="مرتجع",0,K25*L25*(1-M25))</f>
        <v>7072</v>
      </c>
      <c r="P25" s="84" t="n">
        <f aca="false">IF($N25="مرتجع",0,K25*IFERROR(INDEX(p_Cost,MATCH($F25,p_ID,0)),0))</f>
        <v>3570</v>
      </c>
      <c r="Q25" s="84" t="n">
        <f aca="false">O25-P25</f>
        <v>3502</v>
      </c>
      <c r="R25" s="86" t="n">
        <f aca="false">DATE(YEAR(B25),MONTH(B25),1)</f>
        <v>45931</v>
      </c>
      <c r="S25" s="83" t="str">
        <f aca="false">YEAR(B25)&amp;"-Q"&amp;ROUNDUP(MONTH(B25)/3,0)</f>
        <v>2025-Q4</v>
      </c>
      <c r="T25" s="87" t="n">
        <f aca="false">IF(O25&gt;0,Q25/O25,"")</f>
        <v>0.495192307692308</v>
      </c>
      <c r="U25" s="84" t="n">
        <f aca="false">IF(O25&gt;0,O25,"")</f>
        <v>7072</v>
      </c>
    </row>
    <row r="26" customFormat="false" ht="15" hidden="false" customHeight="false" outlineLevel="0" collapsed="false">
      <c r="A26" s="81" t="s">
        <v>669</v>
      </c>
      <c r="B26" s="82" t="n">
        <v>45937</v>
      </c>
      <c r="C26" s="81" t="s">
        <v>234</v>
      </c>
      <c r="D26" s="83" t="str">
        <f aca="false">IFERROR(INDEX(c_Name,MATCH($C26,c_ID,0)),"غير معرّف")</f>
        <v>هند الخالدي</v>
      </c>
      <c r="E26" s="83" t="str">
        <f aca="false">IFERROR(INDEX(c_Region,MATCH($C26,c_ID,0)),"غير معرّف")</f>
        <v>الوسطى</v>
      </c>
      <c r="F26" s="81" t="s">
        <v>186</v>
      </c>
      <c r="G26" s="83" t="str">
        <f aca="false">IFERROR(INDEX(p_Name,MATCH($F26,p_ID,0)),"غير معرّف")</f>
        <v>مجفف شعر</v>
      </c>
      <c r="H26" s="83" t="str">
        <f aca="false">IFERROR(INDEX(p_Cat,MATCH($F26,p_ID,0)),"غير معرّف")</f>
        <v>عناية شخصية</v>
      </c>
      <c r="I26" s="81" t="s">
        <v>449</v>
      </c>
      <c r="J26" s="81" t="s">
        <v>93</v>
      </c>
      <c r="K26" s="81" t="n">
        <v>2</v>
      </c>
      <c r="L26" s="84" t="n">
        <f aca="false">IFERROR(INDEX(p_Price,MATCH($F26,p_ID,0)),0)</f>
        <v>280</v>
      </c>
      <c r="M26" s="85" t="n">
        <v>0.1</v>
      </c>
      <c r="N26" s="81" t="s">
        <v>644</v>
      </c>
      <c r="O26" s="84" t="n">
        <f aca="false">IF($N26="مرتجع",0,K26*L26*(1-M26))</f>
        <v>504</v>
      </c>
      <c r="P26" s="84" t="n">
        <f aca="false">IF($N26="مرتجع",0,K26*IFERROR(INDEX(p_Cost,MATCH($F26,p_ID,0)),0))</f>
        <v>280</v>
      </c>
      <c r="Q26" s="84" t="n">
        <f aca="false">O26-P26</f>
        <v>224</v>
      </c>
      <c r="R26" s="86" t="n">
        <f aca="false">DATE(YEAR(B26),MONTH(B26),1)</f>
        <v>45931</v>
      </c>
      <c r="S26" s="83" t="str">
        <f aca="false">YEAR(B26)&amp;"-Q"&amp;ROUNDUP(MONTH(B26)/3,0)</f>
        <v>2025-Q4</v>
      </c>
      <c r="T26" s="87" t="n">
        <f aca="false">IF(O26&gt;0,Q26/O26,"")</f>
        <v>0.444444444444444</v>
      </c>
      <c r="U26" s="84" t="n">
        <f aca="false">IF(O26&gt;0,O26,"")</f>
        <v>504</v>
      </c>
    </row>
    <row r="27" customFormat="false" ht="15" hidden="false" customHeight="false" outlineLevel="0" collapsed="false">
      <c r="A27" s="81" t="s">
        <v>670</v>
      </c>
      <c r="B27" s="82" t="n">
        <v>45938</v>
      </c>
      <c r="C27" s="81" t="s">
        <v>291</v>
      </c>
      <c r="D27" s="83" t="str">
        <f aca="false">IFERROR(INDEX(c_Name,MATCH($C27,c_ID,0)),"غير معرّف")</f>
        <v>ياسر الشمري</v>
      </c>
      <c r="E27" s="83" t="str">
        <f aca="false">IFERROR(INDEX(c_Region,MATCH($C27,c_ID,0)),"غير معرّف")</f>
        <v>الوسطى</v>
      </c>
      <c r="F27" s="81" t="s">
        <v>166</v>
      </c>
      <c r="G27" s="83" t="str">
        <f aca="false">IFERROR(INDEX(p_Name,MATCH($F27,p_ID,0)),"غير معرّف")</f>
        <v>سماعات لاسلكية</v>
      </c>
      <c r="H27" s="83" t="str">
        <f aca="false">IFERROR(INDEX(p_Cat,MATCH($F27,p_ID,0)),"غير معرّف")</f>
        <v>إلكترونيات</v>
      </c>
      <c r="I27" s="81" t="s">
        <v>449</v>
      </c>
      <c r="J27" s="81" t="s">
        <v>91</v>
      </c>
      <c r="K27" s="81" t="n">
        <v>1</v>
      </c>
      <c r="L27" s="84" t="n">
        <f aca="false">IFERROR(INDEX(p_Price,MATCH($F27,p_ID,0)),0)</f>
        <v>450</v>
      </c>
      <c r="M27" s="85" t="n">
        <v>0.1</v>
      </c>
      <c r="N27" s="81" t="s">
        <v>644</v>
      </c>
      <c r="O27" s="84" t="n">
        <f aca="false">IF($N27="مرتجع",0,K27*L27*(1-M27))</f>
        <v>405</v>
      </c>
      <c r="P27" s="84" t="n">
        <f aca="false">IF($N27="مرتجع",0,K27*IFERROR(INDEX(p_Cost,MATCH($F27,p_ID,0)),0))</f>
        <v>260</v>
      </c>
      <c r="Q27" s="84" t="n">
        <f aca="false">O27-P27</f>
        <v>145</v>
      </c>
      <c r="R27" s="86" t="n">
        <f aca="false">DATE(YEAR(B27),MONTH(B27),1)</f>
        <v>45931</v>
      </c>
      <c r="S27" s="83" t="str">
        <f aca="false">YEAR(B27)&amp;"-Q"&amp;ROUNDUP(MONTH(B27)/3,0)</f>
        <v>2025-Q4</v>
      </c>
      <c r="T27" s="87" t="n">
        <f aca="false">IF(O27&gt;0,Q27/O27,"")</f>
        <v>0.358024691358025</v>
      </c>
      <c r="U27" s="84" t="n">
        <f aca="false">IF(O27&gt;0,O27,"")</f>
        <v>405</v>
      </c>
    </row>
    <row r="28" customFormat="false" ht="15" hidden="false" customHeight="false" outlineLevel="0" collapsed="false">
      <c r="A28" s="81" t="s">
        <v>671</v>
      </c>
      <c r="B28" s="82" t="n">
        <v>45938</v>
      </c>
      <c r="C28" s="81" t="s">
        <v>357</v>
      </c>
      <c r="D28" s="83" t="str">
        <f aca="false">IFERROR(INDEX(c_Name,MATCH($C28,c_ID,0)),"غير معرّف")</f>
        <v>منى الحربي</v>
      </c>
      <c r="E28" s="83" t="str">
        <f aca="false">IFERROR(INDEX(c_Region,MATCH($C28,c_ID,0)),"غير معرّف")</f>
        <v>الوسطى</v>
      </c>
      <c r="F28" s="81" t="s">
        <v>177</v>
      </c>
      <c r="G28" s="83" t="str">
        <f aca="false">IFERROR(INDEX(p_Name,MATCH($F28,p_ID,0)),"غير معرّف")</f>
        <v>ورق A4 (صندوق)</v>
      </c>
      <c r="H28" s="83" t="str">
        <f aca="false">IFERROR(INDEX(p_Cat,MATCH($F28,p_ID,0)),"غير معرّف")</f>
        <v>مستلزمات مكتبية</v>
      </c>
      <c r="I28" s="81" t="s">
        <v>443</v>
      </c>
      <c r="J28" s="81" t="s">
        <v>91</v>
      </c>
      <c r="K28" s="81" t="n">
        <v>6</v>
      </c>
      <c r="L28" s="84" t="n">
        <f aca="false">IFERROR(INDEX(p_Price,MATCH($F28,p_ID,0)),0)</f>
        <v>140</v>
      </c>
      <c r="M28" s="85" t="n">
        <v>0</v>
      </c>
      <c r="N28" s="81" t="s">
        <v>644</v>
      </c>
      <c r="O28" s="84" t="n">
        <f aca="false">IF($N28="مرتجع",0,K28*L28*(1-M28))</f>
        <v>840</v>
      </c>
      <c r="P28" s="84" t="n">
        <f aca="false">IF($N28="مرتجع",0,K28*IFERROR(INDEX(p_Cost,MATCH($F28,p_ID,0)),0))</f>
        <v>570</v>
      </c>
      <c r="Q28" s="84" t="n">
        <f aca="false">O28-P28</f>
        <v>270</v>
      </c>
      <c r="R28" s="86" t="n">
        <f aca="false">DATE(YEAR(B28),MONTH(B28),1)</f>
        <v>45931</v>
      </c>
      <c r="S28" s="83" t="str">
        <f aca="false">YEAR(B28)&amp;"-Q"&amp;ROUNDUP(MONTH(B28)/3,0)</f>
        <v>2025-Q4</v>
      </c>
      <c r="T28" s="87" t="n">
        <f aca="false">IF(O28&gt;0,Q28/O28,"")</f>
        <v>0.321428571428571</v>
      </c>
      <c r="U28" s="84" t="n">
        <f aca="false">IF(O28&gt;0,O28,"")</f>
        <v>840</v>
      </c>
    </row>
    <row r="29" customFormat="false" ht="15" hidden="false" customHeight="false" outlineLevel="0" collapsed="false">
      <c r="A29" s="81" t="s">
        <v>672</v>
      </c>
      <c r="B29" s="82" t="n">
        <v>45938</v>
      </c>
      <c r="C29" s="81" t="s">
        <v>259</v>
      </c>
      <c r="D29" s="83" t="str">
        <f aca="false">IFERROR(INDEX(c_Name,MATCH($C29,c_ID,0)),"غير معرّف")</f>
        <v>عبير العتيبي</v>
      </c>
      <c r="E29" s="83" t="str">
        <f aca="false">IFERROR(INDEX(c_Region,MATCH($C29,c_ID,0)),"غير معرّف")</f>
        <v>الوسطى</v>
      </c>
      <c r="F29" s="81" t="s">
        <v>173</v>
      </c>
      <c r="G29" s="83" t="str">
        <f aca="false">IFERROR(INDEX(p_Name,MATCH($F29,p_ID,0)),"غير معرّف")</f>
        <v>كرسي مريح</v>
      </c>
      <c r="H29" s="83" t="str">
        <f aca="false">IFERROR(INDEX(p_Cat,MATCH($F29,p_ID,0)),"غير معرّف")</f>
        <v>أثاث</v>
      </c>
      <c r="I29" s="81" t="s">
        <v>443</v>
      </c>
      <c r="J29" s="81" t="s">
        <v>93</v>
      </c>
      <c r="K29" s="81" t="n">
        <v>1</v>
      </c>
      <c r="L29" s="84" t="n">
        <f aca="false">IFERROR(INDEX(p_Price,MATCH($F29,p_ID,0)),0)</f>
        <v>850</v>
      </c>
      <c r="M29" s="85" t="n">
        <v>0.05</v>
      </c>
      <c r="N29" s="81" t="s">
        <v>644</v>
      </c>
      <c r="O29" s="84" t="n">
        <f aca="false">IF($N29="مرتجع",0,K29*L29*(1-M29))</f>
        <v>807.5</v>
      </c>
      <c r="P29" s="84" t="n">
        <f aca="false">IF($N29="مرتجع",0,K29*IFERROR(INDEX(p_Cost,MATCH($F29,p_ID,0)),0))</f>
        <v>480</v>
      </c>
      <c r="Q29" s="84" t="n">
        <f aca="false">O29-P29</f>
        <v>327.5</v>
      </c>
      <c r="R29" s="86" t="n">
        <f aca="false">DATE(YEAR(B29),MONTH(B29),1)</f>
        <v>45931</v>
      </c>
      <c r="S29" s="83" t="str">
        <f aca="false">YEAR(B29)&amp;"-Q"&amp;ROUNDUP(MONTH(B29)/3,0)</f>
        <v>2025-Q4</v>
      </c>
      <c r="T29" s="87" t="n">
        <f aca="false">IF(O29&gt;0,Q29/O29,"")</f>
        <v>0.405572755417957</v>
      </c>
      <c r="U29" s="84" t="n">
        <f aca="false">IF(O29&gt;0,O29,"")</f>
        <v>807.5</v>
      </c>
    </row>
    <row r="30" customFormat="false" ht="15" hidden="false" customHeight="false" outlineLevel="0" collapsed="false">
      <c r="A30" s="81" t="s">
        <v>673</v>
      </c>
      <c r="B30" s="82" t="n">
        <v>45939</v>
      </c>
      <c r="C30" s="81" t="s">
        <v>423</v>
      </c>
      <c r="D30" s="83" t="str">
        <f aca="false">IFERROR(INDEX(c_Name,MATCH($C30,c_ID,0)),"غير معرّف")</f>
        <v>ناصر المطيري</v>
      </c>
      <c r="E30" s="83" t="str">
        <f aca="false">IFERROR(INDEX(c_Region,MATCH($C30,c_ID,0)),"غير معرّف")</f>
        <v>الغربية</v>
      </c>
      <c r="F30" s="81" t="s">
        <v>169</v>
      </c>
      <c r="G30" s="83" t="str">
        <f aca="false">IFERROR(INDEX(p_Name,MATCH($F30,p_ID,0)),"غير معرّف")</f>
        <v>خلاط</v>
      </c>
      <c r="H30" s="83" t="str">
        <f aca="false">IFERROR(INDEX(p_Cat,MATCH($F30,p_ID,0)),"غير معرّف")</f>
        <v>أجهزة منزلية</v>
      </c>
      <c r="I30" s="81" t="s">
        <v>458</v>
      </c>
      <c r="J30" s="81" t="s">
        <v>93</v>
      </c>
      <c r="K30" s="81" t="n">
        <v>4</v>
      </c>
      <c r="L30" s="84" t="n">
        <f aca="false">IFERROR(INDEX(p_Price,MATCH($F30,p_ID,0)),0)</f>
        <v>300</v>
      </c>
      <c r="M30" s="85" t="n">
        <v>0</v>
      </c>
      <c r="N30" s="81" t="s">
        <v>650</v>
      </c>
      <c r="O30" s="84" t="n">
        <f aca="false">IF($N30="مرتجع",0,K30*L30*(1-M30))</f>
        <v>0</v>
      </c>
      <c r="P30" s="84" t="n">
        <f aca="false">IF($N30="مرتجع",0,K30*IFERROR(INDEX(p_Cost,MATCH($F30,p_ID,0)),0))</f>
        <v>0</v>
      </c>
      <c r="Q30" s="84" t="n">
        <f aca="false">O30-P30</f>
        <v>0</v>
      </c>
      <c r="R30" s="86" t="n">
        <f aca="false">DATE(YEAR(B30),MONTH(B30),1)</f>
        <v>45931</v>
      </c>
      <c r="S30" s="83" t="str">
        <f aca="false">YEAR(B30)&amp;"-Q"&amp;ROUNDUP(MONTH(B30)/3,0)</f>
        <v>2025-Q4</v>
      </c>
      <c r="T30" s="87" t="str">
        <f aca="false">IF(O30&gt;0,Q30/O30,"")</f>
        <v/>
      </c>
      <c r="U30" s="84" t="str">
        <f aca="false">IF(O30&gt;0,O30,"")</f>
        <v/>
      </c>
    </row>
    <row r="31" customFormat="false" ht="15" hidden="false" customHeight="false" outlineLevel="0" collapsed="false">
      <c r="A31" s="81" t="s">
        <v>674</v>
      </c>
      <c r="B31" s="82" t="n">
        <v>45939</v>
      </c>
      <c r="C31" s="81" t="s">
        <v>263</v>
      </c>
      <c r="D31" s="83" t="str">
        <f aca="false">IFERROR(INDEX(c_Name,MATCH($C31,c_ID,0)),"غير معرّف")</f>
        <v>سارة الخالدي</v>
      </c>
      <c r="E31" s="83" t="str">
        <f aca="false">IFERROR(INDEX(c_Region,MATCH($C31,c_ID,0)),"غير معرّف")</f>
        <v>الغربية</v>
      </c>
      <c r="F31" s="81" t="s">
        <v>177</v>
      </c>
      <c r="G31" s="83" t="str">
        <f aca="false">IFERROR(INDEX(p_Name,MATCH($F31,p_ID,0)),"غير معرّف")</f>
        <v>ورق A4 (صندوق)</v>
      </c>
      <c r="H31" s="83" t="str">
        <f aca="false">IFERROR(INDEX(p_Cat,MATCH($F31,p_ID,0)),"غير معرّف")</f>
        <v>مستلزمات مكتبية</v>
      </c>
      <c r="I31" s="81" t="s">
        <v>452</v>
      </c>
      <c r="J31" s="81" t="s">
        <v>93</v>
      </c>
      <c r="K31" s="81" t="n">
        <v>7</v>
      </c>
      <c r="L31" s="84" t="n">
        <f aca="false">IFERROR(INDEX(p_Price,MATCH($F31,p_ID,0)),0)</f>
        <v>140</v>
      </c>
      <c r="M31" s="85" t="n">
        <v>0.05</v>
      </c>
      <c r="N31" s="81" t="s">
        <v>644</v>
      </c>
      <c r="O31" s="84" t="n">
        <f aca="false">IF($N31="مرتجع",0,K31*L31*(1-M31))</f>
        <v>931</v>
      </c>
      <c r="P31" s="84" t="n">
        <f aca="false">IF($N31="مرتجع",0,K31*IFERROR(INDEX(p_Cost,MATCH($F31,p_ID,0)),0))</f>
        <v>665</v>
      </c>
      <c r="Q31" s="84" t="n">
        <f aca="false">O31-P31</f>
        <v>266</v>
      </c>
      <c r="R31" s="86" t="n">
        <f aca="false">DATE(YEAR(B31),MONTH(B31),1)</f>
        <v>45931</v>
      </c>
      <c r="S31" s="83" t="str">
        <f aca="false">YEAR(B31)&amp;"-Q"&amp;ROUNDUP(MONTH(B31)/3,0)</f>
        <v>2025-Q4</v>
      </c>
      <c r="T31" s="87" t="n">
        <f aca="false">IF(O31&gt;0,Q31/O31,"")</f>
        <v>0.285714285714286</v>
      </c>
      <c r="U31" s="84" t="n">
        <f aca="false">IF(O31&gt;0,O31,"")</f>
        <v>931</v>
      </c>
    </row>
    <row r="32" customFormat="false" ht="15" hidden="false" customHeight="false" outlineLevel="0" collapsed="false">
      <c r="A32" s="81" t="s">
        <v>675</v>
      </c>
      <c r="B32" s="82" t="n">
        <v>45939</v>
      </c>
      <c r="C32" s="81" t="s">
        <v>298</v>
      </c>
      <c r="D32" s="83" t="str">
        <f aca="false">IFERROR(INDEX(c_Name,MATCH($C32,c_ID,0)),"غير معرّف")</f>
        <v>هند السبيعي</v>
      </c>
      <c r="E32" s="83" t="str">
        <f aca="false">IFERROR(INDEX(c_Region,MATCH($C32,c_ID,0)),"غير معرّف")</f>
        <v>الغربية</v>
      </c>
      <c r="F32" s="81" t="s">
        <v>168</v>
      </c>
      <c r="G32" s="83" t="str">
        <f aca="false">IFERROR(INDEX(p_Name,MATCH($F32,p_ID,0)),"غير معرّف")</f>
        <v>مكنسة كهربائية</v>
      </c>
      <c r="H32" s="83" t="str">
        <f aca="false">IFERROR(INDEX(p_Cat,MATCH($F32,p_ID,0)),"غير معرّف")</f>
        <v>أجهزة منزلية</v>
      </c>
      <c r="I32" s="81" t="s">
        <v>452</v>
      </c>
      <c r="J32" s="81" t="s">
        <v>91</v>
      </c>
      <c r="K32" s="81" t="n">
        <v>1</v>
      </c>
      <c r="L32" s="84" t="n">
        <f aca="false">IFERROR(INDEX(p_Price,MATCH($F32,p_ID,0)),0)</f>
        <v>650</v>
      </c>
      <c r="M32" s="85" t="n">
        <v>0.1</v>
      </c>
      <c r="N32" s="81" t="s">
        <v>644</v>
      </c>
      <c r="O32" s="84" t="n">
        <f aca="false">IF($N32="مرتجع",0,K32*L32*(1-M32))</f>
        <v>585</v>
      </c>
      <c r="P32" s="84" t="n">
        <f aca="false">IF($N32="مرتجع",0,K32*IFERROR(INDEX(p_Cost,MATCH($F32,p_ID,0)),0))</f>
        <v>420</v>
      </c>
      <c r="Q32" s="84" t="n">
        <f aca="false">O32-P32</f>
        <v>165</v>
      </c>
      <c r="R32" s="86" t="n">
        <f aca="false">DATE(YEAR(B32),MONTH(B32),1)</f>
        <v>45931</v>
      </c>
      <c r="S32" s="83" t="str">
        <f aca="false">YEAR(B32)&amp;"-Q"&amp;ROUNDUP(MONTH(B32)/3,0)</f>
        <v>2025-Q4</v>
      </c>
      <c r="T32" s="87" t="n">
        <f aca="false">IF(O32&gt;0,Q32/O32,"")</f>
        <v>0.282051282051282</v>
      </c>
      <c r="U32" s="84" t="n">
        <f aca="false">IF(O32&gt;0,O32,"")</f>
        <v>585</v>
      </c>
    </row>
    <row r="33" customFormat="false" ht="15" hidden="false" customHeight="false" outlineLevel="0" collapsed="false">
      <c r="A33" s="81" t="s">
        <v>676</v>
      </c>
      <c r="B33" s="82" t="n">
        <v>45939</v>
      </c>
      <c r="C33" s="81" t="s">
        <v>404</v>
      </c>
      <c r="D33" s="83" t="str">
        <f aca="false">IFERROR(INDEX(c_Name,MATCH($C33,c_ID,0)),"غير معرّف")</f>
        <v>عبدالله الحسيني</v>
      </c>
      <c r="E33" s="83" t="str">
        <f aca="false">IFERROR(INDEX(c_Region,MATCH($C33,c_ID,0)),"غير معرّف")</f>
        <v>الشرقية</v>
      </c>
      <c r="F33" s="81" t="s">
        <v>167</v>
      </c>
      <c r="G33" s="83" t="str">
        <f aca="false">IFERROR(INDEX(p_Name,MATCH($F33,p_ID,0)),"غير معرّف")</f>
        <v>شاشة 27 بوصة</v>
      </c>
      <c r="H33" s="83" t="str">
        <f aca="false">IFERROR(INDEX(p_Cat,MATCH($F33,p_ID,0)),"غير معرّف")</f>
        <v>إلكترونيات</v>
      </c>
      <c r="I33" s="81" t="s">
        <v>461</v>
      </c>
      <c r="J33" s="81" t="s">
        <v>91</v>
      </c>
      <c r="K33" s="81" t="n">
        <v>1</v>
      </c>
      <c r="L33" s="84" t="n">
        <f aca="false">IFERROR(INDEX(p_Price,MATCH($F33,p_ID,0)),0)</f>
        <v>1100</v>
      </c>
      <c r="M33" s="85" t="n">
        <v>0.05</v>
      </c>
      <c r="N33" s="81" t="s">
        <v>644</v>
      </c>
      <c r="O33" s="84" t="n">
        <f aca="false">IF($N33="مرتجع",0,K33*L33*(1-M33))</f>
        <v>1045</v>
      </c>
      <c r="P33" s="84" t="n">
        <f aca="false">IF($N33="مرتجع",0,K33*IFERROR(INDEX(p_Cost,MATCH($F33,p_ID,0)),0))</f>
        <v>780</v>
      </c>
      <c r="Q33" s="84" t="n">
        <f aca="false">O33-P33</f>
        <v>265</v>
      </c>
      <c r="R33" s="86" t="n">
        <f aca="false">DATE(YEAR(B33),MONTH(B33),1)</f>
        <v>45931</v>
      </c>
      <c r="S33" s="83" t="str">
        <f aca="false">YEAR(B33)&amp;"-Q"&amp;ROUNDUP(MONTH(B33)/3,0)</f>
        <v>2025-Q4</v>
      </c>
      <c r="T33" s="87" t="n">
        <f aca="false">IF(O33&gt;0,Q33/O33,"")</f>
        <v>0.253588516746412</v>
      </c>
      <c r="U33" s="84" t="n">
        <f aca="false">IF(O33&gt;0,O33,"")</f>
        <v>1045</v>
      </c>
    </row>
    <row r="34" customFormat="false" ht="15" hidden="false" customHeight="false" outlineLevel="0" collapsed="false">
      <c r="A34" s="81" t="s">
        <v>677</v>
      </c>
      <c r="B34" s="82" t="n">
        <v>45939</v>
      </c>
      <c r="C34" s="81" t="s">
        <v>361</v>
      </c>
      <c r="D34" s="83" t="str">
        <f aca="false">IFERROR(INDEX(c_Name,MATCH($C34,c_ID,0)),"غير معرّف")</f>
        <v>دانة المطيري</v>
      </c>
      <c r="E34" s="83" t="str">
        <f aca="false">IFERROR(INDEX(c_Region,MATCH($C34,c_ID,0)),"غير معرّف")</f>
        <v>الشرقية</v>
      </c>
      <c r="F34" s="81" t="s">
        <v>172</v>
      </c>
      <c r="G34" s="83" t="str">
        <f aca="false">IFERROR(INDEX(p_Name,MATCH($F34,p_ID,0)),"غير معرّف")</f>
        <v>مكتب عمل</v>
      </c>
      <c r="H34" s="83" t="str">
        <f aca="false">IFERROR(INDEX(p_Cat,MATCH($F34,p_ID,0)),"غير معرّف")</f>
        <v>أثاث</v>
      </c>
      <c r="I34" s="81" t="s">
        <v>463</v>
      </c>
      <c r="J34" s="81" t="s">
        <v>91</v>
      </c>
      <c r="K34" s="81" t="n">
        <v>1</v>
      </c>
      <c r="L34" s="84" t="n">
        <f aca="false">IFERROR(INDEX(p_Price,MATCH($F34,p_ID,0)),0)</f>
        <v>1200</v>
      </c>
      <c r="M34" s="85" t="n">
        <v>0.05</v>
      </c>
      <c r="N34" s="81" t="s">
        <v>644</v>
      </c>
      <c r="O34" s="84" t="n">
        <f aca="false">IF($N34="مرتجع",0,K34*L34*(1-M34))</f>
        <v>1140</v>
      </c>
      <c r="P34" s="84" t="n">
        <f aca="false">IF($N34="مرتجع",0,K34*IFERROR(INDEX(p_Cost,MATCH($F34,p_ID,0)),0))</f>
        <v>700</v>
      </c>
      <c r="Q34" s="84" t="n">
        <f aca="false">O34-P34</f>
        <v>440</v>
      </c>
      <c r="R34" s="86" t="n">
        <f aca="false">DATE(YEAR(B34),MONTH(B34),1)</f>
        <v>45931</v>
      </c>
      <c r="S34" s="83" t="str">
        <f aca="false">YEAR(B34)&amp;"-Q"&amp;ROUNDUP(MONTH(B34)/3,0)</f>
        <v>2025-Q4</v>
      </c>
      <c r="T34" s="87" t="n">
        <f aca="false">IF(O34&gt;0,Q34/O34,"")</f>
        <v>0.385964912280702</v>
      </c>
      <c r="U34" s="84" t="n">
        <f aca="false">IF(O34&gt;0,O34,"")</f>
        <v>1140</v>
      </c>
    </row>
    <row r="35" customFormat="false" ht="15" hidden="false" customHeight="false" outlineLevel="0" collapsed="false">
      <c r="A35" s="81" t="s">
        <v>678</v>
      </c>
      <c r="B35" s="82" t="n">
        <v>45940</v>
      </c>
      <c r="C35" s="81" t="s">
        <v>237</v>
      </c>
      <c r="D35" s="83" t="str">
        <f aca="false">IFERROR(INDEX(c_Name,MATCH($C35,c_ID,0)),"غير معرّف")</f>
        <v>محمد البلوي</v>
      </c>
      <c r="E35" s="83" t="str">
        <f aca="false">IFERROR(INDEX(c_Region,MATCH($C35,c_ID,0)),"غير معرّف")</f>
        <v>الوسطى</v>
      </c>
      <c r="F35" s="81" t="s">
        <v>186</v>
      </c>
      <c r="G35" s="83" t="str">
        <f aca="false">IFERROR(INDEX(p_Name,MATCH($F35,p_ID,0)),"غير معرّف")</f>
        <v>مجفف شعر</v>
      </c>
      <c r="H35" s="83" t="str">
        <f aca="false">IFERROR(INDEX(p_Cat,MATCH($F35,p_ID,0)),"غير معرّف")</f>
        <v>عناية شخصية</v>
      </c>
      <c r="I35" s="81" t="s">
        <v>446</v>
      </c>
      <c r="J35" s="81" t="s">
        <v>93</v>
      </c>
      <c r="K35" s="81" t="n">
        <v>2</v>
      </c>
      <c r="L35" s="84" t="n">
        <f aca="false">IFERROR(INDEX(p_Price,MATCH($F35,p_ID,0)),0)</f>
        <v>280</v>
      </c>
      <c r="M35" s="85" t="n">
        <v>0</v>
      </c>
      <c r="N35" s="81" t="s">
        <v>644</v>
      </c>
      <c r="O35" s="84" t="n">
        <f aca="false">IF($N35="مرتجع",0,K35*L35*(1-M35))</f>
        <v>560</v>
      </c>
      <c r="P35" s="84" t="n">
        <f aca="false">IF($N35="مرتجع",0,K35*IFERROR(INDEX(p_Cost,MATCH($F35,p_ID,0)),0))</f>
        <v>280</v>
      </c>
      <c r="Q35" s="84" t="n">
        <f aca="false">O35-P35</f>
        <v>280</v>
      </c>
      <c r="R35" s="86" t="n">
        <f aca="false">DATE(YEAR(B35),MONTH(B35),1)</f>
        <v>45931</v>
      </c>
      <c r="S35" s="83" t="str">
        <f aca="false">YEAR(B35)&amp;"-Q"&amp;ROUNDUP(MONTH(B35)/3,0)</f>
        <v>2025-Q4</v>
      </c>
      <c r="T35" s="87" t="n">
        <f aca="false">IF(O35&gt;0,Q35/O35,"")</f>
        <v>0.5</v>
      </c>
      <c r="U35" s="84" t="n">
        <f aca="false">IF(O35&gt;0,O35,"")</f>
        <v>560</v>
      </c>
    </row>
    <row r="36" customFormat="false" ht="15" hidden="false" customHeight="false" outlineLevel="0" collapsed="false">
      <c r="A36" s="81" t="s">
        <v>679</v>
      </c>
      <c r="B36" s="82" t="n">
        <v>45940</v>
      </c>
      <c r="C36" s="81" t="s">
        <v>254</v>
      </c>
      <c r="D36" s="83" t="str">
        <f aca="false">IFERROR(INDEX(c_Name,MATCH($C36,c_ID,0)),"غير معرّف")</f>
        <v>عبدالله العتيبي</v>
      </c>
      <c r="E36" s="83" t="str">
        <f aca="false">IFERROR(INDEX(c_Region,MATCH($C36,c_ID,0)),"غير معرّف")</f>
        <v>الغربية</v>
      </c>
      <c r="F36" s="81" t="s">
        <v>169</v>
      </c>
      <c r="G36" s="83" t="str">
        <f aca="false">IFERROR(INDEX(p_Name,MATCH($F36,p_ID,0)),"غير معرّف")</f>
        <v>خلاط</v>
      </c>
      <c r="H36" s="83" t="str">
        <f aca="false">IFERROR(INDEX(p_Cat,MATCH($F36,p_ID,0)),"غير معرّف")</f>
        <v>أجهزة منزلية</v>
      </c>
      <c r="I36" s="81" t="s">
        <v>458</v>
      </c>
      <c r="J36" s="81" t="s">
        <v>91</v>
      </c>
      <c r="K36" s="81" t="n">
        <v>3</v>
      </c>
      <c r="L36" s="84" t="n">
        <f aca="false">IFERROR(INDEX(p_Price,MATCH($F36,p_ID,0)),0)</f>
        <v>300</v>
      </c>
      <c r="M36" s="85" t="n">
        <v>0.05</v>
      </c>
      <c r="N36" s="81" t="s">
        <v>650</v>
      </c>
      <c r="O36" s="84" t="n">
        <f aca="false">IF($N36="مرتجع",0,K36*L36*(1-M36))</f>
        <v>0</v>
      </c>
      <c r="P36" s="84" t="n">
        <f aca="false">IF($N36="مرتجع",0,K36*IFERROR(INDEX(p_Cost,MATCH($F36,p_ID,0)),0))</f>
        <v>0</v>
      </c>
      <c r="Q36" s="84" t="n">
        <f aca="false">O36-P36</f>
        <v>0</v>
      </c>
      <c r="R36" s="86" t="n">
        <f aca="false">DATE(YEAR(B36),MONTH(B36),1)</f>
        <v>45931</v>
      </c>
      <c r="S36" s="83" t="str">
        <f aca="false">YEAR(B36)&amp;"-Q"&amp;ROUNDUP(MONTH(B36)/3,0)</f>
        <v>2025-Q4</v>
      </c>
      <c r="T36" s="87" t="str">
        <f aca="false">IF(O36&gt;0,Q36/O36,"")</f>
        <v/>
      </c>
      <c r="U36" s="84" t="str">
        <f aca="false">IF(O36&gt;0,O36,"")</f>
        <v/>
      </c>
    </row>
    <row r="37" customFormat="false" ht="15" hidden="false" customHeight="false" outlineLevel="0" collapsed="false">
      <c r="A37" s="81" t="s">
        <v>680</v>
      </c>
      <c r="B37" s="82" t="n">
        <v>45940</v>
      </c>
      <c r="C37" s="81" t="s">
        <v>334</v>
      </c>
      <c r="D37" s="83" t="str">
        <f aca="false">IFERROR(INDEX(c_Name,MATCH($C37,c_ID,0)),"غير معرّف")</f>
        <v>ناصر الغامدي</v>
      </c>
      <c r="E37" s="83" t="str">
        <f aca="false">IFERROR(INDEX(c_Region,MATCH($C37,c_ID,0)),"غير معرّف")</f>
        <v>الغربية</v>
      </c>
      <c r="F37" s="81" t="s">
        <v>186</v>
      </c>
      <c r="G37" s="83" t="str">
        <f aca="false">IFERROR(INDEX(p_Name,MATCH($F37,p_ID,0)),"غير معرّف")</f>
        <v>مجفف شعر</v>
      </c>
      <c r="H37" s="83" t="str">
        <f aca="false">IFERROR(INDEX(p_Cat,MATCH($F37,p_ID,0)),"غير معرّف")</f>
        <v>عناية شخصية</v>
      </c>
      <c r="I37" s="81" t="s">
        <v>452</v>
      </c>
      <c r="J37" s="81" t="s">
        <v>91</v>
      </c>
      <c r="K37" s="81" t="n">
        <v>1</v>
      </c>
      <c r="L37" s="84" t="n">
        <f aca="false">IFERROR(INDEX(p_Price,MATCH($F37,p_ID,0)),0)</f>
        <v>280</v>
      </c>
      <c r="M37" s="85" t="n">
        <v>0</v>
      </c>
      <c r="N37" s="81" t="s">
        <v>644</v>
      </c>
      <c r="O37" s="84" t="n">
        <f aca="false">IF($N37="مرتجع",0,K37*L37*(1-M37))</f>
        <v>280</v>
      </c>
      <c r="P37" s="84" t="n">
        <f aca="false">IF($N37="مرتجع",0,K37*IFERROR(INDEX(p_Cost,MATCH($F37,p_ID,0)),0))</f>
        <v>140</v>
      </c>
      <c r="Q37" s="84" t="n">
        <f aca="false">O37-P37</f>
        <v>140</v>
      </c>
      <c r="R37" s="86" t="n">
        <f aca="false">DATE(YEAR(B37),MONTH(B37),1)</f>
        <v>45931</v>
      </c>
      <c r="S37" s="83" t="str">
        <f aca="false">YEAR(B37)&amp;"-Q"&amp;ROUNDUP(MONTH(B37)/3,0)</f>
        <v>2025-Q4</v>
      </c>
      <c r="T37" s="87" t="n">
        <f aca="false">IF(O37&gt;0,Q37/O37,"")</f>
        <v>0.5</v>
      </c>
      <c r="U37" s="84" t="n">
        <f aca="false">IF(O37&gt;0,O37,"")</f>
        <v>280</v>
      </c>
    </row>
    <row r="38" customFormat="false" ht="15" hidden="false" customHeight="false" outlineLevel="0" collapsed="false">
      <c r="A38" s="81" t="s">
        <v>681</v>
      </c>
      <c r="B38" s="82" t="n">
        <v>45940</v>
      </c>
      <c r="C38" s="81" t="s">
        <v>248</v>
      </c>
      <c r="D38" s="83" t="str">
        <f aca="false">IFERROR(INDEX(c_Name,MATCH($C38,c_ID,0)),"غير معرّف")</f>
        <v>خالد الشهري</v>
      </c>
      <c r="E38" s="83" t="str">
        <f aca="false">IFERROR(INDEX(c_Region,MATCH($C38,c_ID,0)),"غير معرّف")</f>
        <v>الوسطى</v>
      </c>
      <c r="F38" s="81" t="s">
        <v>181</v>
      </c>
      <c r="G38" s="83" t="str">
        <f aca="false">IFERROR(INDEX(p_Name,MATCH($F38,p_ID,0)),"غير معرّف")</f>
        <v>دراجة ثابتة</v>
      </c>
      <c r="H38" s="83" t="str">
        <f aca="false">IFERROR(INDEX(p_Cat,MATCH($F38,p_ID,0)),"غير معرّف")</f>
        <v>رياضة</v>
      </c>
      <c r="I38" s="81" t="s">
        <v>449</v>
      </c>
      <c r="J38" s="81" t="s">
        <v>91</v>
      </c>
      <c r="K38" s="81" t="n">
        <v>1</v>
      </c>
      <c r="L38" s="84" t="n">
        <f aca="false">IFERROR(INDEX(p_Price,MATCH($F38,p_ID,0)),0)</f>
        <v>1800</v>
      </c>
      <c r="M38" s="85" t="n">
        <v>0.1</v>
      </c>
      <c r="N38" s="81" t="s">
        <v>644</v>
      </c>
      <c r="O38" s="84" t="n">
        <f aca="false">IF($N38="مرتجع",0,K38*L38*(1-M38))</f>
        <v>1620</v>
      </c>
      <c r="P38" s="84" t="n">
        <f aca="false">IF($N38="مرتجع",0,K38*IFERROR(INDEX(p_Cost,MATCH($F38,p_ID,0)),0))</f>
        <v>1200</v>
      </c>
      <c r="Q38" s="84" t="n">
        <f aca="false">O38-P38</f>
        <v>420</v>
      </c>
      <c r="R38" s="86" t="n">
        <f aca="false">DATE(YEAR(B38),MONTH(B38),1)</f>
        <v>45931</v>
      </c>
      <c r="S38" s="83" t="str">
        <f aca="false">YEAR(B38)&amp;"-Q"&amp;ROUNDUP(MONTH(B38)/3,0)</f>
        <v>2025-Q4</v>
      </c>
      <c r="T38" s="87" t="n">
        <f aca="false">IF(O38&gt;0,Q38/O38,"")</f>
        <v>0.259259259259259</v>
      </c>
      <c r="U38" s="84" t="n">
        <f aca="false">IF(O38&gt;0,O38,"")</f>
        <v>1620</v>
      </c>
    </row>
    <row r="39" customFormat="false" ht="15" hidden="false" customHeight="false" outlineLevel="0" collapsed="false">
      <c r="A39" s="81" t="s">
        <v>682</v>
      </c>
      <c r="B39" s="82" t="n">
        <v>45940</v>
      </c>
      <c r="C39" s="81" t="s">
        <v>238</v>
      </c>
      <c r="D39" s="83" t="str">
        <f aca="false">IFERROR(INDEX(c_Name,MATCH($C39,c_ID,0)),"غير معرّف")</f>
        <v>سارة البلوي</v>
      </c>
      <c r="E39" s="83" t="str">
        <f aca="false">IFERROR(INDEX(c_Region,MATCH($C39,c_ID,0)),"غير معرّف")</f>
        <v>الغربية</v>
      </c>
      <c r="F39" s="81" t="s">
        <v>186</v>
      </c>
      <c r="G39" s="83" t="str">
        <f aca="false">IFERROR(INDEX(p_Name,MATCH($F39,p_ID,0)),"غير معرّف")</f>
        <v>مجفف شعر</v>
      </c>
      <c r="H39" s="83" t="str">
        <f aca="false">IFERROR(INDEX(p_Cat,MATCH($F39,p_ID,0)),"غير معرّف")</f>
        <v>عناية شخصية</v>
      </c>
      <c r="I39" s="81" t="s">
        <v>452</v>
      </c>
      <c r="J39" s="81" t="s">
        <v>93</v>
      </c>
      <c r="K39" s="81" t="n">
        <v>2</v>
      </c>
      <c r="L39" s="84" t="n">
        <f aca="false">IFERROR(INDEX(p_Price,MATCH($F39,p_ID,0)),0)</f>
        <v>280</v>
      </c>
      <c r="M39" s="85" t="n">
        <v>0</v>
      </c>
      <c r="N39" s="81" t="s">
        <v>644</v>
      </c>
      <c r="O39" s="84" t="n">
        <f aca="false">IF($N39="مرتجع",0,K39*L39*(1-M39))</f>
        <v>560</v>
      </c>
      <c r="P39" s="84" t="n">
        <f aca="false">IF($N39="مرتجع",0,K39*IFERROR(INDEX(p_Cost,MATCH($F39,p_ID,0)),0))</f>
        <v>280</v>
      </c>
      <c r="Q39" s="84" t="n">
        <f aca="false">O39-P39</f>
        <v>280</v>
      </c>
      <c r="R39" s="86" t="n">
        <f aca="false">DATE(YEAR(B39),MONTH(B39),1)</f>
        <v>45931</v>
      </c>
      <c r="S39" s="83" t="str">
        <f aca="false">YEAR(B39)&amp;"-Q"&amp;ROUNDUP(MONTH(B39)/3,0)</f>
        <v>2025-Q4</v>
      </c>
      <c r="T39" s="87" t="n">
        <f aca="false">IF(O39&gt;0,Q39/O39,"")</f>
        <v>0.5</v>
      </c>
      <c r="U39" s="84" t="n">
        <f aca="false">IF(O39&gt;0,O39,"")</f>
        <v>560</v>
      </c>
    </row>
    <row r="40" customFormat="false" ht="15" hidden="false" customHeight="false" outlineLevel="0" collapsed="false">
      <c r="A40" s="81" t="s">
        <v>683</v>
      </c>
      <c r="B40" s="82" t="n">
        <v>45940</v>
      </c>
      <c r="C40" s="81" t="s">
        <v>296</v>
      </c>
      <c r="D40" s="83" t="str">
        <f aca="false">IFERROR(INDEX(c_Name,MATCH($C40,c_ID,0)),"غير معرّف")</f>
        <v>محمد الزهراني</v>
      </c>
      <c r="E40" s="83" t="str">
        <f aca="false">IFERROR(INDEX(c_Region,MATCH($C40,c_ID,0)),"غير معرّف")</f>
        <v>الغربية</v>
      </c>
      <c r="F40" s="81" t="s">
        <v>176</v>
      </c>
      <c r="G40" s="83" t="str">
        <f aca="false">IFERROR(INDEX(p_Name,MATCH($F40,p_ID,0)),"غير معرّف")</f>
        <v>طابعة ليزر</v>
      </c>
      <c r="H40" s="83" t="str">
        <f aca="false">IFERROR(INDEX(p_Cat,MATCH($F40,p_ID,0)),"غير معرّف")</f>
        <v>مستلزمات مكتبية</v>
      </c>
      <c r="I40" s="81" t="s">
        <v>455</v>
      </c>
      <c r="J40" s="81" t="s">
        <v>91</v>
      </c>
      <c r="K40" s="81" t="n">
        <v>1</v>
      </c>
      <c r="L40" s="84" t="n">
        <f aca="false">IFERROR(INDEX(p_Price,MATCH($F40,p_ID,0)),0)</f>
        <v>1300</v>
      </c>
      <c r="M40" s="85" t="n">
        <v>0.1</v>
      </c>
      <c r="N40" s="81" t="s">
        <v>644</v>
      </c>
      <c r="O40" s="84" t="n">
        <f aca="false">IF($N40="مرتجع",0,K40*L40*(1-M40))</f>
        <v>1170</v>
      </c>
      <c r="P40" s="84" t="n">
        <f aca="false">IF($N40="مرتجع",0,K40*IFERROR(INDEX(p_Cost,MATCH($F40,p_ID,0)),0))</f>
        <v>950</v>
      </c>
      <c r="Q40" s="84" t="n">
        <f aca="false">O40-P40</f>
        <v>220</v>
      </c>
      <c r="R40" s="86" t="n">
        <f aca="false">DATE(YEAR(B40),MONTH(B40),1)</f>
        <v>45931</v>
      </c>
      <c r="S40" s="83" t="str">
        <f aca="false">YEAR(B40)&amp;"-Q"&amp;ROUNDUP(MONTH(B40)/3,0)</f>
        <v>2025-Q4</v>
      </c>
      <c r="T40" s="87" t="n">
        <f aca="false">IF(O40&gt;0,Q40/O40,"")</f>
        <v>0.188034188034188</v>
      </c>
      <c r="U40" s="84" t="n">
        <f aca="false">IF(O40&gt;0,O40,"")</f>
        <v>1170</v>
      </c>
    </row>
    <row r="41" customFormat="false" ht="15" hidden="false" customHeight="false" outlineLevel="0" collapsed="false">
      <c r="A41" s="81" t="s">
        <v>684</v>
      </c>
      <c r="B41" s="82" t="n">
        <v>45940</v>
      </c>
      <c r="C41" s="81" t="s">
        <v>241</v>
      </c>
      <c r="D41" s="83" t="str">
        <f aca="false">IFERROR(INDEX(c_Name,MATCH($C41,c_ID,0)),"غير معرّف")</f>
        <v>فهد الزهراني</v>
      </c>
      <c r="E41" s="83" t="str">
        <f aca="false">IFERROR(INDEX(c_Region,MATCH($C41,c_ID,0)),"غير معرّف")</f>
        <v>الجنوبية</v>
      </c>
      <c r="F41" s="81" t="s">
        <v>171</v>
      </c>
      <c r="G41" s="83" t="str">
        <f aca="false">IFERROR(INDEX(p_Name,MATCH($F41,p_ID,0)),"غير معرّف")</f>
        <v>قلاية هوائية</v>
      </c>
      <c r="H41" s="83" t="str">
        <f aca="false">IFERROR(INDEX(p_Cat,MATCH($F41,p_ID,0)),"غير معرّف")</f>
        <v>أجهزة منزلية</v>
      </c>
      <c r="I41" s="81" t="s">
        <v>465</v>
      </c>
      <c r="J41" s="81" t="s">
        <v>93</v>
      </c>
      <c r="K41" s="81" t="n">
        <v>3</v>
      </c>
      <c r="L41" s="84" t="n">
        <f aca="false">IFERROR(INDEX(p_Price,MATCH($F41,p_ID,0)),0)</f>
        <v>520</v>
      </c>
      <c r="M41" s="85" t="n">
        <v>0.1</v>
      </c>
      <c r="N41" s="81" t="s">
        <v>644</v>
      </c>
      <c r="O41" s="84" t="n">
        <f aca="false">IF($N41="مرتجع",0,K41*L41*(1-M41))</f>
        <v>1404</v>
      </c>
      <c r="P41" s="84" t="n">
        <f aca="false">IF($N41="مرتجع",0,K41*IFERROR(INDEX(p_Cost,MATCH($F41,p_ID,0)),0))</f>
        <v>900</v>
      </c>
      <c r="Q41" s="84" t="n">
        <f aca="false">O41-P41</f>
        <v>504</v>
      </c>
      <c r="R41" s="86" t="n">
        <f aca="false">DATE(YEAR(B41),MONTH(B41),1)</f>
        <v>45931</v>
      </c>
      <c r="S41" s="83" t="str">
        <f aca="false">YEAR(B41)&amp;"-Q"&amp;ROUNDUP(MONTH(B41)/3,0)</f>
        <v>2025-Q4</v>
      </c>
      <c r="T41" s="87" t="n">
        <f aca="false">IF(O41&gt;0,Q41/O41,"")</f>
        <v>0.358974358974359</v>
      </c>
      <c r="U41" s="84" t="n">
        <f aca="false">IF(O41&gt;0,O41,"")</f>
        <v>1404</v>
      </c>
    </row>
    <row r="42" customFormat="false" ht="15" hidden="false" customHeight="false" outlineLevel="0" collapsed="false">
      <c r="A42" s="81" t="s">
        <v>685</v>
      </c>
      <c r="B42" s="82" t="n">
        <v>45941</v>
      </c>
      <c r="C42" s="81" t="s">
        <v>340</v>
      </c>
      <c r="D42" s="83" t="str">
        <f aca="false">IFERROR(INDEX(c_Name,MATCH($C42,c_ID,0)),"غير معرّف")</f>
        <v>سعد الشهري</v>
      </c>
      <c r="E42" s="83" t="str">
        <f aca="false">IFERROR(INDEX(c_Region,MATCH($C42,c_ID,0)),"غير معرّف")</f>
        <v>الوسطى</v>
      </c>
      <c r="F42" s="81" t="s">
        <v>168</v>
      </c>
      <c r="G42" s="83" t="str">
        <f aca="false">IFERROR(INDEX(p_Name,MATCH($F42,p_ID,0)),"غير معرّف")</f>
        <v>مكنسة كهربائية</v>
      </c>
      <c r="H42" s="83" t="str">
        <f aca="false">IFERROR(INDEX(p_Cat,MATCH($F42,p_ID,0)),"غير معرّف")</f>
        <v>أجهزة منزلية</v>
      </c>
      <c r="I42" s="81" t="s">
        <v>446</v>
      </c>
      <c r="J42" s="81" t="s">
        <v>91</v>
      </c>
      <c r="K42" s="81" t="n">
        <v>1</v>
      </c>
      <c r="L42" s="84" t="n">
        <f aca="false">IFERROR(INDEX(p_Price,MATCH($F42,p_ID,0)),0)</f>
        <v>650</v>
      </c>
      <c r="M42" s="85" t="n">
        <v>0.1</v>
      </c>
      <c r="N42" s="81" t="s">
        <v>644</v>
      </c>
      <c r="O42" s="84" t="n">
        <f aca="false">IF($N42="مرتجع",0,K42*L42*(1-M42))</f>
        <v>585</v>
      </c>
      <c r="P42" s="84" t="n">
        <f aca="false">IF($N42="مرتجع",0,K42*IFERROR(INDEX(p_Cost,MATCH($F42,p_ID,0)),0))</f>
        <v>420</v>
      </c>
      <c r="Q42" s="84" t="n">
        <f aca="false">O42-P42</f>
        <v>165</v>
      </c>
      <c r="R42" s="86" t="n">
        <f aca="false">DATE(YEAR(B42),MONTH(B42),1)</f>
        <v>45931</v>
      </c>
      <c r="S42" s="83" t="str">
        <f aca="false">YEAR(B42)&amp;"-Q"&amp;ROUNDUP(MONTH(B42)/3,0)</f>
        <v>2025-Q4</v>
      </c>
      <c r="T42" s="87" t="n">
        <f aca="false">IF(O42&gt;0,Q42/O42,"")</f>
        <v>0.282051282051282</v>
      </c>
      <c r="U42" s="84" t="n">
        <f aca="false">IF(O42&gt;0,O42,"")</f>
        <v>585</v>
      </c>
    </row>
    <row r="43" customFormat="false" ht="15" hidden="false" customHeight="false" outlineLevel="0" collapsed="false">
      <c r="A43" s="81" t="s">
        <v>686</v>
      </c>
      <c r="B43" s="82" t="n">
        <v>45942</v>
      </c>
      <c r="C43" s="81" t="s">
        <v>410</v>
      </c>
      <c r="D43" s="83" t="str">
        <f aca="false">IFERROR(INDEX(c_Name,MATCH($C43,c_ID,0)),"غير معرّف")</f>
        <v>لمى الحربي</v>
      </c>
      <c r="E43" s="83" t="str">
        <f aca="false">IFERROR(INDEX(c_Region,MATCH($C43,c_ID,0)),"غير معرّف")</f>
        <v>الوسطى</v>
      </c>
      <c r="F43" s="81" t="s">
        <v>165</v>
      </c>
      <c r="G43" s="83" t="str">
        <f aca="false">IFERROR(INDEX(p_Name,MATCH($F43,p_ID,0)),"غير معرّف")</f>
        <v>حاسوب محمول</v>
      </c>
      <c r="H43" s="83" t="str">
        <f aca="false">IFERROR(INDEX(p_Cat,MATCH($F43,p_ID,0)),"غير معرّف")</f>
        <v>إلكترونيات</v>
      </c>
      <c r="I43" s="81" t="s">
        <v>446</v>
      </c>
      <c r="J43" s="81" t="s">
        <v>93</v>
      </c>
      <c r="K43" s="81" t="n">
        <v>1</v>
      </c>
      <c r="L43" s="84" t="n">
        <f aca="false">IFERROR(INDEX(p_Price,MATCH($F43,p_ID,0)),0)</f>
        <v>3800</v>
      </c>
      <c r="M43" s="85" t="n">
        <v>0</v>
      </c>
      <c r="N43" s="81" t="s">
        <v>644</v>
      </c>
      <c r="O43" s="84" t="n">
        <f aca="false">IF($N43="مرتجع",0,K43*L43*(1-M43))</f>
        <v>3800</v>
      </c>
      <c r="P43" s="84" t="n">
        <f aca="false">IF($N43="مرتجع",0,K43*IFERROR(INDEX(p_Cost,MATCH($F43,p_ID,0)),0))</f>
        <v>2900</v>
      </c>
      <c r="Q43" s="84" t="n">
        <f aca="false">O43-P43</f>
        <v>900</v>
      </c>
      <c r="R43" s="86" t="n">
        <f aca="false">DATE(YEAR(B43),MONTH(B43),1)</f>
        <v>45931</v>
      </c>
      <c r="S43" s="83" t="str">
        <f aca="false">YEAR(B43)&amp;"-Q"&amp;ROUNDUP(MONTH(B43)/3,0)</f>
        <v>2025-Q4</v>
      </c>
      <c r="T43" s="87" t="n">
        <f aca="false">IF(O43&gt;0,Q43/O43,"")</f>
        <v>0.236842105263158</v>
      </c>
      <c r="U43" s="84" t="n">
        <f aca="false">IF(O43&gt;0,O43,"")</f>
        <v>3800</v>
      </c>
    </row>
    <row r="44" customFormat="false" ht="15" hidden="false" customHeight="false" outlineLevel="0" collapsed="false">
      <c r="A44" s="81" t="s">
        <v>687</v>
      </c>
      <c r="B44" s="82" t="n">
        <v>45942</v>
      </c>
      <c r="C44" s="81" t="s">
        <v>306</v>
      </c>
      <c r="D44" s="83" t="str">
        <f aca="false">IFERROR(INDEX(c_Name,MATCH($C44,c_ID,0)),"غير معرّف")</f>
        <v>أحمد العنزي</v>
      </c>
      <c r="E44" s="83" t="str">
        <f aca="false">IFERROR(INDEX(c_Region,MATCH($C44,c_ID,0)),"غير معرّف")</f>
        <v>الغربية</v>
      </c>
      <c r="F44" s="81" t="s">
        <v>172</v>
      </c>
      <c r="G44" s="83" t="str">
        <f aca="false">IFERROR(INDEX(p_Name,MATCH($F44,p_ID,0)),"غير معرّف")</f>
        <v>مكتب عمل</v>
      </c>
      <c r="H44" s="83" t="str">
        <f aca="false">IFERROR(INDEX(p_Cat,MATCH($F44,p_ID,0)),"غير معرّف")</f>
        <v>أثاث</v>
      </c>
      <c r="I44" s="81" t="s">
        <v>452</v>
      </c>
      <c r="J44" s="81" t="s">
        <v>93</v>
      </c>
      <c r="K44" s="81" t="n">
        <v>3</v>
      </c>
      <c r="L44" s="84" t="n">
        <f aca="false">IFERROR(INDEX(p_Price,MATCH($F44,p_ID,0)),0)</f>
        <v>1200</v>
      </c>
      <c r="M44" s="85" t="n">
        <v>0.1</v>
      </c>
      <c r="N44" s="81" t="s">
        <v>644</v>
      </c>
      <c r="O44" s="84" t="n">
        <f aca="false">IF($N44="مرتجع",0,K44*L44*(1-M44))</f>
        <v>3240</v>
      </c>
      <c r="P44" s="84" t="n">
        <f aca="false">IF($N44="مرتجع",0,K44*IFERROR(INDEX(p_Cost,MATCH($F44,p_ID,0)),0))</f>
        <v>2100</v>
      </c>
      <c r="Q44" s="84" t="n">
        <f aca="false">O44-P44</f>
        <v>1140</v>
      </c>
      <c r="R44" s="86" t="n">
        <f aca="false">DATE(YEAR(B44),MONTH(B44),1)</f>
        <v>45931</v>
      </c>
      <c r="S44" s="83" t="str">
        <f aca="false">YEAR(B44)&amp;"-Q"&amp;ROUNDUP(MONTH(B44)/3,0)</f>
        <v>2025-Q4</v>
      </c>
      <c r="T44" s="87" t="n">
        <f aca="false">IF(O44&gt;0,Q44/O44,"")</f>
        <v>0.351851851851852</v>
      </c>
      <c r="U44" s="84" t="n">
        <f aca="false">IF(O44&gt;0,O44,"")</f>
        <v>3240</v>
      </c>
    </row>
    <row r="45" customFormat="false" ht="15" hidden="false" customHeight="false" outlineLevel="0" collapsed="false">
      <c r="A45" s="81" t="s">
        <v>688</v>
      </c>
      <c r="B45" s="82" t="n">
        <v>45942</v>
      </c>
      <c r="C45" s="81" t="s">
        <v>329</v>
      </c>
      <c r="D45" s="83" t="str">
        <f aca="false">IFERROR(INDEX(c_Name,MATCH($C45,c_ID,0)),"غير معرّف")</f>
        <v>فهد القحطاني</v>
      </c>
      <c r="E45" s="83" t="str">
        <f aca="false">IFERROR(INDEX(c_Region,MATCH($C45,c_ID,0)),"غير معرّف")</f>
        <v>الغربية</v>
      </c>
      <c r="F45" s="81" t="s">
        <v>179</v>
      </c>
      <c r="G45" s="83" t="str">
        <f aca="false">IFERROR(INDEX(p_Name,MATCH($F45,p_ID,0)),"غير معرّف")</f>
        <v>طقم أدوات مكتبية</v>
      </c>
      <c r="H45" s="83" t="str">
        <f aca="false">IFERROR(INDEX(p_Cat,MATCH($F45,p_ID,0)),"غير معرّف")</f>
        <v>مستلزمات مكتبية</v>
      </c>
      <c r="I45" s="81" t="s">
        <v>455</v>
      </c>
      <c r="J45" s="81" t="s">
        <v>93</v>
      </c>
      <c r="K45" s="81" t="n">
        <v>4</v>
      </c>
      <c r="L45" s="84" t="n">
        <f aca="false">IFERROR(INDEX(p_Price,MATCH($F45,p_ID,0)),0)</f>
        <v>90</v>
      </c>
      <c r="M45" s="85" t="n">
        <v>0.05</v>
      </c>
      <c r="N45" s="81" t="s">
        <v>644</v>
      </c>
      <c r="O45" s="84" t="n">
        <f aca="false">IF($N45="مرتجع",0,K45*L45*(1-M45))</f>
        <v>342</v>
      </c>
      <c r="P45" s="84" t="n">
        <f aca="false">IF($N45="مرتجع",0,K45*IFERROR(INDEX(p_Cost,MATCH($F45,p_ID,0)),0))</f>
        <v>180</v>
      </c>
      <c r="Q45" s="84" t="n">
        <f aca="false">O45-P45</f>
        <v>162</v>
      </c>
      <c r="R45" s="86" t="n">
        <f aca="false">DATE(YEAR(B45),MONTH(B45),1)</f>
        <v>45931</v>
      </c>
      <c r="S45" s="83" t="str">
        <f aca="false">YEAR(B45)&amp;"-Q"&amp;ROUNDUP(MONTH(B45)/3,0)</f>
        <v>2025-Q4</v>
      </c>
      <c r="T45" s="87" t="n">
        <f aca="false">IF(O45&gt;0,Q45/O45,"")</f>
        <v>0.473684210526316</v>
      </c>
      <c r="U45" s="84" t="n">
        <f aca="false">IF(O45&gt;0,O45,"")</f>
        <v>342</v>
      </c>
    </row>
    <row r="46" customFormat="false" ht="15" hidden="false" customHeight="false" outlineLevel="0" collapsed="false">
      <c r="A46" s="81" t="s">
        <v>689</v>
      </c>
      <c r="B46" s="82" t="n">
        <v>45942</v>
      </c>
      <c r="C46" s="81" t="s">
        <v>430</v>
      </c>
      <c r="D46" s="83" t="str">
        <f aca="false">IFERROR(INDEX(c_Name,MATCH($C46,c_ID,0)),"غير معرّف")</f>
        <v>ليلى الحربي</v>
      </c>
      <c r="E46" s="83" t="str">
        <f aca="false">IFERROR(INDEX(c_Region,MATCH($C46,c_ID,0)),"غير معرّف")</f>
        <v>الجنوبية</v>
      </c>
      <c r="F46" s="81" t="s">
        <v>177</v>
      </c>
      <c r="G46" s="83" t="str">
        <f aca="false">IFERROR(INDEX(p_Name,MATCH($F46,p_ID,0)),"غير معرّف")</f>
        <v>ورق A4 (صندوق)</v>
      </c>
      <c r="H46" s="83" t="str">
        <f aca="false">IFERROR(INDEX(p_Cat,MATCH($F46,p_ID,0)),"غير معرّف")</f>
        <v>مستلزمات مكتبية</v>
      </c>
      <c r="I46" s="81" t="s">
        <v>467</v>
      </c>
      <c r="J46" s="81" t="s">
        <v>93</v>
      </c>
      <c r="K46" s="81" t="n">
        <v>2</v>
      </c>
      <c r="L46" s="84" t="n">
        <f aca="false">IFERROR(INDEX(p_Price,MATCH($F46,p_ID,0)),0)</f>
        <v>140</v>
      </c>
      <c r="M46" s="85" t="n">
        <v>0</v>
      </c>
      <c r="N46" s="81" t="s">
        <v>644</v>
      </c>
      <c r="O46" s="84" t="n">
        <f aca="false">IF($N46="مرتجع",0,K46*L46*(1-M46))</f>
        <v>280</v>
      </c>
      <c r="P46" s="84" t="n">
        <f aca="false">IF($N46="مرتجع",0,K46*IFERROR(INDEX(p_Cost,MATCH($F46,p_ID,0)),0))</f>
        <v>190</v>
      </c>
      <c r="Q46" s="84" t="n">
        <f aca="false">O46-P46</f>
        <v>90</v>
      </c>
      <c r="R46" s="86" t="n">
        <f aca="false">DATE(YEAR(B46),MONTH(B46),1)</f>
        <v>45931</v>
      </c>
      <c r="S46" s="83" t="str">
        <f aca="false">YEAR(B46)&amp;"-Q"&amp;ROUNDUP(MONTH(B46)/3,0)</f>
        <v>2025-Q4</v>
      </c>
      <c r="T46" s="87" t="n">
        <f aca="false">IF(O46&gt;0,Q46/O46,"")</f>
        <v>0.321428571428571</v>
      </c>
      <c r="U46" s="84" t="n">
        <f aca="false">IF(O46&gt;0,O46,"")</f>
        <v>280</v>
      </c>
    </row>
    <row r="47" customFormat="false" ht="15" hidden="false" customHeight="false" outlineLevel="0" collapsed="false">
      <c r="A47" s="81" t="s">
        <v>690</v>
      </c>
      <c r="B47" s="82" t="n">
        <v>45942</v>
      </c>
      <c r="C47" s="81" t="s">
        <v>428</v>
      </c>
      <c r="D47" s="83" t="str">
        <f aca="false">IFERROR(INDEX(c_Name,MATCH($C47,c_ID,0)),"غير معرّف")</f>
        <v>عبدالله القحطاني</v>
      </c>
      <c r="E47" s="83" t="str">
        <f aca="false">IFERROR(INDEX(c_Region,MATCH($C47,c_ID,0)),"غير معرّف")</f>
        <v>الوسطى</v>
      </c>
      <c r="F47" s="81" t="s">
        <v>184</v>
      </c>
      <c r="G47" s="83" t="str">
        <f aca="false">IFERROR(INDEX(p_Name,MATCH($F47,p_ID,0)),"غير معرّف")</f>
        <v>عطر فاخر</v>
      </c>
      <c r="H47" s="83" t="str">
        <f aca="false">IFERROR(INDEX(p_Cat,MATCH($F47,p_ID,0)),"غير معرّف")</f>
        <v>عناية شخصية</v>
      </c>
      <c r="I47" s="81" t="s">
        <v>443</v>
      </c>
      <c r="J47" s="81" t="s">
        <v>91</v>
      </c>
      <c r="K47" s="81" t="n">
        <v>2</v>
      </c>
      <c r="L47" s="84" t="n">
        <f aca="false">IFERROR(INDEX(p_Price,MATCH($F47,p_ID,0)),0)</f>
        <v>520</v>
      </c>
      <c r="M47" s="85" t="n">
        <v>0.1</v>
      </c>
      <c r="N47" s="81" t="s">
        <v>644</v>
      </c>
      <c r="O47" s="84" t="n">
        <f aca="false">IF($N47="مرتجع",0,K47*L47*(1-M47))</f>
        <v>936</v>
      </c>
      <c r="P47" s="84" t="n">
        <f aca="false">IF($N47="مرتجع",0,K47*IFERROR(INDEX(p_Cost,MATCH($F47,p_ID,0)),0))</f>
        <v>420</v>
      </c>
      <c r="Q47" s="84" t="n">
        <f aca="false">O47-P47</f>
        <v>516</v>
      </c>
      <c r="R47" s="86" t="n">
        <f aca="false">DATE(YEAR(B47),MONTH(B47),1)</f>
        <v>45931</v>
      </c>
      <c r="S47" s="83" t="str">
        <f aca="false">YEAR(B47)&amp;"-Q"&amp;ROUNDUP(MONTH(B47)/3,0)</f>
        <v>2025-Q4</v>
      </c>
      <c r="T47" s="87" t="n">
        <f aca="false">IF(O47&gt;0,Q47/O47,"")</f>
        <v>0.551282051282051</v>
      </c>
      <c r="U47" s="84" t="n">
        <f aca="false">IF(O47&gt;0,O47,"")</f>
        <v>936</v>
      </c>
    </row>
    <row r="48" customFormat="false" ht="15" hidden="false" customHeight="false" outlineLevel="0" collapsed="false">
      <c r="A48" s="81" t="s">
        <v>691</v>
      </c>
      <c r="B48" s="82" t="n">
        <v>45942</v>
      </c>
      <c r="C48" s="81" t="s">
        <v>423</v>
      </c>
      <c r="D48" s="83" t="str">
        <f aca="false">IFERROR(INDEX(c_Name,MATCH($C48,c_ID,0)),"غير معرّف")</f>
        <v>ناصر المطيري</v>
      </c>
      <c r="E48" s="83" t="str">
        <f aca="false">IFERROR(INDEX(c_Region,MATCH($C48,c_ID,0)),"غير معرّف")</f>
        <v>الغربية</v>
      </c>
      <c r="F48" s="81" t="s">
        <v>182</v>
      </c>
      <c r="G48" s="83" t="str">
        <f aca="false">IFERROR(INDEX(p_Name,MATCH($F48,p_ID,0)),"غير معرّف")</f>
        <v>طقم أوزان</v>
      </c>
      <c r="H48" s="83" t="str">
        <f aca="false">IFERROR(INDEX(p_Cat,MATCH($F48,p_ID,0)),"غير معرّف")</f>
        <v>رياضة</v>
      </c>
      <c r="I48" s="81" t="s">
        <v>452</v>
      </c>
      <c r="J48" s="81" t="s">
        <v>91</v>
      </c>
      <c r="K48" s="81" t="n">
        <v>1</v>
      </c>
      <c r="L48" s="84" t="n">
        <f aca="false">IFERROR(INDEX(p_Price,MATCH($F48,p_ID,0)),0)</f>
        <v>380</v>
      </c>
      <c r="M48" s="85" t="n">
        <v>0</v>
      </c>
      <c r="N48" s="81" t="s">
        <v>644</v>
      </c>
      <c r="O48" s="84" t="n">
        <f aca="false">IF($N48="مرتجع",0,K48*L48*(1-M48))</f>
        <v>380</v>
      </c>
      <c r="P48" s="84" t="n">
        <f aca="false">IF($N48="مرتجع",0,K48*IFERROR(INDEX(p_Cost,MATCH($F48,p_ID,0)),0))</f>
        <v>210</v>
      </c>
      <c r="Q48" s="84" t="n">
        <f aca="false">O48-P48</f>
        <v>170</v>
      </c>
      <c r="R48" s="86" t="n">
        <f aca="false">DATE(YEAR(B48),MONTH(B48),1)</f>
        <v>45931</v>
      </c>
      <c r="S48" s="83" t="str">
        <f aca="false">YEAR(B48)&amp;"-Q"&amp;ROUNDUP(MONTH(B48)/3,0)</f>
        <v>2025-Q4</v>
      </c>
      <c r="T48" s="87" t="n">
        <f aca="false">IF(O48&gt;0,Q48/O48,"")</f>
        <v>0.447368421052632</v>
      </c>
      <c r="U48" s="84" t="n">
        <f aca="false">IF(O48&gt;0,O48,"")</f>
        <v>380</v>
      </c>
    </row>
    <row r="49" customFormat="false" ht="15" hidden="false" customHeight="false" outlineLevel="0" collapsed="false">
      <c r="A49" s="81" t="s">
        <v>692</v>
      </c>
      <c r="B49" s="82" t="n">
        <v>45942</v>
      </c>
      <c r="C49" s="81" t="s">
        <v>355</v>
      </c>
      <c r="D49" s="83" t="str">
        <f aca="false">IFERROR(INDEX(c_Name,MATCH($C49,c_ID,0)),"غير معرّف")</f>
        <v>جود القحطاني</v>
      </c>
      <c r="E49" s="83" t="str">
        <f aca="false">IFERROR(INDEX(c_Region,MATCH($C49,c_ID,0)),"غير معرّف")</f>
        <v>الجنوبية</v>
      </c>
      <c r="F49" s="81" t="s">
        <v>173</v>
      </c>
      <c r="G49" s="83" t="str">
        <f aca="false">IFERROR(INDEX(p_Name,MATCH($F49,p_ID,0)),"غير معرّف")</f>
        <v>كرسي مريح</v>
      </c>
      <c r="H49" s="83" t="str">
        <f aca="false">IFERROR(INDEX(p_Cat,MATCH($F49,p_ID,0)),"غير معرّف")</f>
        <v>أثاث</v>
      </c>
      <c r="I49" s="81" t="s">
        <v>465</v>
      </c>
      <c r="J49" s="81" t="s">
        <v>91</v>
      </c>
      <c r="K49" s="81" t="n">
        <v>5</v>
      </c>
      <c r="L49" s="84" t="n">
        <f aca="false">IFERROR(INDEX(p_Price,MATCH($F49,p_ID,0)),0)</f>
        <v>850</v>
      </c>
      <c r="M49" s="85" t="n">
        <v>0.2</v>
      </c>
      <c r="N49" s="81" t="s">
        <v>644</v>
      </c>
      <c r="O49" s="84" t="n">
        <f aca="false">IF($N49="مرتجع",0,K49*L49*(1-M49))</f>
        <v>3400</v>
      </c>
      <c r="P49" s="84" t="n">
        <f aca="false">IF($N49="مرتجع",0,K49*IFERROR(INDEX(p_Cost,MATCH($F49,p_ID,0)),0))</f>
        <v>2400</v>
      </c>
      <c r="Q49" s="84" t="n">
        <f aca="false">O49-P49</f>
        <v>1000</v>
      </c>
      <c r="R49" s="86" t="n">
        <f aca="false">DATE(YEAR(B49),MONTH(B49),1)</f>
        <v>45931</v>
      </c>
      <c r="S49" s="83" t="str">
        <f aca="false">YEAR(B49)&amp;"-Q"&amp;ROUNDUP(MONTH(B49)/3,0)</f>
        <v>2025-Q4</v>
      </c>
      <c r="T49" s="87" t="n">
        <f aca="false">IF(O49&gt;0,Q49/O49,"")</f>
        <v>0.294117647058824</v>
      </c>
      <c r="U49" s="84" t="n">
        <f aca="false">IF(O49&gt;0,O49,"")</f>
        <v>3400</v>
      </c>
    </row>
    <row r="50" customFormat="false" ht="15" hidden="false" customHeight="false" outlineLevel="0" collapsed="false">
      <c r="A50" s="81" t="s">
        <v>693</v>
      </c>
      <c r="B50" s="82" t="n">
        <v>45944</v>
      </c>
      <c r="C50" s="81" t="s">
        <v>333</v>
      </c>
      <c r="D50" s="83" t="str">
        <f aca="false">IFERROR(INDEX(c_Name,MATCH($C50,c_ID,0)),"غير معرّف")</f>
        <v>جود الحربي</v>
      </c>
      <c r="E50" s="83" t="str">
        <f aca="false">IFERROR(INDEX(c_Region,MATCH($C50,c_ID,0)),"غير معرّف")</f>
        <v>الوسطى</v>
      </c>
      <c r="F50" s="81" t="s">
        <v>183</v>
      </c>
      <c r="G50" s="83" t="str">
        <f aca="false">IFERROR(INDEX(p_Name,MATCH($F50,p_ID,0)),"غير معرّف")</f>
        <v>سجادة يوغا</v>
      </c>
      <c r="H50" s="83" t="str">
        <f aca="false">IFERROR(INDEX(p_Cat,MATCH($F50,p_ID,0)),"غير معرّف")</f>
        <v>رياضة</v>
      </c>
      <c r="I50" s="81" t="s">
        <v>449</v>
      </c>
      <c r="J50" s="81" t="s">
        <v>93</v>
      </c>
      <c r="K50" s="81" t="n">
        <v>1</v>
      </c>
      <c r="L50" s="84" t="n">
        <f aca="false">IFERROR(INDEX(p_Price,MATCH($F50,p_ID,0)),0)</f>
        <v>120</v>
      </c>
      <c r="M50" s="85" t="n">
        <v>0</v>
      </c>
      <c r="N50" s="81" t="s">
        <v>650</v>
      </c>
      <c r="O50" s="84" t="n">
        <f aca="false">IF($N50="مرتجع",0,K50*L50*(1-M50))</f>
        <v>0</v>
      </c>
      <c r="P50" s="84" t="n">
        <f aca="false">IF($N50="مرتجع",0,K50*IFERROR(INDEX(p_Cost,MATCH($F50,p_ID,0)),0))</f>
        <v>0</v>
      </c>
      <c r="Q50" s="84" t="n">
        <f aca="false">O50-P50</f>
        <v>0</v>
      </c>
      <c r="R50" s="86" t="n">
        <f aca="false">DATE(YEAR(B50),MONTH(B50),1)</f>
        <v>45931</v>
      </c>
      <c r="S50" s="83" t="str">
        <f aca="false">YEAR(B50)&amp;"-Q"&amp;ROUNDUP(MONTH(B50)/3,0)</f>
        <v>2025-Q4</v>
      </c>
      <c r="T50" s="87" t="str">
        <f aca="false">IF(O50&gt;0,Q50/O50,"")</f>
        <v/>
      </c>
      <c r="U50" s="84" t="str">
        <f aca="false">IF(O50&gt;0,O50,"")</f>
        <v/>
      </c>
    </row>
    <row r="51" customFormat="false" ht="15" hidden="false" customHeight="false" outlineLevel="0" collapsed="false">
      <c r="A51" s="81" t="s">
        <v>694</v>
      </c>
      <c r="B51" s="82" t="n">
        <v>45944</v>
      </c>
      <c r="C51" s="81" t="s">
        <v>296</v>
      </c>
      <c r="D51" s="83" t="str">
        <f aca="false">IFERROR(INDEX(c_Name,MATCH($C51,c_ID,0)),"غير معرّف")</f>
        <v>محمد الزهراني</v>
      </c>
      <c r="E51" s="83" t="str">
        <f aca="false">IFERROR(INDEX(c_Region,MATCH($C51,c_ID,0)),"غير معرّف")</f>
        <v>الغربية</v>
      </c>
      <c r="F51" s="81" t="s">
        <v>174</v>
      </c>
      <c r="G51" s="83" t="str">
        <f aca="false">IFERROR(INDEX(p_Name,MATCH($F51,p_ID,0)),"غير معرّف")</f>
        <v>خزانة ملفات</v>
      </c>
      <c r="H51" s="83" t="str">
        <f aca="false">IFERROR(INDEX(p_Cat,MATCH($F51,p_ID,0)),"غير معرّف")</f>
        <v>أثاث</v>
      </c>
      <c r="I51" s="81" t="s">
        <v>458</v>
      </c>
      <c r="J51" s="81" t="s">
        <v>91</v>
      </c>
      <c r="K51" s="81" t="n">
        <v>1</v>
      </c>
      <c r="L51" s="84" t="n">
        <f aca="false">IFERROR(INDEX(p_Price,MATCH($F51,p_ID,0)),0)</f>
        <v>700</v>
      </c>
      <c r="M51" s="85" t="n">
        <v>0</v>
      </c>
      <c r="N51" s="81" t="s">
        <v>644</v>
      </c>
      <c r="O51" s="84" t="n">
        <f aca="false">IF($N51="مرتجع",0,K51*L51*(1-M51))</f>
        <v>700</v>
      </c>
      <c r="P51" s="84" t="n">
        <f aca="false">IF($N51="مرتجع",0,K51*IFERROR(INDEX(p_Cost,MATCH($F51,p_ID,0)),0))</f>
        <v>410</v>
      </c>
      <c r="Q51" s="84" t="n">
        <f aca="false">O51-P51</f>
        <v>290</v>
      </c>
      <c r="R51" s="86" t="n">
        <f aca="false">DATE(YEAR(B51),MONTH(B51),1)</f>
        <v>45931</v>
      </c>
      <c r="S51" s="83" t="str">
        <f aca="false">YEAR(B51)&amp;"-Q"&amp;ROUNDUP(MONTH(B51)/3,0)</f>
        <v>2025-Q4</v>
      </c>
      <c r="T51" s="87" t="n">
        <f aca="false">IF(O51&gt;0,Q51/O51,"")</f>
        <v>0.414285714285714</v>
      </c>
      <c r="U51" s="84" t="n">
        <f aca="false">IF(O51&gt;0,O51,"")</f>
        <v>700</v>
      </c>
    </row>
    <row r="52" customFormat="false" ht="15" hidden="false" customHeight="false" outlineLevel="0" collapsed="false">
      <c r="A52" s="81" t="s">
        <v>695</v>
      </c>
      <c r="B52" s="82" t="n">
        <v>45945</v>
      </c>
      <c r="C52" s="81" t="s">
        <v>430</v>
      </c>
      <c r="D52" s="83" t="str">
        <f aca="false">IFERROR(INDEX(c_Name,MATCH($C52,c_ID,0)),"غير معرّف")</f>
        <v>ليلى الحربي</v>
      </c>
      <c r="E52" s="83" t="str">
        <f aca="false">IFERROR(INDEX(c_Region,MATCH($C52,c_ID,0)),"غير معرّف")</f>
        <v>الجنوبية</v>
      </c>
      <c r="F52" s="81" t="s">
        <v>168</v>
      </c>
      <c r="G52" s="83" t="str">
        <f aca="false">IFERROR(INDEX(p_Name,MATCH($F52,p_ID,0)),"غير معرّف")</f>
        <v>مكنسة كهربائية</v>
      </c>
      <c r="H52" s="83" t="str">
        <f aca="false">IFERROR(INDEX(p_Cat,MATCH($F52,p_ID,0)),"غير معرّف")</f>
        <v>أجهزة منزلية</v>
      </c>
      <c r="I52" s="81" t="s">
        <v>467</v>
      </c>
      <c r="J52" s="81" t="s">
        <v>91</v>
      </c>
      <c r="K52" s="81" t="n">
        <v>4</v>
      </c>
      <c r="L52" s="84" t="n">
        <f aca="false">IFERROR(INDEX(p_Price,MATCH($F52,p_ID,0)),0)</f>
        <v>650</v>
      </c>
      <c r="M52" s="85" t="n">
        <v>0</v>
      </c>
      <c r="N52" s="81" t="s">
        <v>644</v>
      </c>
      <c r="O52" s="84" t="n">
        <f aca="false">IF($N52="مرتجع",0,K52*L52*(1-M52))</f>
        <v>2600</v>
      </c>
      <c r="P52" s="84" t="n">
        <f aca="false">IF($N52="مرتجع",0,K52*IFERROR(INDEX(p_Cost,MATCH($F52,p_ID,0)),0))</f>
        <v>1680</v>
      </c>
      <c r="Q52" s="84" t="n">
        <f aca="false">O52-P52</f>
        <v>920</v>
      </c>
      <c r="R52" s="86" t="n">
        <f aca="false">DATE(YEAR(B52),MONTH(B52),1)</f>
        <v>45931</v>
      </c>
      <c r="S52" s="83" t="str">
        <f aca="false">YEAR(B52)&amp;"-Q"&amp;ROUNDUP(MONTH(B52)/3,0)</f>
        <v>2025-Q4</v>
      </c>
      <c r="T52" s="87" t="n">
        <f aca="false">IF(O52&gt;0,Q52/O52,"")</f>
        <v>0.353846153846154</v>
      </c>
      <c r="U52" s="84" t="n">
        <f aca="false">IF(O52&gt;0,O52,"")</f>
        <v>2600</v>
      </c>
    </row>
    <row r="53" customFormat="false" ht="15" hidden="false" customHeight="false" outlineLevel="0" collapsed="false">
      <c r="A53" s="81" t="s">
        <v>696</v>
      </c>
      <c r="B53" s="82" t="n">
        <v>45945</v>
      </c>
      <c r="C53" s="81" t="s">
        <v>365</v>
      </c>
      <c r="D53" s="83" t="str">
        <f aca="false">IFERROR(INDEX(c_Name,MATCH($C53,c_ID,0)),"غير معرّف")</f>
        <v>نورة الغامدي</v>
      </c>
      <c r="E53" s="83" t="str">
        <f aca="false">IFERROR(INDEX(c_Region,MATCH($C53,c_ID,0)),"غير معرّف")</f>
        <v>الوسطى</v>
      </c>
      <c r="F53" s="81" t="s">
        <v>170</v>
      </c>
      <c r="G53" s="83" t="str">
        <f aca="false">IFERROR(INDEX(p_Name,MATCH($F53,p_ID,0)),"غير معرّف")</f>
        <v>مكيف نقال</v>
      </c>
      <c r="H53" s="83" t="str">
        <f aca="false">IFERROR(INDEX(p_Cat,MATCH($F53,p_ID,0)),"غير معرّف")</f>
        <v>أجهزة منزلية</v>
      </c>
      <c r="I53" s="81" t="s">
        <v>446</v>
      </c>
      <c r="J53" s="81" t="s">
        <v>93</v>
      </c>
      <c r="K53" s="81" t="n">
        <v>1</v>
      </c>
      <c r="L53" s="84" t="n">
        <f aca="false">IFERROR(INDEX(p_Price,MATCH($F53,p_ID,0)),0)</f>
        <v>1900</v>
      </c>
      <c r="M53" s="85" t="n">
        <v>0</v>
      </c>
      <c r="N53" s="81" t="s">
        <v>644</v>
      </c>
      <c r="O53" s="84" t="n">
        <f aca="false">IF($N53="مرتجع",0,K53*L53*(1-M53))</f>
        <v>1900</v>
      </c>
      <c r="P53" s="84" t="n">
        <f aca="false">IF($N53="مرتجع",0,K53*IFERROR(INDEX(p_Cost,MATCH($F53,p_ID,0)),0))</f>
        <v>1350</v>
      </c>
      <c r="Q53" s="84" t="n">
        <f aca="false">O53-P53</f>
        <v>550</v>
      </c>
      <c r="R53" s="86" t="n">
        <f aca="false">DATE(YEAR(B53),MONTH(B53),1)</f>
        <v>45931</v>
      </c>
      <c r="S53" s="83" t="str">
        <f aca="false">YEAR(B53)&amp;"-Q"&amp;ROUNDUP(MONTH(B53)/3,0)</f>
        <v>2025-Q4</v>
      </c>
      <c r="T53" s="87" t="n">
        <f aca="false">IF(O53&gt;0,Q53/O53,"")</f>
        <v>0.289473684210526</v>
      </c>
      <c r="U53" s="84" t="n">
        <f aca="false">IF(O53&gt;0,O53,"")</f>
        <v>1900</v>
      </c>
    </row>
    <row r="54" customFormat="false" ht="15" hidden="false" customHeight="false" outlineLevel="0" collapsed="false">
      <c r="A54" s="81" t="s">
        <v>697</v>
      </c>
      <c r="B54" s="82" t="n">
        <v>45945</v>
      </c>
      <c r="C54" s="81" t="s">
        <v>405</v>
      </c>
      <c r="D54" s="83" t="str">
        <f aca="false">IFERROR(INDEX(c_Name,MATCH($C54,c_ID,0)),"غير معرّف")</f>
        <v>طارق التميمي</v>
      </c>
      <c r="E54" s="83" t="str">
        <f aca="false">IFERROR(INDEX(c_Region,MATCH($C54,c_ID,0)),"غير معرّف")</f>
        <v>الوسطى</v>
      </c>
      <c r="F54" s="81" t="s">
        <v>187</v>
      </c>
      <c r="G54" s="83" t="str">
        <f aca="false">IFERROR(INDEX(p_Name,MATCH($F54,p_ID,0)),"غير معرّف")</f>
        <v>جهاز تدليك</v>
      </c>
      <c r="H54" s="83" t="str">
        <f aca="false">IFERROR(INDEX(p_Cat,MATCH($F54,p_ID,0)),"غير معرّف")</f>
        <v>عناية شخصية</v>
      </c>
      <c r="I54" s="81" t="s">
        <v>443</v>
      </c>
      <c r="J54" s="81" t="s">
        <v>93</v>
      </c>
      <c r="K54" s="81" t="n">
        <v>5</v>
      </c>
      <c r="L54" s="84" t="n">
        <f aca="false">IFERROR(INDEX(p_Price,MATCH($F54,p_ID,0)),0)</f>
        <v>600</v>
      </c>
      <c r="M54" s="85" t="n">
        <v>0.05</v>
      </c>
      <c r="N54" s="81" t="s">
        <v>644</v>
      </c>
      <c r="O54" s="84" t="n">
        <f aca="false">IF($N54="مرتجع",0,K54*L54*(1-M54))</f>
        <v>2850</v>
      </c>
      <c r="P54" s="84" t="n">
        <f aca="false">IF($N54="مرتجع",0,K54*IFERROR(INDEX(p_Cost,MATCH($F54,p_ID,0)),0))</f>
        <v>1650</v>
      </c>
      <c r="Q54" s="84" t="n">
        <f aca="false">O54-P54</f>
        <v>1200</v>
      </c>
      <c r="R54" s="86" t="n">
        <f aca="false">DATE(YEAR(B54),MONTH(B54),1)</f>
        <v>45931</v>
      </c>
      <c r="S54" s="83" t="str">
        <f aca="false">YEAR(B54)&amp;"-Q"&amp;ROUNDUP(MONTH(B54)/3,0)</f>
        <v>2025-Q4</v>
      </c>
      <c r="T54" s="87" t="n">
        <f aca="false">IF(O54&gt;0,Q54/O54,"")</f>
        <v>0.421052631578947</v>
      </c>
      <c r="U54" s="84" t="n">
        <f aca="false">IF(O54&gt;0,O54,"")</f>
        <v>2850</v>
      </c>
    </row>
    <row r="55" customFormat="false" ht="15" hidden="false" customHeight="false" outlineLevel="0" collapsed="false">
      <c r="A55" s="81" t="s">
        <v>698</v>
      </c>
      <c r="B55" s="82" t="n">
        <v>45946</v>
      </c>
      <c r="C55" s="81" t="s">
        <v>314</v>
      </c>
      <c r="D55" s="83" t="str">
        <f aca="false">IFERROR(INDEX(c_Name,MATCH($C55,c_ID,0)),"غير معرّف")</f>
        <v>عبير الغامدي</v>
      </c>
      <c r="E55" s="83" t="str">
        <f aca="false">IFERROR(INDEX(c_Region,MATCH($C55,c_ID,0)),"غير معرّف")</f>
        <v>الشرقية</v>
      </c>
      <c r="F55" s="81" t="s">
        <v>187</v>
      </c>
      <c r="G55" s="83" t="str">
        <f aca="false">IFERROR(INDEX(p_Name,MATCH($F55,p_ID,0)),"غير معرّف")</f>
        <v>جهاز تدليك</v>
      </c>
      <c r="H55" s="83" t="str">
        <f aca="false">IFERROR(INDEX(p_Cat,MATCH($F55,p_ID,0)),"غير معرّف")</f>
        <v>عناية شخصية</v>
      </c>
      <c r="I55" s="81" t="s">
        <v>461</v>
      </c>
      <c r="J55" s="81" t="s">
        <v>91</v>
      </c>
      <c r="K55" s="81" t="n">
        <v>3</v>
      </c>
      <c r="L55" s="84" t="n">
        <f aca="false">IFERROR(INDEX(p_Price,MATCH($F55,p_ID,0)),0)</f>
        <v>600</v>
      </c>
      <c r="M55" s="85" t="n">
        <v>0.1</v>
      </c>
      <c r="N55" s="81" t="s">
        <v>650</v>
      </c>
      <c r="O55" s="84" t="n">
        <f aca="false">IF($N55="مرتجع",0,K55*L55*(1-M55))</f>
        <v>0</v>
      </c>
      <c r="P55" s="84" t="n">
        <f aca="false">IF($N55="مرتجع",0,K55*IFERROR(INDEX(p_Cost,MATCH($F55,p_ID,0)),0))</f>
        <v>0</v>
      </c>
      <c r="Q55" s="84" t="n">
        <f aca="false">O55-P55</f>
        <v>0</v>
      </c>
      <c r="R55" s="86" t="n">
        <f aca="false">DATE(YEAR(B55),MONTH(B55),1)</f>
        <v>45931</v>
      </c>
      <c r="S55" s="83" t="str">
        <f aca="false">YEAR(B55)&amp;"-Q"&amp;ROUNDUP(MONTH(B55)/3,0)</f>
        <v>2025-Q4</v>
      </c>
      <c r="T55" s="87" t="str">
        <f aca="false">IF(O55&gt;0,Q55/O55,"")</f>
        <v/>
      </c>
      <c r="U55" s="84" t="str">
        <f aca="false">IF(O55&gt;0,O55,"")</f>
        <v/>
      </c>
    </row>
    <row r="56" customFormat="false" ht="15" hidden="false" customHeight="false" outlineLevel="0" collapsed="false">
      <c r="A56" s="81" t="s">
        <v>699</v>
      </c>
      <c r="B56" s="82" t="n">
        <v>45946</v>
      </c>
      <c r="C56" s="81" t="s">
        <v>251</v>
      </c>
      <c r="D56" s="83" t="str">
        <f aca="false">IFERROR(INDEX(c_Name,MATCH($C56,c_ID,0)),"غير معرّف")</f>
        <v>ليلى البلوي</v>
      </c>
      <c r="E56" s="83" t="str">
        <f aca="false">IFERROR(INDEX(c_Region,MATCH($C56,c_ID,0)),"غير معرّف")</f>
        <v>الجنوبية</v>
      </c>
      <c r="F56" s="81" t="s">
        <v>178</v>
      </c>
      <c r="G56" s="83" t="str">
        <f aca="false">IFERROR(INDEX(p_Name,MATCH($F56,p_ID,0)),"غير معرّف")</f>
        <v>حقيبة لابتوب</v>
      </c>
      <c r="H56" s="83" t="str">
        <f aca="false">IFERROR(INDEX(p_Cat,MATCH($F56,p_ID,0)),"غير معرّف")</f>
        <v>مستلزمات مكتبية</v>
      </c>
      <c r="I56" s="81" t="s">
        <v>467</v>
      </c>
      <c r="J56" s="81" t="s">
        <v>95</v>
      </c>
      <c r="K56" s="81" t="n">
        <v>22</v>
      </c>
      <c r="L56" s="84" t="n">
        <f aca="false">IFERROR(INDEX(p_Price,MATCH($F56,p_ID,0)),0)</f>
        <v>260</v>
      </c>
      <c r="M56" s="85" t="n">
        <v>0.15</v>
      </c>
      <c r="N56" s="81" t="s">
        <v>644</v>
      </c>
      <c r="O56" s="84" t="n">
        <f aca="false">IF($N56="مرتجع",0,K56*L56*(1-M56))</f>
        <v>4862</v>
      </c>
      <c r="P56" s="84" t="n">
        <f aca="false">IF($N56="مرتجع",0,K56*IFERROR(INDEX(p_Cost,MATCH($F56,p_ID,0)),0))</f>
        <v>2640</v>
      </c>
      <c r="Q56" s="84" t="n">
        <f aca="false">O56-P56</f>
        <v>2222</v>
      </c>
      <c r="R56" s="86" t="n">
        <f aca="false">DATE(YEAR(B56),MONTH(B56),1)</f>
        <v>45931</v>
      </c>
      <c r="S56" s="83" t="str">
        <f aca="false">YEAR(B56)&amp;"-Q"&amp;ROUNDUP(MONTH(B56)/3,0)</f>
        <v>2025-Q4</v>
      </c>
      <c r="T56" s="87" t="n">
        <f aca="false">IF(O56&gt;0,Q56/O56,"")</f>
        <v>0.457013574660633</v>
      </c>
      <c r="U56" s="84" t="n">
        <f aca="false">IF(O56&gt;0,O56,"")</f>
        <v>4862</v>
      </c>
    </row>
    <row r="57" customFormat="false" ht="15" hidden="false" customHeight="false" outlineLevel="0" collapsed="false">
      <c r="A57" s="81" t="s">
        <v>700</v>
      </c>
      <c r="B57" s="82" t="n">
        <v>45946</v>
      </c>
      <c r="C57" s="81" t="s">
        <v>348</v>
      </c>
      <c r="D57" s="83" t="str">
        <f aca="false">IFERROR(INDEX(c_Name,MATCH($C57,c_ID,0)),"غير معرّف")</f>
        <v>عبير القحطاني</v>
      </c>
      <c r="E57" s="83" t="str">
        <f aca="false">IFERROR(INDEX(c_Region,MATCH($C57,c_ID,0)),"غير معرّف")</f>
        <v>الغربية</v>
      </c>
      <c r="F57" s="81" t="s">
        <v>176</v>
      </c>
      <c r="G57" s="83" t="str">
        <f aca="false">IFERROR(INDEX(p_Name,MATCH($F57,p_ID,0)),"غير معرّف")</f>
        <v>طابعة ليزر</v>
      </c>
      <c r="H57" s="83" t="str">
        <f aca="false">IFERROR(INDEX(p_Cat,MATCH($F57,p_ID,0)),"غير معرّف")</f>
        <v>مستلزمات مكتبية</v>
      </c>
      <c r="I57" s="81" t="s">
        <v>458</v>
      </c>
      <c r="J57" s="81" t="s">
        <v>95</v>
      </c>
      <c r="K57" s="81" t="n">
        <v>7</v>
      </c>
      <c r="L57" s="84" t="n">
        <f aca="false">IFERROR(INDEX(p_Price,MATCH($F57,p_ID,0)),0)</f>
        <v>1300</v>
      </c>
      <c r="M57" s="85" t="n">
        <v>0.1</v>
      </c>
      <c r="N57" s="81" t="s">
        <v>644</v>
      </c>
      <c r="O57" s="84" t="n">
        <f aca="false">IF($N57="مرتجع",0,K57*L57*(1-M57))</f>
        <v>8190</v>
      </c>
      <c r="P57" s="84" t="n">
        <f aca="false">IF($N57="مرتجع",0,K57*IFERROR(INDEX(p_Cost,MATCH($F57,p_ID,0)),0))</f>
        <v>6650</v>
      </c>
      <c r="Q57" s="84" t="n">
        <f aca="false">O57-P57</f>
        <v>1540</v>
      </c>
      <c r="R57" s="86" t="n">
        <f aca="false">DATE(YEAR(B57),MONTH(B57),1)</f>
        <v>45931</v>
      </c>
      <c r="S57" s="83" t="str">
        <f aca="false">YEAR(B57)&amp;"-Q"&amp;ROUNDUP(MONTH(B57)/3,0)</f>
        <v>2025-Q4</v>
      </c>
      <c r="T57" s="87" t="n">
        <f aca="false">IF(O57&gt;0,Q57/O57,"")</f>
        <v>0.188034188034188</v>
      </c>
      <c r="U57" s="84" t="n">
        <f aca="false">IF(O57&gt;0,O57,"")</f>
        <v>8190</v>
      </c>
    </row>
    <row r="58" customFormat="false" ht="15" hidden="false" customHeight="false" outlineLevel="0" collapsed="false">
      <c r="A58" s="81" t="s">
        <v>701</v>
      </c>
      <c r="B58" s="82" t="n">
        <v>45947</v>
      </c>
      <c r="C58" s="81" t="s">
        <v>378</v>
      </c>
      <c r="D58" s="83" t="str">
        <f aca="false">IFERROR(INDEX(c_Name,MATCH($C58,c_ID,0)),"غير معرّف")</f>
        <v>هند الغامدي</v>
      </c>
      <c r="E58" s="83" t="str">
        <f aca="false">IFERROR(INDEX(c_Region,MATCH($C58,c_ID,0)),"غير معرّف")</f>
        <v>الوسطى</v>
      </c>
      <c r="F58" s="81" t="s">
        <v>183</v>
      </c>
      <c r="G58" s="83" t="str">
        <f aca="false">IFERROR(INDEX(p_Name,MATCH($F58,p_ID,0)),"غير معرّف")</f>
        <v>سجادة يوغا</v>
      </c>
      <c r="H58" s="83" t="str">
        <f aca="false">IFERROR(INDEX(p_Cat,MATCH($F58,p_ID,0)),"غير معرّف")</f>
        <v>رياضة</v>
      </c>
      <c r="I58" s="81" t="s">
        <v>449</v>
      </c>
      <c r="J58" s="81" t="s">
        <v>91</v>
      </c>
      <c r="K58" s="81" t="n">
        <v>3</v>
      </c>
      <c r="L58" s="84" t="n">
        <f aca="false">IFERROR(INDEX(p_Price,MATCH($F58,p_ID,0)),0)</f>
        <v>120</v>
      </c>
      <c r="M58" s="85" t="n">
        <v>0</v>
      </c>
      <c r="N58" s="81" t="s">
        <v>644</v>
      </c>
      <c r="O58" s="84" t="n">
        <f aca="false">IF($N58="مرتجع",0,K58*L58*(1-M58))</f>
        <v>360</v>
      </c>
      <c r="P58" s="84" t="n">
        <f aca="false">IF($N58="مرتجع",0,K58*IFERROR(INDEX(p_Cost,MATCH($F58,p_ID,0)),0))</f>
        <v>150</v>
      </c>
      <c r="Q58" s="84" t="n">
        <f aca="false">O58-P58</f>
        <v>210</v>
      </c>
      <c r="R58" s="86" t="n">
        <f aca="false">DATE(YEAR(B58),MONTH(B58),1)</f>
        <v>45931</v>
      </c>
      <c r="S58" s="83" t="str">
        <f aca="false">YEAR(B58)&amp;"-Q"&amp;ROUNDUP(MONTH(B58)/3,0)</f>
        <v>2025-Q4</v>
      </c>
      <c r="T58" s="87" t="n">
        <f aca="false">IF(O58&gt;0,Q58/O58,"")</f>
        <v>0.583333333333333</v>
      </c>
      <c r="U58" s="84" t="n">
        <f aca="false">IF(O58&gt;0,O58,"")</f>
        <v>360</v>
      </c>
    </row>
    <row r="59" customFormat="false" ht="15" hidden="false" customHeight="false" outlineLevel="0" collapsed="false">
      <c r="A59" s="81" t="s">
        <v>702</v>
      </c>
      <c r="B59" s="82" t="n">
        <v>45947</v>
      </c>
      <c r="C59" s="81" t="s">
        <v>273</v>
      </c>
      <c r="D59" s="83" t="str">
        <f aca="false">IFERROR(INDEX(c_Name,MATCH($C59,c_ID,0)),"غير معرّف")</f>
        <v>سلمان التميمي</v>
      </c>
      <c r="E59" s="83" t="str">
        <f aca="false">IFERROR(INDEX(c_Region,MATCH($C59,c_ID,0)),"غير معرّف")</f>
        <v>الشرقية</v>
      </c>
      <c r="F59" s="81" t="s">
        <v>184</v>
      </c>
      <c r="G59" s="83" t="str">
        <f aca="false">IFERROR(INDEX(p_Name,MATCH($F59,p_ID,0)),"غير معرّف")</f>
        <v>عطر فاخر</v>
      </c>
      <c r="H59" s="83" t="str">
        <f aca="false">IFERROR(INDEX(p_Cat,MATCH($F59,p_ID,0)),"غير معرّف")</f>
        <v>عناية شخصية</v>
      </c>
      <c r="I59" s="81" t="s">
        <v>461</v>
      </c>
      <c r="J59" s="81" t="s">
        <v>91</v>
      </c>
      <c r="K59" s="81" t="n">
        <v>3</v>
      </c>
      <c r="L59" s="84" t="n">
        <f aca="false">IFERROR(INDEX(p_Price,MATCH($F59,p_ID,0)),0)</f>
        <v>520</v>
      </c>
      <c r="M59" s="85" t="n">
        <v>0</v>
      </c>
      <c r="N59" s="81" t="s">
        <v>644</v>
      </c>
      <c r="O59" s="84" t="n">
        <f aca="false">IF($N59="مرتجع",0,K59*L59*(1-M59))</f>
        <v>1560</v>
      </c>
      <c r="P59" s="84" t="n">
        <f aca="false">IF($N59="مرتجع",0,K59*IFERROR(INDEX(p_Cost,MATCH($F59,p_ID,0)),0))</f>
        <v>630</v>
      </c>
      <c r="Q59" s="84" t="n">
        <f aca="false">O59-P59</f>
        <v>930</v>
      </c>
      <c r="R59" s="86" t="n">
        <f aca="false">DATE(YEAR(B59),MONTH(B59),1)</f>
        <v>45931</v>
      </c>
      <c r="S59" s="83" t="str">
        <f aca="false">YEAR(B59)&amp;"-Q"&amp;ROUNDUP(MONTH(B59)/3,0)</f>
        <v>2025-Q4</v>
      </c>
      <c r="T59" s="87" t="n">
        <f aca="false">IF(O59&gt;0,Q59/O59,"")</f>
        <v>0.596153846153846</v>
      </c>
      <c r="U59" s="84" t="n">
        <f aca="false">IF(O59&gt;0,O59,"")</f>
        <v>1560</v>
      </c>
    </row>
    <row r="60" customFormat="false" ht="15" hidden="false" customHeight="false" outlineLevel="0" collapsed="false">
      <c r="A60" s="81" t="s">
        <v>703</v>
      </c>
      <c r="B60" s="82" t="n">
        <v>45947</v>
      </c>
      <c r="C60" s="81" t="s">
        <v>300</v>
      </c>
      <c r="D60" s="83" t="str">
        <f aca="false">IFERROR(INDEX(c_Name,MATCH($C60,c_ID,0)),"غير معرّف")</f>
        <v>فهد التميمي</v>
      </c>
      <c r="E60" s="83" t="str">
        <f aca="false">IFERROR(INDEX(c_Region,MATCH($C60,c_ID,0)),"غير معرّف")</f>
        <v>الوسطى</v>
      </c>
      <c r="F60" s="81" t="s">
        <v>169</v>
      </c>
      <c r="G60" s="83" t="str">
        <f aca="false">IFERROR(INDEX(p_Name,MATCH($F60,p_ID,0)),"غير معرّف")</f>
        <v>خلاط</v>
      </c>
      <c r="H60" s="83" t="str">
        <f aca="false">IFERROR(INDEX(p_Cat,MATCH($F60,p_ID,0)),"غير معرّف")</f>
        <v>أجهزة منزلية</v>
      </c>
      <c r="I60" s="81" t="s">
        <v>449</v>
      </c>
      <c r="J60" s="81" t="s">
        <v>93</v>
      </c>
      <c r="K60" s="81" t="n">
        <v>2</v>
      </c>
      <c r="L60" s="84" t="n">
        <f aca="false">IFERROR(INDEX(p_Price,MATCH($F60,p_ID,0)),0)</f>
        <v>300</v>
      </c>
      <c r="M60" s="85" t="n">
        <v>0.05</v>
      </c>
      <c r="N60" s="81" t="s">
        <v>644</v>
      </c>
      <c r="O60" s="84" t="n">
        <f aca="false">IF($N60="مرتجع",0,K60*L60*(1-M60))</f>
        <v>570</v>
      </c>
      <c r="P60" s="84" t="n">
        <f aca="false">IF($N60="مرتجع",0,K60*IFERROR(INDEX(p_Cost,MATCH($F60,p_ID,0)),0))</f>
        <v>350</v>
      </c>
      <c r="Q60" s="84" t="n">
        <f aca="false">O60-P60</f>
        <v>220</v>
      </c>
      <c r="R60" s="86" t="n">
        <f aca="false">DATE(YEAR(B60),MONTH(B60),1)</f>
        <v>45931</v>
      </c>
      <c r="S60" s="83" t="str">
        <f aca="false">YEAR(B60)&amp;"-Q"&amp;ROUNDUP(MONTH(B60)/3,0)</f>
        <v>2025-Q4</v>
      </c>
      <c r="T60" s="87" t="n">
        <f aca="false">IF(O60&gt;0,Q60/O60,"")</f>
        <v>0.385964912280702</v>
      </c>
      <c r="U60" s="84" t="n">
        <f aca="false">IF(O60&gt;0,O60,"")</f>
        <v>570</v>
      </c>
    </row>
    <row r="61" customFormat="false" ht="15" hidden="false" customHeight="false" outlineLevel="0" collapsed="false">
      <c r="A61" s="81" t="s">
        <v>704</v>
      </c>
      <c r="B61" s="82" t="n">
        <v>45947</v>
      </c>
      <c r="C61" s="81" t="s">
        <v>319</v>
      </c>
      <c r="D61" s="83" t="str">
        <f aca="false">IFERROR(INDEX(c_Name,MATCH($C61,c_ID,0)),"غير معرّف")</f>
        <v>سعد التميمي</v>
      </c>
      <c r="E61" s="83" t="str">
        <f aca="false">IFERROR(INDEX(c_Region,MATCH($C61,c_ID,0)),"غير معرّف")</f>
        <v>الغربية</v>
      </c>
      <c r="F61" s="81" t="s">
        <v>173</v>
      </c>
      <c r="G61" s="83" t="str">
        <f aca="false">IFERROR(INDEX(p_Name,MATCH($F61,p_ID,0)),"غير معرّف")</f>
        <v>كرسي مريح</v>
      </c>
      <c r="H61" s="83" t="str">
        <f aca="false">IFERROR(INDEX(p_Cat,MATCH($F61,p_ID,0)),"غير معرّف")</f>
        <v>أثاث</v>
      </c>
      <c r="I61" s="81" t="s">
        <v>458</v>
      </c>
      <c r="J61" s="81" t="s">
        <v>93</v>
      </c>
      <c r="K61" s="81" t="n">
        <v>19</v>
      </c>
      <c r="L61" s="84" t="n">
        <f aca="false">IFERROR(INDEX(p_Price,MATCH($F61,p_ID,0)),0)</f>
        <v>850</v>
      </c>
      <c r="M61" s="85" t="n">
        <v>0.2</v>
      </c>
      <c r="N61" s="81" t="s">
        <v>644</v>
      </c>
      <c r="O61" s="84" t="n">
        <f aca="false">IF($N61="مرتجع",0,K61*L61*(1-M61))</f>
        <v>12920</v>
      </c>
      <c r="P61" s="84" t="n">
        <f aca="false">IF($N61="مرتجع",0,K61*IFERROR(INDEX(p_Cost,MATCH($F61,p_ID,0)),0))</f>
        <v>9120</v>
      </c>
      <c r="Q61" s="84" t="n">
        <f aca="false">O61-P61</f>
        <v>3800</v>
      </c>
      <c r="R61" s="86" t="n">
        <f aca="false">DATE(YEAR(B61),MONTH(B61),1)</f>
        <v>45931</v>
      </c>
      <c r="S61" s="83" t="str">
        <f aca="false">YEAR(B61)&amp;"-Q"&amp;ROUNDUP(MONTH(B61)/3,0)</f>
        <v>2025-Q4</v>
      </c>
      <c r="T61" s="87" t="n">
        <f aca="false">IF(O61&gt;0,Q61/O61,"")</f>
        <v>0.294117647058824</v>
      </c>
      <c r="U61" s="84" t="n">
        <f aca="false">IF(O61&gt;0,O61,"")</f>
        <v>12920</v>
      </c>
    </row>
    <row r="62" customFormat="false" ht="15" hidden="false" customHeight="false" outlineLevel="0" collapsed="false">
      <c r="A62" s="81" t="s">
        <v>705</v>
      </c>
      <c r="B62" s="82" t="n">
        <v>45947</v>
      </c>
      <c r="C62" s="81" t="s">
        <v>393</v>
      </c>
      <c r="D62" s="83" t="str">
        <f aca="false">IFERROR(INDEX(c_Name,MATCH($C62,c_ID,0)),"غير معرّف")</f>
        <v>عبير التميمي</v>
      </c>
      <c r="E62" s="83" t="str">
        <f aca="false">IFERROR(INDEX(c_Region,MATCH($C62,c_ID,0)),"غير معرّف")</f>
        <v>الغربية</v>
      </c>
      <c r="F62" s="81" t="s">
        <v>167</v>
      </c>
      <c r="G62" s="83" t="str">
        <f aca="false">IFERROR(INDEX(p_Name,MATCH($F62,p_ID,0)),"غير معرّف")</f>
        <v>شاشة 27 بوصة</v>
      </c>
      <c r="H62" s="83" t="str">
        <f aca="false">IFERROR(INDEX(p_Cat,MATCH($F62,p_ID,0)),"غير معرّف")</f>
        <v>إلكترونيات</v>
      </c>
      <c r="I62" s="81" t="s">
        <v>455</v>
      </c>
      <c r="J62" s="81" t="s">
        <v>93</v>
      </c>
      <c r="K62" s="81" t="n">
        <v>1</v>
      </c>
      <c r="L62" s="84" t="n">
        <f aca="false">IFERROR(INDEX(p_Price,MATCH($F62,p_ID,0)),0)</f>
        <v>1100</v>
      </c>
      <c r="M62" s="85" t="n">
        <v>0</v>
      </c>
      <c r="N62" s="81" t="s">
        <v>644</v>
      </c>
      <c r="O62" s="84" t="n">
        <f aca="false">IF($N62="مرتجع",0,K62*L62*(1-M62))</f>
        <v>1100</v>
      </c>
      <c r="P62" s="84" t="n">
        <f aca="false">IF($N62="مرتجع",0,K62*IFERROR(INDEX(p_Cost,MATCH($F62,p_ID,0)),0))</f>
        <v>780</v>
      </c>
      <c r="Q62" s="84" t="n">
        <f aca="false">O62-P62</f>
        <v>320</v>
      </c>
      <c r="R62" s="86" t="n">
        <f aca="false">DATE(YEAR(B62),MONTH(B62),1)</f>
        <v>45931</v>
      </c>
      <c r="S62" s="83" t="str">
        <f aca="false">YEAR(B62)&amp;"-Q"&amp;ROUNDUP(MONTH(B62)/3,0)</f>
        <v>2025-Q4</v>
      </c>
      <c r="T62" s="87" t="n">
        <f aca="false">IF(O62&gt;0,Q62/O62,"")</f>
        <v>0.290909090909091</v>
      </c>
      <c r="U62" s="84" t="n">
        <f aca="false">IF(O62&gt;0,O62,"")</f>
        <v>1100</v>
      </c>
    </row>
    <row r="63" customFormat="false" ht="15" hidden="false" customHeight="false" outlineLevel="0" collapsed="false">
      <c r="A63" s="81" t="s">
        <v>706</v>
      </c>
      <c r="B63" s="82" t="n">
        <v>45948</v>
      </c>
      <c r="C63" s="81" t="s">
        <v>423</v>
      </c>
      <c r="D63" s="83" t="str">
        <f aca="false">IFERROR(INDEX(c_Name,MATCH($C63,c_ID,0)),"غير معرّف")</f>
        <v>ناصر المطيري</v>
      </c>
      <c r="E63" s="83" t="str">
        <f aca="false">IFERROR(INDEX(c_Region,MATCH($C63,c_ID,0)),"غير معرّف")</f>
        <v>الغربية</v>
      </c>
      <c r="F63" s="81" t="s">
        <v>185</v>
      </c>
      <c r="G63" s="83" t="str">
        <f aca="false">IFERROR(INDEX(p_Name,MATCH($F63,p_ID,0)),"غير معرّف")</f>
        <v>ماكينة حلاقة</v>
      </c>
      <c r="H63" s="83" t="str">
        <f aca="false">IFERROR(INDEX(p_Cat,MATCH($F63,p_ID,0)),"غير معرّف")</f>
        <v>عناية شخصية</v>
      </c>
      <c r="I63" s="81" t="s">
        <v>452</v>
      </c>
      <c r="J63" s="81" t="s">
        <v>91</v>
      </c>
      <c r="K63" s="81" t="n">
        <v>1</v>
      </c>
      <c r="L63" s="84" t="n">
        <f aca="false">IFERROR(INDEX(p_Price,MATCH($F63,p_ID,0)),0)</f>
        <v>340</v>
      </c>
      <c r="M63" s="85" t="n">
        <v>0.1</v>
      </c>
      <c r="N63" s="81" t="s">
        <v>644</v>
      </c>
      <c r="O63" s="84" t="n">
        <f aca="false">IF($N63="مرتجع",0,K63*L63*(1-M63))</f>
        <v>306</v>
      </c>
      <c r="P63" s="84" t="n">
        <f aca="false">IF($N63="مرتجع",0,K63*IFERROR(INDEX(p_Cost,MATCH($F63,p_ID,0)),0))</f>
        <v>170</v>
      </c>
      <c r="Q63" s="84" t="n">
        <f aca="false">O63-P63</f>
        <v>136</v>
      </c>
      <c r="R63" s="86" t="n">
        <f aca="false">DATE(YEAR(B63),MONTH(B63),1)</f>
        <v>45931</v>
      </c>
      <c r="S63" s="83" t="str">
        <f aca="false">YEAR(B63)&amp;"-Q"&amp;ROUNDUP(MONTH(B63)/3,0)</f>
        <v>2025-Q4</v>
      </c>
      <c r="T63" s="87" t="n">
        <f aca="false">IF(O63&gt;0,Q63/O63,"")</f>
        <v>0.444444444444444</v>
      </c>
      <c r="U63" s="84" t="n">
        <f aca="false">IF(O63&gt;0,O63,"")</f>
        <v>306</v>
      </c>
    </row>
    <row r="64" customFormat="false" ht="15" hidden="false" customHeight="false" outlineLevel="0" collapsed="false">
      <c r="A64" s="81" t="s">
        <v>707</v>
      </c>
      <c r="B64" s="82" t="n">
        <v>45948</v>
      </c>
      <c r="C64" s="81" t="s">
        <v>410</v>
      </c>
      <c r="D64" s="83" t="str">
        <f aca="false">IFERROR(INDEX(c_Name,MATCH($C64,c_ID,0)),"غير معرّف")</f>
        <v>لمى الحربي</v>
      </c>
      <c r="E64" s="83" t="str">
        <f aca="false">IFERROR(INDEX(c_Region,MATCH($C64,c_ID,0)),"غير معرّف")</f>
        <v>الوسطى</v>
      </c>
      <c r="F64" s="81" t="s">
        <v>183</v>
      </c>
      <c r="G64" s="83" t="str">
        <f aca="false">IFERROR(INDEX(p_Name,MATCH($F64,p_ID,0)),"غير معرّف")</f>
        <v>سجادة يوغا</v>
      </c>
      <c r="H64" s="83" t="str">
        <f aca="false">IFERROR(INDEX(p_Cat,MATCH($F64,p_ID,0)),"غير معرّف")</f>
        <v>رياضة</v>
      </c>
      <c r="I64" s="81" t="s">
        <v>443</v>
      </c>
      <c r="J64" s="81" t="s">
        <v>91</v>
      </c>
      <c r="K64" s="81" t="n">
        <v>5</v>
      </c>
      <c r="L64" s="84" t="n">
        <f aca="false">IFERROR(INDEX(p_Price,MATCH($F64,p_ID,0)),0)</f>
        <v>120</v>
      </c>
      <c r="M64" s="85" t="n">
        <v>0.05</v>
      </c>
      <c r="N64" s="81" t="s">
        <v>644</v>
      </c>
      <c r="O64" s="84" t="n">
        <f aca="false">IF($N64="مرتجع",0,K64*L64*(1-M64))</f>
        <v>570</v>
      </c>
      <c r="P64" s="84" t="n">
        <f aca="false">IF($N64="مرتجع",0,K64*IFERROR(INDEX(p_Cost,MATCH($F64,p_ID,0)),0))</f>
        <v>250</v>
      </c>
      <c r="Q64" s="84" t="n">
        <f aca="false">O64-P64</f>
        <v>320</v>
      </c>
      <c r="R64" s="86" t="n">
        <f aca="false">DATE(YEAR(B64),MONTH(B64),1)</f>
        <v>45931</v>
      </c>
      <c r="S64" s="83" t="str">
        <f aca="false">YEAR(B64)&amp;"-Q"&amp;ROUNDUP(MONTH(B64)/3,0)</f>
        <v>2025-Q4</v>
      </c>
      <c r="T64" s="87" t="n">
        <f aca="false">IF(O64&gt;0,Q64/O64,"")</f>
        <v>0.56140350877193</v>
      </c>
      <c r="U64" s="84" t="n">
        <f aca="false">IF(O64&gt;0,O64,"")</f>
        <v>570</v>
      </c>
    </row>
    <row r="65" customFormat="false" ht="15" hidden="false" customHeight="false" outlineLevel="0" collapsed="false">
      <c r="A65" s="81" t="s">
        <v>708</v>
      </c>
      <c r="B65" s="82" t="n">
        <v>45948</v>
      </c>
      <c r="C65" s="81" t="s">
        <v>355</v>
      </c>
      <c r="D65" s="83" t="str">
        <f aca="false">IFERROR(INDEX(c_Name,MATCH($C65,c_ID,0)),"غير معرّف")</f>
        <v>جود القحطاني</v>
      </c>
      <c r="E65" s="83" t="str">
        <f aca="false">IFERROR(INDEX(c_Region,MATCH($C65,c_ID,0)),"غير معرّف")</f>
        <v>الجنوبية</v>
      </c>
      <c r="F65" s="81" t="s">
        <v>178</v>
      </c>
      <c r="G65" s="83" t="str">
        <f aca="false">IFERROR(INDEX(p_Name,MATCH($F65,p_ID,0)),"غير معرّف")</f>
        <v>حقيبة لابتوب</v>
      </c>
      <c r="H65" s="83" t="str">
        <f aca="false">IFERROR(INDEX(p_Cat,MATCH($F65,p_ID,0)),"غير معرّف")</f>
        <v>مستلزمات مكتبية</v>
      </c>
      <c r="I65" s="81" t="s">
        <v>465</v>
      </c>
      <c r="J65" s="81" t="s">
        <v>93</v>
      </c>
      <c r="K65" s="81" t="n">
        <v>4</v>
      </c>
      <c r="L65" s="84" t="n">
        <f aca="false">IFERROR(INDEX(p_Price,MATCH($F65,p_ID,0)),0)</f>
        <v>260</v>
      </c>
      <c r="M65" s="85" t="n">
        <v>0.1</v>
      </c>
      <c r="N65" s="81" t="s">
        <v>644</v>
      </c>
      <c r="O65" s="84" t="n">
        <f aca="false">IF($N65="مرتجع",0,K65*L65*(1-M65))</f>
        <v>936</v>
      </c>
      <c r="P65" s="84" t="n">
        <f aca="false">IF($N65="مرتجع",0,K65*IFERROR(INDEX(p_Cost,MATCH($F65,p_ID,0)),0))</f>
        <v>480</v>
      </c>
      <c r="Q65" s="84" t="n">
        <f aca="false">O65-P65</f>
        <v>456</v>
      </c>
      <c r="R65" s="86" t="n">
        <f aca="false">DATE(YEAR(B65),MONTH(B65),1)</f>
        <v>45931</v>
      </c>
      <c r="S65" s="83" t="str">
        <f aca="false">YEAR(B65)&amp;"-Q"&amp;ROUNDUP(MONTH(B65)/3,0)</f>
        <v>2025-Q4</v>
      </c>
      <c r="T65" s="87" t="n">
        <f aca="false">IF(O65&gt;0,Q65/O65,"")</f>
        <v>0.487179487179487</v>
      </c>
      <c r="U65" s="84" t="n">
        <f aca="false">IF(O65&gt;0,O65,"")</f>
        <v>936</v>
      </c>
    </row>
    <row r="66" customFormat="false" ht="15" hidden="false" customHeight="false" outlineLevel="0" collapsed="false">
      <c r="A66" s="81" t="s">
        <v>709</v>
      </c>
      <c r="B66" s="82" t="n">
        <v>45949</v>
      </c>
      <c r="C66" s="81" t="s">
        <v>277</v>
      </c>
      <c r="D66" s="83" t="str">
        <f aca="false">IFERROR(INDEX(c_Name,MATCH($C66,c_ID,0)),"غير معرّف")</f>
        <v>خالد الخالدي</v>
      </c>
      <c r="E66" s="83" t="str">
        <f aca="false">IFERROR(INDEX(c_Region,MATCH($C66,c_ID,0)),"غير معرّف")</f>
        <v>الغربية</v>
      </c>
      <c r="F66" s="81" t="s">
        <v>177</v>
      </c>
      <c r="G66" s="83" t="str">
        <f aca="false">IFERROR(INDEX(p_Name,MATCH($F66,p_ID,0)),"غير معرّف")</f>
        <v>ورق A4 (صندوق)</v>
      </c>
      <c r="H66" s="83" t="str">
        <f aca="false">IFERROR(INDEX(p_Cat,MATCH($F66,p_ID,0)),"غير معرّف")</f>
        <v>مستلزمات مكتبية</v>
      </c>
      <c r="I66" s="81" t="s">
        <v>455</v>
      </c>
      <c r="J66" s="81" t="s">
        <v>93</v>
      </c>
      <c r="K66" s="81" t="n">
        <v>2</v>
      </c>
      <c r="L66" s="84" t="n">
        <f aca="false">IFERROR(INDEX(p_Price,MATCH($F66,p_ID,0)),0)</f>
        <v>140</v>
      </c>
      <c r="M66" s="85" t="n">
        <v>0</v>
      </c>
      <c r="N66" s="81" t="s">
        <v>644</v>
      </c>
      <c r="O66" s="84" t="n">
        <f aca="false">IF($N66="مرتجع",0,K66*L66*(1-M66))</f>
        <v>280</v>
      </c>
      <c r="P66" s="84" t="n">
        <f aca="false">IF($N66="مرتجع",0,K66*IFERROR(INDEX(p_Cost,MATCH($F66,p_ID,0)),0))</f>
        <v>190</v>
      </c>
      <c r="Q66" s="84" t="n">
        <f aca="false">O66-P66</f>
        <v>90</v>
      </c>
      <c r="R66" s="86" t="n">
        <f aca="false">DATE(YEAR(B66),MONTH(B66),1)</f>
        <v>45931</v>
      </c>
      <c r="S66" s="83" t="str">
        <f aca="false">YEAR(B66)&amp;"-Q"&amp;ROUNDUP(MONTH(B66)/3,0)</f>
        <v>2025-Q4</v>
      </c>
      <c r="T66" s="87" t="n">
        <f aca="false">IF(O66&gt;0,Q66/O66,"")</f>
        <v>0.321428571428571</v>
      </c>
      <c r="U66" s="84" t="n">
        <f aca="false">IF(O66&gt;0,O66,"")</f>
        <v>280</v>
      </c>
    </row>
    <row r="67" customFormat="false" ht="15" hidden="false" customHeight="false" outlineLevel="0" collapsed="false">
      <c r="A67" s="81" t="s">
        <v>710</v>
      </c>
      <c r="B67" s="82" t="n">
        <v>45949</v>
      </c>
      <c r="C67" s="81" t="s">
        <v>243</v>
      </c>
      <c r="D67" s="83" t="str">
        <f aca="false">IFERROR(INDEX(c_Name,MATCH($C67,c_ID,0)),"غير معرّف")</f>
        <v>محمد الحربي</v>
      </c>
      <c r="E67" s="83" t="str">
        <f aca="false">IFERROR(INDEX(c_Region,MATCH($C67,c_ID,0)),"غير معرّف")</f>
        <v>الغربية</v>
      </c>
      <c r="F67" s="81" t="s">
        <v>171</v>
      </c>
      <c r="G67" s="83" t="str">
        <f aca="false">IFERROR(INDEX(p_Name,MATCH($F67,p_ID,0)),"غير معرّف")</f>
        <v>قلاية هوائية</v>
      </c>
      <c r="H67" s="83" t="str">
        <f aca="false">IFERROR(INDEX(p_Cat,MATCH($F67,p_ID,0)),"غير معرّف")</f>
        <v>أجهزة منزلية</v>
      </c>
      <c r="I67" s="81" t="s">
        <v>458</v>
      </c>
      <c r="J67" s="81" t="s">
        <v>91</v>
      </c>
      <c r="K67" s="81" t="n">
        <v>2</v>
      </c>
      <c r="L67" s="84" t="n">
        <f aca="false">IFERROR(INDEX(p_Price,MATCH($F67,p_ID,0)),0)</f>
        <v>520</v>
      </c>
      <c r="M67" s="85" t="n">
        <v>0.05</v>
      </c>
      <c r="N67" s="81" t="s">
        <v>644</v>
      </c>
      <c r="O67" s="84" t="n">
        <f aca="false">IF($N67="مرتجع",0,K67*L67*(1-M67))</f>
        <v>988</v>
      </c>
      <c r="P67" s="84" t="n">
        <f aca="false">IF($N67="مرتجع",0,K67*IFERROR(INDEX(p_Cost,MATCH($F67,p_ID,0)),0))</f>
        <v>600</v>
      </c>
      <c r="Q67" s="84" t="n">
        <f aca="false">O67-P67</f>
        <v>388</v>
      </c>
      <c r="R67" s="86" t="n">
        <f aca="false">DATE(YEAR(B67),MONTH(B67),1)</f>
        <v>45931</v>
      </c>
      <c r="S67" s="83" t="str">
        <f aca="false">YEAR(B67)&amp;"-Q"&amp;ROUNDUP(MONTH(B67)/3,0)</f>
        <v>2025-Q4</v>
      </c>
      <c r="T67" s="87" t="n">
        <f aca="false">IF(O67&gt;0,Q67/O67,"")</f>
        <v>0.392712550607287</v>
      </c>
      <c r="U67" s="84" t="n">
        <f aca="false">IF(O67&gt;0,O67,"")</f>
        <v>988</v>
      </c>
    </row>
    <row r="68" customFormat="false" ht="15" hidden="false" customHeight="false" outlineLevel="0" collapsed="false">
      <c r="A68" s="81" t="s">
        <v>711</v>
      </c>
      <c r="B68" s="82" t="n">
        <v>45949</v>
      </c>
      <c r="C68" s="81" t="s">
        <v>401</v>
      </c>
      <c r="D68" s="83" t="str">
        <f aca="false">IFERROR(INDEX(c_Name,MATCH($C68,c_ID,0)),"غير معرّف")</f>
        <v>فهد المطيري</v>
      </c>
      <c r="E68" s="83" t="str">
        <f aca="false">IFERROR(INDEX(c_Region,MATCH($C68,c_ID,0)),"غير معرّف")</f>
        <v>الغربية</v>
      </c>
      <c r="F68" s="81" t="s">
        <v>178</v>
      </c>
      <c r="G68" s="83" t="str">
        <f aca="false">IFERROR(INDEX(p_Name,MATCH($F68,p_ID,0)),"غير معرّف")</f>
        <v>حقيبة لابتوب</v>
      </c>
      <c r="H68" s="83" t="str">
        <f aca="false">IFERROR(INDEX(p_Cat,MATCH($F68,p_ID,0)),"غير معرّف")</f>
        <v>مستلزمات مكتبية</v>
      </c>
      <c r="I68" s="81" t="s">
        <v>455</v>
      </c>
      <c r="J68" s="81" t="s">
        <v>93</v>
      </c>
      <c r="K68" s="81" t="n">
        <v>1</v>
      </c>
      <c r="L68" s="84" t="n">
        <f aca="false">IFERROR(INDEX(p_Price,MATCH($F68,p_ID,0)),0)</f>
        <v>260</v>
      </c>
      <c r="M68" s="85" t="n">
        <v>0</v>
      </c>
      <c r="N68" s="81" t="s">
        <v>644</v>
      </c>
      <c r="O68" s="84" t="n">
        <f aca="false">IF($N68="مرتجع",0,K68*L68*(1-M68))</f>
        <v>260</v>
      </c>
      <c r="P68" s="84" t="n">
        <f aca="false">IF($N68="مرتجع",0,K68*IFERROR(INDEX(p_Cost,MATCH($F68,p_ID,0)),0))</f>
        <v>120</v>
      </c>
      <c r="Q68" s="84" t="n">
        <f aca="false">O68-P68</f>
        <v>140</v>
      </c>
      <c r="R68" s="86" t="n">
        <f aca="false">DATE(YEAR(B68),MONTH(B68),1)</f>
        <v>45931</v>
      </c>
      <c r="S68" s="83" t="str">
        <f aca="false">YEAR(B68)&amp;"-Q"&amp;ROUNDUP(MONTH(B68)/3,0)</f>
        <v>2025-Q4</v>
      </c>
      <c r="T68" s="87" t="n">
        <f aca="false">IF(O68&gt;0,Q68/O68,"")</f>
        <v>0.538461538461538</v>
      </c>
      <c r="U68" s="84" t="n">
        <f aca="false">IF(O68&gt;0,O68,"")</f>
        <v>260</v>
      </c>
    </row>
    <row r="69" customFormat="false" ht="15" hidden="false" customHeight="false" outlineLevel="0" collapsed="false">
      <c r="A69" s="81" t="s">
        <v>712</v>
      </c>
      <c r="B69" s="82" t="n">
        <v>45949</v>
      </c>
      <c r="C69" s="81" t="s">
        <v>348</v>
      </c>
      <c r="D69" s="83" t="str">
        <f aca="false">IFERROR(INDEX(c_Name,MATCH($C69,c_ID,0)),"غير معرّف")</f>
        <v>عبير القحطاني</v>
      </c>
      <c r="E69" s="83" t="str">
        <f aca="false">IFERROR(INDEX(c_Region,MATCH($C69,c_ID,0)),"غير معرّف")</f>
        <v>الغربية</v>
      </c>
      <c r="F69" s="81" t="s">
        <v>167</v>
      </c>
      <c r="G69" s="83" t="str">
        <f aca="false">IFERROR(INDEX(p_Name,MATCH($F69,p_ID,0)),"غير معرّف")</f>
        <v>شاشة 27 بوصة</v>
      </c>
      <c r="H69" s="83" t="str">
        <f aca="false">IFERROR(INDEX(p_Cat,MATCH($F69,p_ID,0)),"غير معرّف")</f>
        <v>إلكترونيات</v>
      </c>
      <c r="I69" s="81" t="s">
        <v>455</v>
      </c>
      <c r="J69" s="81" t="s">
        <v>95</v>
      </c>
      <c r="K69" s="81" t="n">
        <v>6</v>
      </c>
      <c r="L69" s="84" t="n">
        <f aca="false">IFERROR(INDEX(p_Price,MATCH($F69,p_ID,0)),0)</f>
        <v>1100</v>
      </c>
      <c r="M69" s="85" t="n">
        <v>0.05</v>
      </c>
      <c r="N69" s="81" t="s">
        <v>644</v>
      </c>
      <c r="O69" s="84" t="n">
        <f aca="false">IF($N69="مرتجع",0,K69*L69*(1-M69))</f>
        <v>6270</v>
      </c>
      <c r="P69" s="84" t="n">
        <f aca="false">IF($N69="مرتجع",0,K69*IFERROR(INDEX(p_Cost,MATCH($F69,p_ID,0)),0))</f>
        <v>4680</v>
      </c>
      <c r="Q69" s="84" t="n">
        <f aca="false">O69-P69</f>
        <v>1590</v>
      </c>
      <c r="R69" s="86" t="n">
        <f aca="false">DATE(YEAR(B69),MONTH(B69),1)</f>
        <v>45931</v>
      </c>
      <c r="S69" s="83" t="str">
        <f aca="false">YEAR(B69)&amp;"-Q"&amp;ROUNDUP(MONTH(B69)/3,0)</f>
        <v>2025-Q4</v>
      </c>
      <c r="T69" s="87" t="n">
        <f aca="false">IF(O69&gt;0,Q69/O69,"")</f>
        <v>0.253588516746412</v>
      </c>
      <c r="U69" s="84" t="n">
        <f aca="false">IF(O69&gt;0,O69,"")</f>
        <v>6270</v>
      </c>
    </row>
    <row r="70" customFormat="false" ht="15" hidden="false" customHeight="false" outlineLevel="0" collapsed="false">
      <c r="A70" s="81" t="s">
        <v>713</v>
      </c>
      <c r="B70" s="82" t="n">
        <v>45950</v>
      </c>
      <c r="C70" s="81" t="s">
        <v>234</v>
      </c>
      <c r="D70" s="83" t="str">
        <f aca="false">IFERROR(INDEX(c_Name,MATCH($C70,c_ID,0)),"غير معرّف")</f>
        <v>هند الخالدي</v>
      </c>
      <c r="E70" s="83" t="str">
        <f aca="false">IFERROR(INDEX(c_Region,MATCH($C70,c_ID,0)),"غير معرّف")</f>
        <v>الوسطى</v>
      </c>
      <c r="F70" s="81" t="s">
        <v>168</v>
      </c>
      <c r="G70" s="83" t="str">
        <f aca="false">IFERROR(INDEX(p_Name,MATCH($F70,p_ID,0)),"غير معرّف")</f>
        <v>مكنسة كهربائية</v>
      </c>
      <c r="H70" s="83" t="str">
        <f aca="false">IFERROR(INDEX(p_Cat,MATCH($F70,p_ID,0)),"غير معرّف")</f>
        <v>أجهزة منزلية</v>
      </c>
      <c r="I70" s="81" t="s">
        <v>446</v>
      </c>
      <c r="J70" s="81" t="s">
        <v>93</v>
      </c>
      <c r="K70" s="81" t="n">
        <v>1</v>
      </c>
      <c r="L70" s="84" t="n">
        <f aca="false">IFERROR(INDEX(p_Price,MATCH($F70,p_ID,0)),0)</f>
        <v>650</v>
      </c>
      <c r="M70" s="85" t="n">
        <v>0.05</v>
      </c>
      <c r="N70" s="81" t="s">
        <v>644</v>
      </c>
      <c r="O70" s="84" t="n">
        <f aca="false">IF($N70="مرتجع",0,K70*L70*(1-M70))</f>
        <v>617.5</v>
      </c>
      <c r="P70" s="84" t="n">
        <f aca="false">IF($N70="مرتجع",0,K70*IFERROR(INDEX(p_Cost,MATCH($F70,p_ID,0)),0))</f>
        <v>420</v>
      </c>
      <c r="Q70" s="84" t="n">
        <f aca="false">O70-P70</f>
        <v>197.5</v>
      </c>
      <c r="R70" s="86" t="n">
        <f aca="false">DATE(YEAR(B70),MONTH(B70),1)</f>
        <v>45931</v>
      </c>
      <c r="S70" s="83" t="str">
        <f aca="false">YEAR(B70)&amp;"-Q"&amp;ROUNDUP(MONTH(B70)/3,0)</f>
        <v>2025-Q4</v>
      </c>
      <c r="T70" s="87" t="n">
        <f aca="false">IF(O70&gt;0,Q70/O70,"")</f>
        <v>0.319838056680162</v>
      </c>
      <c r="U70" s="84" t="n">
        <f aca="false">IF(O70&gt;0,O70,"")</f>
        <v>617.5</v>
      </c>
    </row>
    <row r="71" customFormat="false" ht="15" hidden="false" customHeight="false" outlineLevel="0" collapsed="false">
      <c r="A71" s="81" t="s">
        <v>714</v>
      </c>
      <c r="B71" s="82" t="n">
        <v>45950</v>
      </c>
      <c r="C71" s="81" t="s">
        <v>340</v>
      </c>
      <c r="D71" s="83" t="str">
        <f aca="false">IFERROR(INDEX(c_Name,MATCH($C71,c_ID,0)),"غير معرّف")</f>
        <v>سعد الشهري</v>
      </c>
      <c r="E71" s="83" t="str">
        <f aca="false">IFERROR(INDEX(c_Region,MATCH($C71,c_ID,0)),"غير معرّف")</f>
        <v>الوسطى</v>
      </c>
      <c r="F71" s="81" t="s">
        <v>175</v>
      </c>
      <c r="G71" s="83" t="str">
        <f aca="false">IFERROR(INDEX(p_Name,MATCH($F71,p_ID,0)),"غير معرّف")</f>
        <v>رف كتب</v>
      </c>
      <c r="H71" s="83" t="str">
        <f aca="false">IFERROR(INDEX(p_Cat,MATCH($F71,p_ID,0)),"غير معرّف")</f>
        <v>أثاث</v>
      </c>
      <c r="I71" s="81" t="s">
        <v>443</v>
      </c>
      <c r="J71" s="81" t="s">
        <v>91</v>
      </c>
      <c r="K71" s="81" t="n">
        <v>1</v>
      </c>
      <c r="L71" s="84" t="n">
        <f aca="false">IFERROR(INDEX(p_Price,MATCH($F71,p_ID,0)),0)</f>
        <v>400</v>
      </c>
      <c r="M71" s="85" t="n">
        <v>0</v>
      </c>
      <c r="N71" s="81" t="s">
        <v>644</v>
      </c>
      <c r="O71" s="84" t="n">
        <f aca="false">IF($N71="مرتجع",0,K71*L71*(1-M71))</f>
        <v>400</v>
      </c>
      <c r="P71" s="84" t="n">
        <f aca="false">IF($N71="مرتجع",0,K71*IFERROR(INDEX(p_Cost,MATCH($F71,p_ID,0)),0))</f>
        <v>220</v>
      </c>
      <c r="Q71" s="84" t="n">
        <f aca="false">O71-P71</f>
        <v>180</v>
      </c>
      <c r="R71" s="86" t="n">
        <f aca="false">DATE(YEAR(B71),MONTH(B71),1)</f>
        <v>45931</v>
      </c>
      <c r="S71" s="83" t="str">
        <f aca="false">YEAR(B71)&amp;"-Q"&amp;ROUNDUP(MONTH(B71)/3,0)</f>
        <v>2025-Q4</v>
      </c>
      <c r="T71" s="87" t="n">
        <f aca="false">IF(O71&gt;0,Q71/O71,"")</f>
        <v>0.45</v>
      </c>
      <c r="U71" s="84" t="n">
        <f aca="false">IF(O71&gt;0,O71,"")</f>
        <v>400</v>
      </c>
    </row>
    <row r="72" customFormat="false" ht="15" hidden="false" customHeight="false" outlineLevel="0" collapsed="false">
      <c r="A72" s="81" t="s">
        <v>715</v>
      </c>
      <c r="B72" s="82" t="n">
        <v>45950</v>
      </c>
      <c r="C72" s="81" t="s">
        <v>404</v>
      </c>
      <c r="D72" s="83" t="str">
        <f aca="false">IFERROR(INDEX(c_Name,MATCH($C72,c_ID,0)),"غير معرّف")</f>
        <v>عبدالله الحسيني</v>
      </c>
      <c r="E72" s="83" t="str">
        <f aca="false">IFERROR(INDEX(c_Region,MATCH($C72,c_ID,0)),"غير معرّف")</f>
        <v>الشرقية</v>
      </c>
      <c r="F72" s="81" t="s">
        <v>186</v>
      </c>
      <c r="G72" s="83" t="str">
        <f aca="false">IFERROR(INDEX(p_Name,MATCH($F72,p_ID,0)),"غير معرّف")</f>
        <v>مجفف شعر</v>
      </c>
      <c r="H72" s="83" t="str">
        <f aca="false">IFERROR(INDEX(p_Cat,MATCH($F72,p_ID,0)),"غير معرّف")</f>
        <v>عناية شخصية</v>
      </c>
      <c r="I72" s="81" t="s">
        <v>463</v>
      </c>
      <c r="J72" s="81" t="s">
        <v>93</v>
      </c>
      <c r="K72" s="81" t="n">
        <v>3</v>
      </c>
      <c r="L72" s="84" t="n">
        <f aca="false">IFERROR(INDEX(p_Price,MATCH($F72,p_ID,0)),0)</f>
        <v>280</v>
      </c>
      <c r="M72" s="85" t="n">
        <v>0</v>
      </c>
      <c r="N72" s="81" t="s">
        <v>644</v>
      </c>
      <c r="O72" s="84" t="n">
        <f aca="false">IF($N72="مرتجع",0,K72*L72*(1-M72))</f>
        <v>840</v>
      </c>
      <c r="P72" s="84" t="n">
        <f aca="false">IF($N72="مرتجع",0,K72*IFERROR(INDEX(p_Cost,MATCH($F72,p_ID,0)),0))</f>
        <v>420</v>
      </c>
      <c r="Q72" s="84" t="n">
        <f aca="false">O72-P72</f>
        <v>420</v>
      </c>
      <c r="R72" s="86" t="n">
        <f aca="false">DATE(YEAR(B72),MONTH(B72),1)</f>
        <v>45931</v>
      </c>
      <c r="S72" s="83" t="str">
        <f aca="false">YEAR(B72)&amp;"-Q"&amp;ROUNDUP(MONTH(B72)/3,0)</f>
        <v>2025-Q4</v>
      </c>
      <c r="T72" s="87" t="n">
        <f aca="false">IF(O72&gt;0,Q72/O72,"")</f>
        <v>0.5</v>
      </c>
      <c r="U72" s="84" t="n">
        <f aca="false">IF(O72&gt;0,O72,"")</f>
        <v>840</v>
      </c>
    </row>
    <row r="73" customFormat="false" ht="15" hidden="false" customHeight="false" outlineLevel="0" collapsed="false">
      <c r="A73" s="81" t="s">
        <v>716</v>
      </c>
      <c r="B73" s="82" t="n">
        <v>45950</v>
      </c>
      <c r="C73" s="81" t="s">
        <v>423</v>
      </c>
      <c r="D73" s="83" t="str">
        <f aca="false">IFERROR(INDEX(c_Name,MATCH($C73,c_ID,0)),"غير معرّف")</f>
        <v>ناصر المطيري</v>
      </c>
      <c r="E73" s="83" t="str">
        <f aca="false">IFERROR(INDEX(c_Region,MATCH($C73,c_ID,0)),"غير معرّف")</f>
        <v>الغربية</v>
      </c>
      <c r="F73" s="81" t="s">
        <v>183</v>
      </c>
      <c r="G73" s="83" t="str">
        <f aca="false">IFERROR(INDEX(p_Name,MATCH($F73,p_ID,0)),"غير معرّف")</f>
        <v>سجادة يوغا</v>
      </c>
      <c r="H73" s="83" t="str">
        <f aca="false">IFERROR(INDEX(p_Cat,MATCH($F73,p_ID,0)),"غير معرّف")</f>
        <v>رياضة</v>
      </c>
      <c r="I73" s="81" t="s">
        <v>452</v>
      </c>
      <c r="J73" s="81" t="s">
        <v>93</v>
      </c>
      <c r="K73" s="81" t="n">
        <v>1</v>
      </c>
      <c r="L73" s="84" t="n">
        <f aca="false">IFERROR(INDEX(p_Price,MATCH($F73,p_ID,0)),0)</f>
        <v>120</v>
      </c>
      <c r="M73" s="85" t="n">
        <v>0.1</v>
      </c>
      <c r="N73" s="81" t="s">
        <v>644</v>
      </c>
      <c r="O73" s="84" t="n">
        <f aca="false">IF($N73="مرتجع",0,K73*L73*(1-M73))</f>
        <v>108</v>
      </c>
      <c r="P73" s="84" t="n">
        <f aca="false">IF($N73="مرتجع",0,K73*IFERROR(INDEX(p_Cost,MATCH($F73,p_ID,0)),0))</f>
        <v>50</v>
      </c>
      <c r="Q73" s="84" t="n">
        <f aca="false">O73-P73</f>
        <v>58</v>
      </c>
      <c r="R73" s="86" t="n">
        <f aca="false">DATE(YEAR(B73),MONTH(B73),1)</f>
        <v>45931</v>
      </c>
      <c r="S73" s="83" t="str">
        <f aca="false">YEAR(B73)&amp;"-Q"&amp;ROUNDUP(MONTH(B73)/3,0)</f>
        <v>2025-Q4</v>
      </c>
      <c r="T73" s="87" t="n">
        <f aca="false">IF(O73&gt;0,Q73/O73,"")</f>
        <v>0.537037037037037</v>
      </c>
      <c r="U73" s="84" t="n">
        <f aca="false">IF(O73&gt;0,O73,"")</f>
        <v>108</v>
      </c>
    </row>
    <row r="74" customFormat="false" ht="15" hidden="false" customHeight="false" outlineLevel="0" collapsed="false">
      <c r="A74" s="81" t="s">
        <v>717</v>
      </c>
      <c r="B74" s="82" t="n">
        <v>45950</v>
      </c>
      <c r="C74" s="81" t="s">
        <v>419</v>
      </c>
      <c r="D74" s="83" t="str">
        <f aca="false">IFERROR(INDEX(c_Name,MATCH($C74,c_ID,0)),"غير معرّف")</f>
        <v>خالد العتيبي</v>
      </c>
      <c r="E74" s="83" t="str">
        <f aca="false">IFERROR(INDEX(c_Region,MATCH($C74,c_ID,0)),"غير معرّف")</f>
        <v>الجنوبية</v>
      </c>
      <c r="F74" s="81" t="s">
        <v>186</v>
      </c>
      <c r="G74" s="83" t="str">
        <f aca="false">IFERROR(INDEX(p_Name,MATCH($F74,p_ID,0)),"غير معرّف")</f>
        <v>مجفف شعر</v>
      </c>
      <c r="H74" s="83" t="str">
        <f aca="false">IFERROR(INDEX(p_Cat,MATCH($F74,p_ID,0)),"غير معرّف")</f>
        <v>عناية شخصية</v>
      </c>
      <c r="I74" s="81" t="s">
        <v>465</v>
      </c>
      <c r="J74" s="81" t="s">
        <v>91</v>
      </c>
      <c r="K74" s="81" t="n">
        <v>1</v>
      </c>
      <c r="L74" s="84" t="n">
        <f aca="false">IFERROR(INDEX(p_Price,MATCH($F74,p_ID,0)),0)</f>
        <v>280</v>
      </c>
      <c r="M74" s="85" t="n">
        <v>0</v>
      </c>
      <c r="N74" s="81" t="s">
        <v>644</v>
      </c>
      <c r="O74" s="84" t="n">
        <f aca="false">IF($N74="مرتجع",0,K74*L74*(1-M74))</f>
        <v>280</v>
      </c>
      <c r="P74" s="84" t="n">
        <f aca="false">IF($N74="مرتجع",0,K74*IFERROR(INDEX(p_Cost,MATCH($F74,p_ID,0)),0))</f>
        <v>140</v>
      </c>
      <c r="Q74" s="84" t="n">
        <f aca="false">O74-P74</f>
        <v>140</v>
      </c>
      <c r="R74" s="86" t="n">
        <f aca="false">DATE(YEAR(B74),MONTH(B74),1)</f>
        <v>45931</v>
      </c>
      <c r="S74" s="83" t="str">
        <f aca="false">YEAR(B74)&amp;"-Q"&amp;ROUNDUP(MONTH(B74)/3,0)</f>
        <v>2025-Q4</v>
      </c>
      <c r="T74" s="87" t="n">
        <f aca="false">IF(O74&gt;0,Q74/O74,"")</f>
        <v>0.5</v>
      </c>
      <c r="U74" s="84" t="n">
        <f aca="false">IF(O74&gt;0,O74,"")</f>
        <v>280</v>
      </c>
    </row>
    <row r="75" customFormat="false" ht="15" hidden="false" customHeight="false" outlineLevel="0" collapsed="false">
      <c r="A75" s="81" t="s">
        <v>718</v>
      </c>
      <c r="B75" s="82" t="n">
        <v>45952</v>
      </c>
      <c r="C75" s="81" t="s">
        <v>295</v>
      </c>
      <c r="D75" s="83" t="str">
        <f aca="false">IFERROR(INDEX(c_Name,MATCH($C75,c_ID,0)),"غير معرّف")</f>
        <v>عبير الزهراني</v>
      </c>
      <c r="E75" s="83" t="str">
        <f aca="false">IFERROR(INDEX(c_Region,MATCH($C75,c_ID,0)),"غير معرّف")</f>
        <v>الوسطى</v>
      </c>
      <c r="F75" s="81" t="s">
        <v>164</v>
      </c>
      <c r="G75" s="83" t="str">
        <f aca="false">IFERROR(INDEX(p_Name,MATCH($F75,p_ID,0)),"غير معرّف")</f>
        <v>هاتف ذكي</v>
      </c>
      <c r="H75" s="83" t="str">
        <f aca="false">IFERROR(INDEX(p_Cat,MATCH($F75,p_ID,0)),"غير معرّف")</f>
        <v>إلكترونيات</v>
      </c>
      <c r="I75" s="81" t="s">
        <v>443</v>
      </c>
      <c r="J75" s="81" t="s">
        <v>95</v>
      </c>
      <c r="K75" s="81" t="n">
        <v>2</v>
      </c>
      <c r="L75" s="84" t="n">
        <f aca="false">IFERROR(INDEX(p_Price,MATCH($F75,p_ID,0)),0)</f>
        <v>2400</v>
      </c>
      <c r="M75" s="85" t="n">
        <v>0.1</v>
      </c>
      <c r="N75" s="81" t="s">
        <v>644</v>
      </c>
      <c r="O75" s="84" t="n">
        <f aca="false">IF($N75="مرتجع",0,K75*L75*(1-M75))</f>
        <v>4320</v>
      </c>
      <c r="P75" s="84" t="n">
        <f aca="false">IF($N75="مرتجع",0,K75*IFERROR(INDEX(p_Cost,MATCH($F75,p_ID,0)),0))</f>
        <v>3500</v>
      </c>
      <c r="Q75" s="84" t="n">
        <f aca="false">O75-P75</f>
        <v>820</v>
      </c>
      <c r="R75" s="86" t="n">
        <f aca="false">DATE(YEAR(B75),MONTH(B75),1)</f>
        <v>45931</v>
      </c>
      <c r="S75" s="83" t="str">
        <f aca="false">YEAR(B75)&amp;"-Q"&amp;ROUNDUP(MONTH(B75)/3,0)</f>
        <v>2025-Q4</v>
      </c>
      <c r="T75" s="87" t="n">
        <f aca="false">IF(O75&gt;0,Q75/O75,"")</f>
        <v>0.189814814814815</v>
      </c>
      <c r="U75" s="84" t="n">
        <f aca="false">IF(O75&gt;0,O75,"")</f>
        <v>4320</v>
      </c>
    </row>
    <row r="76" customFormat="false" ht="15" hidden="false" customHeight="false" outlineLevel="0" collapsed="false">
      <c r="A76" s="81" t="s">
        <v>719</v>
      </c>
      <c r="B76" s="82" t="n">
        <v>45952</v>
      </c>
      <c r="C76" s="81" t="s">
        <v>378</v>
      </c>
      <c r="D76" s="83" t="str">
        <f aca="false">IFERROR(INDEX(c_Name,MATCH($C76,c_ID,0)),"غير معرّف")</f>
        <v>هند الغامدي</v>
      </c>
      <c r="E76" s="83" t="str">
        <f aca="false">IFERROR(INDEX(c_Region,MATCH($C76,c_ID,0)),"غير معرّف")</f>
        <v>الوسطى</v>
      </c>
      <c r="F76" s="81" t="s">
        <v>168</v>
      </c>
      <c r="G76" s="83" t="str">
        <f aca="false">IFERROR(INDEX(p_Name,MATCH($F76,p_ID,0)),"غير معرّف")</f>
        <v>مكنسة كهربائية</v>
      </c>
      <c r="H76" s="83" t="str">
        <f aca="false">IFERROR(INDEX(p_Cat,MATCH($F76,p_ID,0)),"غير معرّف")</f>
        <v>أجهزة منزلية</v>
      </c>
      <c r="I76" s="81" t="s">
        <v>446</v>
      </c>
      <c r="J76" s="81" t="s">
        <v>93</v>
      </c>
      <c r="K76" s="81" t="n">
        <v>3</v>
      </c>
      <c r="L76" s="84" t="n">
        <f aca="false">IFERROR(INDEX(p_Price,MATCH($F76,p_ID,0)),0)</f>
        <v>650</v>
      </c>
      <c r="M76" s="85" t="n">
        <v>0.1</v>
      </c>
      <c r="N76" s="81" t="s">
        <v>644</v>
      </c>
      <c r="O76" s="84" t="n">
        <f aca="false">IF($N76="مرتجع",0,K76*L76*(1-M76))</f>
        <v>1755</v>
      </c>
      <c r="P76" s="84" t="n">
        <f aca="false">IF($N76="مرتجع",0,K76*IFERROR(INDEX(p_Cost,MATCH($F76,p_ID,0)),0))</f>
        <v>1260</v>
      </c>
      <c r="Q76" s="84" t="n">
        <f aca="false">O76-P76</f>
        <v>495</v>
      </c>
      <c r="R76" s="86" t="n">
        <f aca="false">DATE(YEAR(B76),MONTH(B76),1)</f>
        <v>45931</v>
      </c>
      <c r="S76" s="83" t="str">
        <f aca="false">YEAR(B76)&amp;"-Q"&amp;ROUNDUP(MONTH(B76)/3,0)</f>
        <v>2025-Q4</v>
      </c>
      <c r="T76" s="87" t="n">
        <f aca="false">IF(O76&gt;0,Q76/O76,"")</f>
        <v>0.282051282051282</v>
      </c>
      <c r="U76" s="84" t="n">
        <f aca="false">IF(O76&gt;0,O76,"")</f>
        <v>1755</v>
      </c>
    </row>
    <row r="77" customFormat="false" ht="15" hidden="false" customHeight="false" outlineLevel="0" collapsed="false">
      <c r="A77" s="81" t="s">
        <v>720</v>
      </c>
      <c r="B77" s="82" t="n">
        <v>45952</v>
      </c>
      <c r="C77" s="81" t="s">
        <v>334</v>
      </c>
      <c r="D77" s="83" t="str">
        <f aca="false">IFERROR(INDEX(c_Name,MATCH($C77,c_ID,0)),"غير معرّف")</f>
        <v>ناصر الغامدي</v>
      </c>
      <c r="E77" s="83" t="str">
        <f aca="false">IFERROR(INDEX(c_Region,MATCH($C77,c_ID,0)),"غير معرّف")</f>
        <v>الغربية</v>
      </c>
      <c r="F77" s="81" t="s">
        <v>184</v>
      </c>
      <c r="G77" s="83" t="str">
        <f aca="false">IFERROR(INDEX(p_Name,MATCH($F77,p_ID,0)),"غير معرّف")</f>
        <v>عطر فاخر</v>
      </c>
      <c r="H77" s="83" t="str">
        <f aca="false">IFERROR(INDEX(p_Cat,MATCH($F77,p_ID,0)),"غير معرّف")</f>
        <v>عناية شخصية</v>
      </c>
      <c r="I77" s="81" t="s">
        <v>452</v>
      </c>
      <c r="J77" s="81" t="s">
        <v>91</v>
      </c>
      <c r="K77" s="81" t="n">
        <v>1</v>
      </c>
      <c r="L77" s="84" t="n">
        <f aca="false">IFERROR(INDEX(p_Price,MATCH($F77,p_ID,0)),0)</f>
        <v>520</v>
      </c>
      <c r="M77" s="85" t="n">
        <v>0</v>
      </c>
      <c r="N77" s="81" t="s">
        <v>644</v>
      </c>
      <c r="O77" s="84" t="n">
        <f aca="false">IF($N77="مرتجع",0,K77*L77*(1-M77))</f>
        <v>520</v>
      </c>
      <c r="P77" s="84" t="n">
        <f aca="false">IF($N77="مرتجع",0,K77*IFERROR(INDEX(p_Cost,MATCH($F77,p_ID,0)),0))</f>
        <v>210</v>
      </c>
      <c r="Q77" s="84" t="n">
        <f aca="false">O77-P77</f>
        <v>310</v>
      </c>
      <c r="R77" s="86" t="n">
        <f aca="false">DATE(YEAR(B77),MONTH(B77),1)</f>
        <v>45931</v>
      </c>
      <c r="S77" s="83" t="str">
        <f aca="false">YEAR(B77)&amp;"-Q"&amp;ROUNDUP(MONTH(B77)/3,0)</f>
        <v>2025-Q4</v>
      </c>
      <c r="T77" s="87" t="n">
        <f aca="false">IF(O77&gt;0,Q77/O77,"")</f>
        <v>0.596153846153846</v>
      </c>
      <c r="U77" s="84" t="n">
        <f aca="false">IF(O77&gt;0,O77,"")</f>
        <v>520</v>
      </c>
    </row>
    <row r="78" customFormat="false" ht="15" hidden="false" customHeight="false" outlineLevel="0" collapsed="false">
      <c r="A78" s="81" t="s">
        <v>721</v>
      </c>
      <c r="B78" s="82" t="n">
        <v>45952</v>
      </c>
      <c r="C78" s="81" t="s">
        <v>274</v>
      </c>
      <c r="D78" s="83" t="str">
        <f aca="false">IFERROR(INDEX(c_Name,MATCH($C78,c_ID,0)),"غير معرّف")</f>
        <v>سلمان الغامدي</v>
      </c>
      <c r="E78" s="83" t="str">
        <f aca="false">IFERROR(INDEX(c_Region,MATCH($C78,c_ID,0)),"غير معرّف")</f>
        <v>الوسطى</v>
      </c>
      <c r="F78" s="81" t="s">
        <v>164</v>
      </c>
      <c r="G78" s="83" t="str">
        <f aca="false">IFERROR(INDEX(p_Name,MATCH($F78,p_ID,0)),"غير معرّف")</f>
        <v>هاتف ذكي</v>
      </c>
      <c r="H78" s="83" t="str">
        <f aca="false">IFERROR(INDEX(p_Cat,MATCH($F78,p_ID,0)),"غير معرّف")</f>
        <v>إلكترونيات</v>
      </c>
      <c r="I78" s="81" t="s">
        <v>446</v>
      </c>
      <c r="J78" s="81" t="s">
        <v>93</v>
      </c>
      <c r="K78" s="81" t="n">
        <v>1</v>
      </c>
      <c r="L78" s="84" t="n">
        <f aca="false">IFERROR(INDEX(p_Price,MATCH($F78,p_ID,0)),0)</f>
        <v>2400</v>
      </c>
      <c r="M78" s="85" t="n">
        <v>0</v>
      </c>
      <c r="N78" s="81" t="s">
        <v>644</v>
      </c>
      <c r="O78" s="84" t="n">
        <f aca="false">IF($N78="مرتجع",0,K78*L78*(1-M78))</f>
        <v>2400</v>
      </c>
      <c r="P78" s="84" t="n">
        <f aca="false">IF($N78="مرتجع",0,K78*IFERROR(INDEX(p_Cost,MATCH($F78,p_ID,0)),0))</f>
        <v>1750</v>
      </c>
      <c r="Q78" s="84" t="n">
        <f aca="false">O78-P78</f>
        <v>650</v>
      </c>
      <c r="R78" s="86" t="n">
        <f aca="false">DATE(YEAR(B78),MONTH(B78),1)</f>
        <v>45931</v>
      </c>
      <c r="S78" s="83" t="str">
        <f aca="false">YEAR(B78)&amp;"-Q"&amp;ROUNDUP(MONTH(B78)/3,0)</f>
        <v>2025-Q4</v>
      </c>
      <c r="T78" s="87" t="n">
        <f aca="false">IF(O78&gt;0,Q78/O78,"")</f>
        <v>0.270833333333333</v>
      </c>
      <c r="U78" s="84" t="n">
        <f aca="false">IF(O78&gt;0,O78,"")</f>
        <v>2400</v>
      </c>
    </row>
    <row r="79" customFormat="false" ht="15" hidden="false" customHeight="false" outlineLevel="0" collapsed="false">
      <c r="A79" s="81" t="s">
        <v>722</v>
      </c>
      <c r="B79" s="82" t="n">
        <v>45952</v>
      </c>
      <c r="C79" s="81" t="s">
        <v>250</v>
      </c>
      <c r="D79" s="83" t="str">
        <f aca="false">IFERROR(INDEX(c_Name,MATCH($C79,c_ID,0)),"غير معرّف")</f>
        <v>ليلى المطيري</v>
      </c>
      <c r="E79" s="83" t="str">
        <f aca="false">IFERROR(INDEX(c_Region,MATCH($C79,c_ID,0)),"غير معرّف")</f>
        <v>الغربية</v>
      </c>
      <c r="F79" s="81" t="s">
        <v>166</v>
      </c>
      <c r="G79" s="83" t="str">
        <f aca="false">IFERROR(INDEX(p_Name,MATCH($F79,p_ID,0)),"غير معرّف")</f>
        <v>سماعات لاسلكية</v>
      </c>
      <c r="H79" s="83" t="str">
        <f aca="false">IFERROR(INDEX(p_Cat,MATCH($F79,p_ID,0)),"غير معرّف")</f>
        <v>إلكترونيات</v>
      </c>
      <c r="I79" s="81" t="s">
        <v>452</v>
      </c>
      <c r="J79" s="81" t="s">
        <v>93</v>
      </c>
      <c r="K79" s="81" t="n">
        <v>4</v>
      </c>
      <c r="L79" s="84" t="n">
        <f aca="false">IFERROR(INDEX(p_Price,MATCH($F79,p_ID,0)),0)</f>
        <v>450</v>
      </c>
      <c r="M79" s="85" t="n">
        <v>0.05</v>
      </c>
      <c r="N79" s="81" t="s">
        <v>644</v>
      </c>
      <c r="O79" s="84" t="n">
        <f aca="false">IF($N79="مرتجع",0,K79*L79*(1-M79))</f>
        <v>1710</v>
      </c>
      <c r="P79" s="84" t="n">
        <f aca="false">IF($N79="مرتجع",0,K79*IFERROR(INDEX(p_Cost,MATCH($F79,p_ID,0)),0))</f>
        <v>1040</v>
      </c>
      <c r="Q79" s="84" t="n">
        <f aca="false">O79-P79</f>
        <v>670</v>
      </c>
      <c r="R79" s="86" t="n">
        <f aca="false">DATE(YEAR(B79),MONTH(B79),1)</f>
        <v>45931</v>
      </c>
      <c r="S79" s="83" t="str">
        <f aca="false">YEAR(B79)&amp;"-Q"&amp;ROUNDUP(MONTH(B79)/3,0)</f>
        <v>2025-Q4</v>
      </c>
      <c r="T79" s="87" t="n">
        <f aca="false">IF(O79&gt;0,Q79/O79,"")</f>
        <v>0.391812865497076</v>
      </c>
      <c r="U79" s="84" t="n">
        <f aca="false">IF(O79&gt;0,O79,"")</f>
        <v>1710</v>
      </c>
    </row>
    <row r="80" customFormat="false" ht="15" hidden="false" customHeight="false" outlineLevel="0" collapsed="false">
      <c r="A80" s="81" t="s">
        <v>723</v>
      </c>
      <c r="B80" s="82" t="n">
        <v>45952</v>
      </c>
      <c r="C80" s="81" t="s">
        <v>418</v>
      </c>
      <c r="D80" s="83" t="str">
        <f aca="false">IFERROR(INDEX(c_Name,MATCH($C80,c_ID,0)),"غير معرّف")</f>
        <v>ياسر الزهراني</v>
      </c>
      <c r="E80" s="83" t="str">
        <f aca="false">IFERROR(INDEX(c_Region,MATCH($C80,c_ID,0)),"غير معرّف")</f>
        <v>الشرقية</v>
      </c>
      <c r="F80" s="81" t="s">
        <v>168</v>
      </c>
      <c r="G80" s="83" t="str">
        <f aca="false">IFERROR(INDEX(p_Name,MATCH($F80,p_ID,0)),"غير معرّف")</f>
        <v>مكنسة كهربائية</v>
      </c>
      <c r="H80" s="83" t="str">
        <f aca="false">IFERROR(INDEX(p_Cat,MATCH($F80,p_ID,0)),"غير معرّف")</f>
        <v>أجهزة منزلية</v>
      </c>
      <c r="I80" s="81" t="s">
        <v>463</v>
      </c>
      <c r="J80" s="81" t="s">
        <v>93</v>
      </c>
      <c r="K80" s="81" t="n">
        <v>4</v>
      </c>
      <c r="L80" s="84" t="n">
        <f aca="false">IFERROR(INDEX(p_Price,MATCH($F80,p_ID,0)),0)</f>
        <v>650</v>
      </c>
      <c r="M80" s="85" t="n">
        <v>0</v>
      </c>
      <c r="N80" s="81" t="s">
        <v>650</v>
      </c>
      <c r="O80" s="84" t="n">
        <f aca="false">IF($N80="مرتجع",0,K80*L80*(1-M80))</f>
        <v>0</v>
      </c>
      <c r="P80" s="84" t="n">
        <f aca="false">IF($N80="مرتجع",0,K80*IFERROR(INDEX(p_Cost,MATCH($F80,p_ID,0)),0))</f>
        <v>0</v>
      </c>
      <c r="Q80" s="84" t="n">
        <f aca="false">O80-P80</f>
        <v>0</v>
      </c>
      <c r="R80" s="86" t="n">
        <f aca="false">DATE(YEAR(B80),MONTH(B80),1)</f>
        <v>45931</v>
      </c>
      <c r="S80" s="83" t="str">
        <f aca="false">YEAR(B80)&amp;"-Q"&amp;ROUNDUP(MONTH(B80)/3,0)</f>
        <v>2025-Q4</v>
      </c>
      <c r="T80" s="87" t="str">
        <f aca="false">IF(O80&gt;0,Q80/O80,"")</f>
        <v/>
      </c>
      <c r="U80" s="84" t="str">
        <f aca="false">IF(O80&gt;0,O80,"")</f>
        <v/>
      </c>
    </row>
    <row r="81" customFormat="false" ht="15" hidden="false" customHeight="false" outlineLevel="0" collapsed="false">
      <c r="A81" s="81" t="s">
        <v>724</v>
      </c>
      <c r="B81" s="82" t="n">
        <v>45952</v>
      </c>
      <c r="C81" s="81" t="s">
        <v>340</v>
      </c>
      <c r="D81" s="83" t="str">
        <f aca="false">IFERROR(INDEX(c_Name,MATCH($C81,c_ID,0)),"غير معرّف")</f>
        <v>سعد الشهري</v>
      </c>
      <c r="E81" s="83" t="str">
        <f aca="false">IFERROR(INDEX(c_Region,MATCH($C81,c_ID,0)),"غير معرّف")</f>
        <v>الوسطى</v>
      </c>
      <c r="F81" s="81" t="s">
        <v>178</v>
      </c>
      <c r="G81" s="83" t="str">
        <f aca="false">IFERROR(INDEX(p_Name,MATCH($F81,p_ID,0)),"غير معرّف")</f>
        <v>حقيبة لابتوب</v>
      </c>
      <c r="H81" s="83" t="str">
        <f aca="false">IFERROR(INDEX(p_Cat,MATCH($F81,p_ID,0)),"غير معرّف")</f>
        <v>مستلزمات مكتبية</v>
      </c>
      <c r="I81" s="81" t="s">
        <v>449</v>
      </c>
      <c r="J81" s="81" t="s">
        <v>91</v>
      </c>
      <c r="K81" s="81" t="n">
        <v>1</v>
      </c>
      <c r="L81" s="84" t="n">
        <f aca="false">IFERROR(INDEX(p_Price,MATCH($F81,p_ID,0)),0)</f>
        <v>260</v>
      </c>
      <c r="M81" s="85" t="n">
        <v>0</v>
      </c>
      <c r="N81" s="81" t="s">
        <v>644</v>
      </c>
      <c r="O81" s="84" t="n">
        <f aca="false">IF($N81="مرتجع",0,K81*L81*(1-M81))</f>
        <v>260</v>
      </c>
      <c r="P81" s="84" t="n">
        <f aca="false">IF($N81="مرتجع",0,K81*IFERROR(INDEX(p_Cost,MATCH($F81,p_ID,0)),0))</f>
        <v>120</v>
      </c>
      <c r="Q81" s="84" t="n">
        <f aca="false">O81-P81</f>
        <v>140</v>
      </c>
      <c r="R81" s="86" t="n">
        <f aca="false">DATE(YEAR(B81),MONTH(B81),1)</f>
        <v>45931</v>
      </c>
      <c r="S81" s="83" t="str">
        <f aca="false">YEAR(B81)&amp;"-Q"&amp;ROUNDUP(MONTH(B81)/3,0)</f>
        <v>2025-Q4</v>
      </c>
      <c r="T81" s="87" t="n">
        <f aca="false">IF(O81&gt;0,Q81/O81,"")</f>
        <v>0.538461538461538</v>
      </c>
      <c r="U81" s="84" t="n">
        <f aca="false">IF(O81&gt;0,O81,"")</f>
        <v>260</v>
      </c>
    </row>
    <row r="82" customFormat="false" ht="15" hidden="false" customHeight="false" outlineLevel="0" collapsed="false">
      <c r="A82" s="81" t="s">
        <v>725</v>
      </c>
      <c r="B82" s="82" t="n">
        <v>45952</v>
      </c>
      <c r="C82" s="81" t="s">
        <v>404</v>
      </c>
      <c r="D82" s="83" t="str">
        <f aca="false">IFERROR(INDEX(c_Name,MATCH($C82,c_ID,0)),"غير معرّف")</f>
        <v>عبدالله الحسيني</v>
      </c>
      <c r="E82" s="83" t="str">
        <f aca="false">IFERROR(INDEX(c_Region,MATCH($C82,c_ID,0)),"غير معرّف")</f>
        <v>الشرقية</v>
      </c>
      <c r="F82" s="81" t="s">
        <v>172</v>
      </c>
      <c r="G82" s="83" t="str">
        <f aca="false">IFERROR(INDEX(p_Name,MATCH($F82,p_ID,0)),"غير معرّف")</f>
        <v>مكتب عمل</v>
      </c>
      <c r="H82" s="83" t="str">
        <f aca="false">IFERROR(INDEX(p_Cat,MATCH($F82,p_ID,0)),"غير معرّف")</f>
        <v>أثاث</v>
      </c>
      <c r="I82" s="81" t="s">
        <v>461</v>
      </c>
      <c r="J82" s="81" t="s">
        <v>93</v>
      </c>
      <c r="K82" s="81" t="n">
        <v>1</v>
      </c>
      <c r="L82" s="84" t="n">
        <f aca="false">IFERROR(INDEX(p_Price,MATCH($F82,p_ID,0)),0)</f>
        <v>1200</v>
      </c>
      <c r="M82" s="85" t="n">
        <v>0.05</v>
      </c>
      <c r="N82" s="81" t="s">
        <v>644</v>
      </c>
      <c r="O82" s="84" t="n">
        <f aca="false">IF($N82="مرتجع",0,K82*L82*(1-M82))</f>
        <v>1140</v>
      </c>
      <c r="P82" s="84" t="n">
        <f aca="false">IF($N82="مرتجع",0,K82*IFERROR(INDEX(p_Cost,MATCH($F82,p_ID,0)),0))</f>
        <v>700</v>
      </c>
      <c r="Q82" s="84" t="n">
        <f aca="false">O82-P82</f>
        <v>440</v>
      </c>
      <c r="R82" s="86" t="n">
        <f aca="false">DATE(YEAR(B82),MONTH(B82),1)</f>
        <v>45931</v>
      </c>
      <c r="S82" s="83" t="str">
        <f aca="false">YEAR(B82)&amp;"-Q"&amp;ROUNDUP(MONTH(B82)/3,0)</f>
        <v>2025-Q4</v>
      </c>
      <c r="T82" s="87" t="n">
        <f aca="false">IF(O82&gt;0,Q82/O82,"")</f>
        <v>0.385964912280702</v>
      </c>
      <c r="U82" s="84" t="n">
        <f aca="false">IF(O82&gt;0,O82,"")</f>
        <v>1140</v>
      </c>
    </row>
    <row r="83" customFormat="false" ht="15" hidden="false" customHeight="false" outlineLevel="0" collapsed="false">
      <c r="A83" s="81" t="s">
        <v>726</v>
      </c>
      <c r="B83" s="82" t="n">
        <v>45952</v>
      </c>
      <c r="C83" s="81" t="s">
        <v>293</v>
      </c>
      <c r="D83" s="83" t="str">
        <f aca="false">IFERROR(INDEX(c_Name,MATCH($C83,c_ID,0)),"غير معرّف")</f>
        <v>سارة الغامدي</v>
      </c>
      <c r="E83" s="83" t="str">
        <f aca="false">IFERROR(INDEX(c_Region,MATCH($C83,c_ID,0)),"غير معرّف")</f>
        <v>الوسطى</v>
      </c>
      <c r="F83" s="81" t="s">
        <v>185</v>
      </c>
      <c r="G83" s="83" t="str">
        <f aca="false">IFERROR(INDEX(p_Name,MATCH($F83,p_ID,0)),"غير معرّف")</f>
        <v>ماكينة حلاقة</v>
      </c>
      <c r="H83" s="83" t="str">
        <f aca="false">IFERROR(INDEX(p_Cat,MATCH($F83,p_ID,0)),"غير معرّف")</f>
        <v>عناية شخصية</v>
      </c>
      <c r="I83" s="81" t="s">
        <v>449</v>
      </c>
      <c r="J83" s="81" t="s">
        <v>93</v>
      </c>
      <c r="K83" s="81" t="n">
        <v>5</v>
      </c>
      <c r="L83" s="84" t="n">
        <f aca="false">IFERROR(INDEX(p_Price,MATCH($F83,p_ID,0)),0)</f>
        <v>340</v>
      </c>
      <c r="M83" s="85" t="n">
        <v>0.2</v>
      </c>
      <c r="N83" s="81" t="s">
        <v>644</v>
      </c>
      <c r="O83" s="84" t="n">
        <f aca="false">IF($N83="مرتجع",0,K83*L83*(1-M83))</f>
        <v>1360</v>
      </c>
      <c r="P83" s="84" t="n">
        <f aca="false">IF($N83="مرتجع",0,K83*IFERROR(INDEX(p_Cost,MATCH($F83,p_ID,0)),0))</f>
        <v>850</v>
      </c>
      <c r="Q83" s="84" t="n">
        <f aca="false">O83-P83</f>
        <v>510</v>
      </c>
      <c r="R83" s="86" t="n">
        <f aca="false">DATE(YEAR(B83),MONTH(B83),1)</f>
        <v>45931</v>
      </c>
      <c r="S83" s="83" t="str">
        <f aca="false">YEAR(B83)&amp;"-Q"&amp;ROUNDUP(MONTH(B83)/3,0)</f>
        <v>2025-Q4</v>
      </c>
      <c r="T83" s="87" t="n">
        <f aca="false">IF(O83&gt;0,Q83/O83,"")</f>
        <v>0.375</v>
      </c>
      <c r="U83" s="84" t="n">
        <f aca="false">IF(O83&gt;0,O83,"")</f>
        <v>1360</v>
      </c>
    </row>
    <row r="84" customFormat="false" ht="15" hidden="false" customHeight="false" outlineLevel="0" collapsed="false">
      <c r="A84" s="81" t="s">
        <v>727</v>
      </c>
      <c r="B84" s="82" t="n">
        <v>45953</v>
      </c>
      <c r="C84" s="81" t="s">
        <v>430</v>
      </c>
      <c r="D84" s="83" t="str">
        <f aca="false">IFERROR(INDEX(c_Name,MATCH($C84,c_ID,0)),"غير معرّف")</f>
        <v>ليلى الحربي</v>
      </c>
      <c r="E84" s="83" t="str">
        <f aca="false">IFERROR(INDEX(c_Region,MATCH($C84,c_ID,0)),"غير معرّف")</f>
        <v>الجنوبية</v>
      </c>
      <c r="F84" s="81" t="s">
        <v>182</v>
      </c>
      <c r="G84" s="83" t="str">
        <f aca="false">IFERROR(INDEX(p_Name,MATCH($F84,p_ID,0)),"غير معرّف")</f>
        <v>طقم أوزان</v>
      </c>
      <c r="H84" s="83" t="str">
        <f aca="false">IFERROR(INDEX(p_Cat,MATCH($F84,p_ID,0)),"غير معرّف")</f>
        <v>رياضة</v>
      </c>
      <c r="I84" s="81" t="s">
        <v>467</v>
      </c>
      <c r="J84" s="81" t="s">
        <v>91</v>
      </c>
      <c r="K84" s="81" t="n">
        <v>5</v>
      </c>
      <c r="L84" s="84" t="n">
        <f aca="false">IFERROR(INDEX(p_Price,MATCH($F84,p_ID,0)),0)</f>
        <v>380</v>
      </c>
      <c r="M84" s="85" t="n">
        <v>0.05</v>
      </c>
      <c r="N84" s="81" t="s">
        <v>644</v>
      </c>
      <c r="O84" s="84" t="n">
        <f aca="false">IF($N84="مرتجع",0,K84*L84*(1-M84))</f>
        <v>1805</v>
      </c>
      <c r="P84" s="84" t="n">
        <f aca="false">IF($N84="مرتجع",0,K84*IFERROR(INDEX(p_Cost,MATCH($F84,p_ID,0)),0))</f>
        <v>1050</v>
      </c>
      <c r="Q84" s="84" t="n">
        <f aca="false">O84-P84</f>
        <v>755</v>
      </c>
      <c r="R84" s="86" t="n">
        <f aca="false">DATE(YEAR(B84),MONTH(B84),1)</f>
        <v>45931</v>
      </c>
      <c r="S84" s="83" t="str">
        <f aca="false">YEAR(B84)&amp;"-Q"&amp;ROUNDUP(MONTH(B84)/3,0)</f>
        <v>2025-Q4</v>
      </c>
      <c r="T84" s="87" t="n">
        <f aca="false">IF(O84&gt;0,Q84/O84,"")</f>
        <v>0.418282548476454</v>
      </c>
      <c r="U84" s="84" t="n">
        <f aca="false">IF(O84&gt;0,O84,"")</f>
        <v>1805</v>
      </c>
    </row>
    <row r="85" customFormat="false" ht="15" hidden="false" customHeight="false" outlineLevel="0" collapsed="false">
      <c r="A85" s="81" t="s">
        <v>728</v>
      </c>
      <c r="B85" s="82" t="n">
        <v>45953</v>
      </c>
      <c r="C85" s="81" t="s">
        <v>428</v>
      </c>
      <c r="D85" s="83" t="str">
        <f aca="false">IFERROR(INDEX(c_Name,MATCH($C85,c_ID,0)),"غير معرّف")</f>
        <v>عبدالله القحطاني</v>
      </c>
      <c r="E85" s="83" t="str">
        <f aca="false">IFERROR(INDEX(c_Region,MATCH($C85,c_ID,0)),"غير معرّف")</f>
        <v>الوسطى</v>
      </c>
      <c r="F85" s="81" t="s">
        <v>178</v>
      </c>
      <c r="G85" s="83" t="str">
        <f aca="false">IFERROR(INDEX(p_Name,MATCH($F85,p_ID,0)),"غير معرّف")</f>
        <v>حقيبة لابتوب</v>
      </c>
      <c r="H85" s="83" t="str">
        <f aca="false">IFERROR(INDEX(p_Cat,MATCH($F85,p_ID,0)),"غير معرّف")</f>
        <v>مستلزمات مكتبية</v>
      </c>
      <c r="I85" s="81" t="s">
        <v>443</v>
      </c>
      <c r="J85" s="81" t="s">
        <v>91</v>
      </c>
      <c r="K85" s="81" t="n">
        <v>2</v>
      </c>
      <c r="L85" s="84" t="n">
        <f aca="false">IFERROR(INDEX(p_Price,MATCH($F85,p_ID,0)),0)</f>
        <v>260</v>
      </c>
      <c r="M85" s="85" t="n">
        <v>0</v>
      </c>
      <c r="N85" s="81" t="s">
        <v>644</v>
      </c>
      <c r="O85" s="84" t="n">
        <f aca="false">IF($N85="مرتجع",0,K85*L85*(1-M85))</f>
        <v>520</v>
      </c>
      <c r="P85" s="84" t="n">
        <f aca="false">IF($N85="مرتجع",0,K85*IFERROR(INDEX(p_Cost,MATCH($F85,p_ID,0)),0))</f>
        <v>240</v>
      </c>
      <c r="Q85" s="84" t="n">
        <f aca="false">O85-P85</f>
        <v>280</v>
      </c>
      <c r="R85" s="86" t="n">
        <f aca="false">DATE(YEAR(B85),MONTH(B85),1)</f>
        <v>45931</v>
      </c>
      <c r="S85" s="83" t="str">
        <f aca="false">YEAR(B85)&amp;"-Q"&amp;ROUNDUP(MONTH(B85)/3,0)</f>
        <v>2025-Q4</v>
      </c>
      <c r="T85" s="87" t="n">
        <f aca="false">IF(O85&gt;0,Q85/O85,"")</f>
        <v>0.538461538461538</v>
      </c>
      <c r="U85" s="84" t="n">
        <f aca="false">IF(O85&gt;0,O85,"")</f>
        <v>520</v>
      </c>
    </row>
    <row r="86" customFormat="false" ht="15" hidden="false" customHeight="false" outlineLevel="0" collapsed="false">
      <c r="A86" s="81" t="s">
        <v>729</v>
      </c>
      <c r="B86" s="82" t="n">
        <v>45954</v>
      </c>
      <c r="C86" s="81" t="s">
        <v>394</v>
      </c>
      <c r="D86" s="83" t="str">
        <f aca="false">IFERROR(INDEX(c_Name,MATCH($C86,c_ID,0)),"غير معرّف")</f>
        <v>طارق الغامدي</v>
      </c>
      <c r="E86" s="83" t="str">
        <f aca="false">IFERROR(INDEX(c_Region,MATCH($C86,c_ID,0)),"غير معرّف")</f>
        <v>الشرقية</v>
      </c>
      <c r="F86" s="81" t="s">
        <v>177</v>
      </c>
      <c r="G86" s="83" t="str">
        <f aca="false">IFERROR(INDEX(p_Name,MATCH($F86,p_ID,0)),"غير معرّف")</f>
        <v>ورق A4 (صندوق)</v>
      </c>
      <c r="H86" s="83" t="str">
        <f aca="false">IFERROR(INDEX(p_Cat,MATCH($F86,p_ID,0)),"غير معرّف")</f>
        <v>مستلزمات مكتبية</v>
      </c>
      <c r="I86" s="81" t="s">
        <v>461</v>
      </c>
      <c r="J86" s="81" t="s">
        <v>91</v>
      </c>
      <c r="K86" s="81" t="n">
        <v>1</v>
      </c>
      <c r="L86" s="84" t="n">
        <f aca="false">IFERROR(INDEX(p_Price,MATCH($F86,p_ID,0)),0)</f>
        <v>140</v>
      </c>
      <c r="M86" s="85" t="n">
        <v>0</v>
      </c>
      <c r="N86" s="81" t="s">
        <v>644</v>
      </c>
      <c r="O86" s="84" t="n">
        <f aca="false">IF($N86="مرتجع",0,K86*L86*(1-M86))</f>
        <v>140</v>
      </c>
      <c r="P86" s="84" t="n">
        <f aca="false">IF($N86="مرتجع",0,K86*IFERROR(INDEX(p_Cost,MATCH($F86,p_ID,0)),0))</f>
        <v>95</v>
      </c>
      <c r="Q86" s="84" t="n">
        <f aca="false">O86-P86</f>
        <v>45</v>
      </c>
      <c r="R86" s="86" t="n">
        <f aca="false">DATE(YEAR(B86),MONTH(B86),1)</f>
        <v>45931</v>
      </c>
      <c r="S86" s="83" t="str">
        <f aca="false">YEAR(B86)&amp;"-Q"&amp;ROUNDUP(MONTH(B86)/3,0)</f>
        <v>2025-Q4</v>
      </c>
      <c r="T86" s="87" t="n">
        <f aca="false">IF(O86&gt;0,Q86/O86,"")</f>
        <v>0.321428571428571</v>
      </c>
      <c r="U86" s="84" t="n">
        <f aca="false">IF(O86&gt;0,O86,"")</f>
        <v>140</v>
      </c>
    </row>
    <row r="87" customFormat="false" ht="15" hidden="false" customHeight="false" outlineLevel="0" collapsed="false">
      <c r="A87" s="81" t="s">
        <v>730</v>
      </c>
      <c r="B87" s="82" t="n">
        <v>45954</v>
      </c>
      <c r="C87" s="81" t="s">
        <v>347</v>
      </c>
      <c r="D87" s="83" t="str">
        <f aca="false">IFERROR(INDEX(c_Name,MATCH($C87,c_ID,0)),"غير معرّف")</f>
        <v>محمد الشمري</v>
      </c>
      <c r="E87" s="83" t="str">
        <f aca="false">IFERROR(INDEX(c_Region,MATCH($C87,c_ID,0)),"غير معرّف")</f>
        <v>الغربية</v>
      </c>
      <c r="F87" s="81" t="s">
        <v>183</v>
      </c>
      <c r="G87" s="83" t="str">
        <f aca="false">IFERROR(INDEX(p_Name,MATCH($F87,p_ID,0)),"غير معرّف")</f>
        <v>سجادة يوغا</v>
      </c>
      <c r="H87" s="83" t="str">
        <f aca="false">IFERROR(INDEX(p_Cat,MATCH($F87,p_ID,0)),"غير معرّف")</f>
        <v>رياضة</v>
      </c>
      <c r="I87" s="81" t="s">
        <v>452</v>
      </c>
      <c r="J87" s="81" t="s">
        <v>91</v>
      </c>
      <c r="K87" s="81" t="n">
        <v>2</v>
      </c>
      <c r="L87" s="84" t="n">
        <f aca="false">IFERROR(INDEX(p_Price,MATCH($F87,p_ID,0)),0)</f>
        <v>120</v>
      </c>
      <c r="M87" s="85" t="n">
        <v>0.1</v>
      </c>
      <c r="N87" s="81" t="s">
        <v>644</v>
      </c>
      <c r="O87" s="84" t="n">
        <f aca="false">IF($N87="مرتجع",0,K87*L87*(1-M87))</f>
        <v>216</v>
      </c>
      <c r="P87" s="84" t="n">
        <f aca="false">IF($N87="مرتجع",0,K87*IFERROR(INDEX(p_Cost,MATCH($F87,p_ID,0)),0))</f>
        <v>100</v>
      </c>
      <c r="Q87" s="84" t="n">
        <f aca="false">O87-P87</f>
        <v>116</v>
      </c>
      <c r="R87" s="86" t="n">
        <f aca="false">DATE(YEAR(B87),MONTH(B87),1)</f>
        <v>45931</v>
      </c>
      <c r="S87" s="83" t="str">
        <f aca="false">YEAR(B87)&amp;"-Q"&amp;ROUNDUP(MONTH(B87)/3,0)</f>
        <v>2025-Q4</v>
      </c>
      <c r="T87" s="87" t="n">
        <f aca="false">IF(O87&gt;0,Q87/O87,"")</f>
        <v>0.537037037037037</v>
      </c>
      <c r="U87" s="84" t="n">
        <f aca="false">IF(O87&gt;0,O87,"")</f>
        <v>216</v>
      </c>
    </row>
    <row r="88" customFormat="false" ht="15" hidden="false" customHeight="false" outlineLevel="0" collapsed="false">
      <c r="A88" s="81" t="s">
        <v>731</v>
      </c>
      <c r="B88" s="82" t="n">
        <v>45954</v>
      </c>
      <c r="C88" s="81" t="s">
        <v>361</v>
      </c>
      <c r="D88" s="83" t="str">
        <f aca="false">IFERROR(INDEX(c_Name,MATCH($C88,c_ID,0)),"غير معرّف")</f>
        <v>دانة المطيري</v>
      </c>
      <c r="E88" s="83" t="str">
        <f aca="false">IFERROR(INDEX(c_Region,MATCH($C88,c_ID,0)),"غير معرّف")</f>
        <v>الشرقية</v>
      </c>
      <c r="F88" s="81" t="s">
        <v>171</v>
      </c>
      <c r="G88" s="83" t="str">
        <f aca="false">IFERROR(INDEX(p_Name,MATCH($F88,p_ID,0)),"غير معرّف")</f>
        <v>قلاية هوائية</v>
      </c>
      <c r="H88" s="83" t="str">
        <f aca="false">IFERROR(INDEX(p_Cat,MATCH($F88,p_ID,0)),"غير معرّف")</f>
        <v>أجهزة منزلية</v>
      </c>
      <c r="I88" s="81" t="s">
        <v>461</v>
      </c>
      <c r="J88" s="81" t="s">
        <v>93</v>
      </c>
      <c r="K88" s="81" t="n">
        <v>3</v>
      </c>
      <c r="L88" s="84" t="n">
        <f aca="false">IFERROR(INDEX(p_Price,MATCH($F88,p_ID,0)),0)</f>
        <v>520</v>
      </c>
      <c r="M88" s="85" t="n">
        <v>0.1</v>
      </c>
      <c r="N88" s="81" t="s">
        <v>644</v>
      </c>
      <c r="O88" s="84" t="n">
        <f aca="false">IF($N88="مرتجع",0,K88*L88*(1-M88))</f>
        <v>1404</v>
      </c>
      <c r="P88" s="84" t="n">
        <f aca="false">IF($N88="مرتجع",0,K88*IFERROR(INDEX(p_Cost,MATCH($F88,p_ID,0)),0))</f>
        <v>900</v>
      </c>
      <c r="Q88" s="84" t="n">
        <f aca="false">O88-P88</f>
        <v>504</v>
      </c>
      <c r="R88" s="86" t="n">
        <f aca="false">DATE(YEAR(B88),MONTH(B88),1)</f>
        <v>45931</v>
      </c>
      <c r="S88" s="83" t="str">
        <f aca="false">YEAR(B88)&amp;"-Q"&amp;ROUNDUP(MONTH(B88)/3,0)</f>
        <v>2025-Q4</v>
      </c>
      <c r="T88" s="87" t="n">
        <f aca="false">IF(O88&gt;0,Q88/O88,"")</f>
        <v>0.358974358974359</v>
      </c>
      <c r="U88" s="84" t="n">
        <f aca="false">IF(O88&gt;0,O88,"")</f>
        <v>1404</v>
      </c>
    </row>
    <row r="89" customFormat="false" ht="15" hidden="false" customHeight="false" outlineLevel="0" collapsed="false">
      <c r="A89" s="81" t="s">
        <v>732</v>
      </c>
      <c r="B89" s="82" t="n">
        <v>45954</v>
      </c>
      <c r="C89" s="81" t="s">
        <v>361</v>
      </c>
      <c r="D89" s="83" t="str">
        <f aca="false">IFERROR(INDEX(c_Name,MATCH($C89,c_ID,0)),"غير معرّف")</f>
        <v>دانة المطيري</v>
      </c>
      <c r="E89" s="83" t="str">
        <f aca="false">IFERROR(INDEX(c_Region,MATCH($C89,c_ID,0)),"غير معرّف")</f>
        <v>الشرقية</v>
      </c>
      <c r="F89" s="81" t="s">
        <v>187</v>
      </c>
      <c r="G89" s="83" t="str">
        <f aca="false">IFERROR(INDEX(p_Name,MATCH($F89,p_ID,0)),"غير معرّف")</f>
        <v>جهاز تدليك</v>
      </c>
      <c r="H89" s="83" t="str">
        <f aca="false">IFERROR(INDEX(p_Cat,MATCH($F89,p_ID,0)),"غير معرّف")</f>
        <v>عناية شخصية</v>
      </c>
      <c r="I89" s="81" t="s">
        <v>463</v>
      </c>
      <c r="J89" s="81" t="s">
        <v>93</v>
      </c>
      <c r="K89" s="81" t="n">
        <v>1</v>
      </c>
      <c r="L89" s="84" t="n">
        <f aca="false">IFERROR(INDEX(p_Price,MATCH($F89,p_ID,0)),0)</f>
        <v>600</v>
      </c>
      <c r="M89" s="85" t="n">
        <v>0.2</v>
      </c>
      <c r="N89" s="81" t="s">
        <v>644</v>
      </c>
      <c r="O89" s="84" t="n">
        <f aca="false">IF($N89="مرتجع",0,K89*L89*(1-M89))</f>
        <v>480</v>
      </c>
      <c r="P89" s="84" t="n">
        <f aca="false">IF($N89="مرتجع",0,K89*IFERROR(INDEX(p_Cost,MATCH($F89,p_ID,0)),0))</f>
        <v>330</v>
      </c>
      <c r="Q89" s="84" t="n">
        <f aca="false">O89-P89</f>
        <v>150</v>
      </c>
      <c r="R89" s="86" t="n">
        <f aca="false">DATE(YEAR(B89),MONTH(B89),1)</f>
        <v>45931</v>
      </c>
      <c r="S89" s="83" t="str">
        <f aca="false">YEAR(B89)&amp;"-Q"&amp;ROUNDUP(MONTH(B89)/3,0)</f>
        <v>2025-Q4</v>
      </c>
      <c r="T89" s="87" t="n">
        <f aca="false">IF(O89&gt;0,Q89/O89,"")</f>
        <v>0.3125</v>
      </c>
      <c r="U89" s="84" t="n">
        <f aca="false">IF(O89&gt;0,O89,"")</f>
        <v>480</v>
      </c>
    </row>
    <row r="90" customFormat="false" ht="15" hidden="false" customHeight="false" outlineLevel="0" collapsed="false">
      <c r="A90" s="81" t="s">
        <v>733</v>
      </c>
      <c r="B90" s="82" t="n">
        <v>45954</v>
      </c>
      <c r="C90" s="81" t="s">
        <v>334</v>
      </c>
      <c r="D90" s="83" t="str">
        <f aca="false">IFERROR(INDEX(c_Name,MATCH($C90,c_ID,0)),"غير معرّف")</f>
        <v>ناصر الغامدي</v>
      </c>
      <c r="E90" s="83" t="str">
        <f aca="false">IFERROR(INDEX(c_Region,MATCH($C90,c_ID,0)),"غير معرّف")</f>
        <v>الغربية</v>
      </c>
      <c r="F90" s="81" t="s">
        <v>184</v>
      </c>
      <c r="G90" s="83" t="str">
        <f aca="false">IFERROR(INDEX(p_Name,MATCH($F90,p_ID,0)),"غير معرّف")</f>
        <v>عطر فاخر</v>
      </c>
      <c r="H90" s="83" t="str">
        <f aca="false">IFERROR(INDEX(p_Cat,MATCH($F90,p_ID,0)),"غير معرّف")</f>
        <v>عناية شخصية</v>
      </c>
      <c r="I90" s="81" t="s">
        <v>455</v>
      </c>
      <c r="J90" s="81" t="s">
        <v>91</v>
      </c>
      <c r="K90" s="81" t="n">
        <v>1</v>
      </c>
      <c r="L90" s="84" t="n">
        <f aca="false">IFERROR(INDEX(p_Price,MATCH($F90,p_ID,0)),0)</f>
        <v>520</v>
      </c>
      <c r="M90" s="85" t="n">
        <v>0</v>
      </c>
      <c r="N90" s="81" t="s">
        <v>644</v>
      </c>
      <c r="O90" s="84" t="n">
        <f aca="false">IF($N90="مرتجع",0,K90*L90*(1-M90))</f>
        <v>520</v>
      </c>
      <c r="P90" s="84" t="n">
        <f aca="false">IF($N90="مرتجع",0,K90*IFERROR(INDEX(p_Cost,MATCH($F90,p_ID,0)),0))</f>
        <v>210</v>
      </c>
      <c r="Q90" s="84" t="n">
        <f aca="false">O90-P90</f>
        <v>310</v>
      </c>
      <c r="R90" s="86" t="n">
        <f aca="false">DATE(YEAR(B90),MONTH(B90),1)</f>
        <v>45931</v>
      </c>
      <c r="S90" s="83" t="str">
        <f aca="false">YEAR(B90)&amp;"-Q"&amp;ROUNDUP(MONTH(B90)/3,0)</f>
        <v>2025-Q4</v>
      </c>
      <c r="T90" s="87" t="n">
        <f aca="false">IF(O90&gt;0,Q90/O90,"")</f>
        <v>0.596153846153846</v>
      </c>
      <c r="U90" s="84" t="n">
        <f aca="false">IF(O90&gt;0,O90,"")</f>
        <v>520</v>
      </c>
    </row>
    <row r="91" customFormat="false" ht="15" hidden="false" customHeight="false" outlineLevel="0" collapsed="false">
      <c r="A91" s="81" t="s">
        <v>734</v>
      </c>
      <c r="B91" s="82" t="n">
        <v>45954</v>
      </c>
      <c r="C91" s="81" t="s">
        <v>361</v>
      </c>
      <c r="D91" s="83" t="str">
        <f aca="false">IFERROR(INDEX(c_Name,MATCH($C91,c_ID,0)),"غير معرّف")</f>
        <v>دانة المطيري</v>
      </c>
      <c r="E91" s="83" t="str">
        <f aca="false">IFERROR(INDEX(c_Region,MATCH($C91,c_ID,0)),"غير معرّف")</f>
        <v>الشرقية</v>
      </c>
      <c r="F91" s="81" t="s">
        <v>169</v>
      </c>
      <c r="G91" s="83" t="str">
        <f aca="false">IFERROR(INDEX(p_Name,MATCH($F91,p_ID,0)),"غير معرّف")</f>
        <v>خلاط</v>
      </c>
      <c r="H91" s="83" t="str">
        <f aca="false">IFERROR(INDEX(p_Cat,MATCH($F91,p_ID,0)),"غير معرّف")</f>
        <v>أجهزة منزلية</v>
      </c>
      <c r="I91" s="81" t="s">
        <v>463</v>
      </c>
      <c r="J91" s="81" t="s">
        <v>91</v>
      </c>
      <c r="K91" s="81" t="n">
        <v>2</v>
      </c>
      <c r="L91" s="84" t="n">
        <f aca="false">IFERROR(INDEX(p_Price,MATCH($F91,p_ID,0)),0)</f>
        <v>300</v>
      </c>
      <c r="M91" s="85" t="n">
        <v>0</v>
      </c>
      <c r="N91" s="81" t="s">
        <v>644</v>
      </c>
      <c r="O91" s="84" t="n">
        <f aca="false">IF($N91="مرتجع",0,K91*L91*(1-M91))</f>
        <v>600</v>
      </c>
      <c r="P91" s="84" t="n">
        <f aca="false">IF($N91="مرتجع",0,K91*IFERROR(INDEX(p_Cost,MATCH($F91,p_ID,0)),0))</f>
        <v>350</v>
      </c>
      <c r="Q91" s="84" t="n">
        <f aca="false">O91-P91</f>
        <v>250</v>
      </c>
      <c r="R91" s="86" t="n">
        <f aca="false">DATE(YEAR(B91),MONTH(B91),1)</f>
        <v>45931</v>
      </c>
      <c r="S91" s="83" t="str">
        <f aca="false">YEAR(B91)&amp;"-Q"&amp;ROUNDUP(MONTH(B91)/3,0)</f>
        <v>2025-Q4</v>
      </c>
      <c r="T91" s="87" t="n">
        <f aca="false">IF(O91&gt;0,Q91/O91,"")</f>
        <v>0.416666666666667</v>
      </c>
      <c r="U91" s="84" t="n">
        <f aca="false">IF(O91&gt;0,O91,"")</f>
        <v>600</v>
      </c>
    </row>
    <row r="92" customFormat="false" ht="15" hidden="false" customHeight="false" outlineLevel="0" collapsed="false">
      <c r="A92" s="81" t="s">
        <v>735</v>
      </c>
      <c r="B92" s="82" t="n">
        <v>45954</v>
      </c>
      <c r="C92" s="81" t="s">
        <v>275</v>
      </c>
      <c r="D92" s="83" t="str">
        <f aca="false">IFERROR(INDEX(c_Name,MATCH($C92,c_ID,0)),"غير معرّف")</f>
        <v>طارق البلوي</v>
      </c>
      <c r="E92" s="83" t="str">
        <f aca="false">IFERROR(INDEX(c_Region,MATCH($C92,c_ID,0)),"غير معرّف")</f>
        <v>الشرقية</v>
      </c>
      <c r="F92" s="81" t="s">
        <v>169</v>
      </c>
      <c r="G92" s="83" t="str">
        <f aca="false">IFERROR(INDEX(p_Name,MATCH($F92,p_ID,0)),"غير معرّف")</f>
        <v>خلاط</v>
      </c>
      <c r="H92" s="83" t="str">
        <f aca="false">IFERROR(INDEX(p_Cat,MATCH($F92,p_ID,0)),"غير معرّف")</f>
        <v>أجهزة منزلية</v>
      </c>
      <c r="I92" s="81" t="s">
        <v>461</v>
      </c>
      <c r="J92" s="81" t="s">
        <v>93</v>
      </c>
      <c r="K92" s="81" t="n">
        <v>2</v>
      </c>
      <c r="L92" s="84" t="n">
        <f aca="false">IFERROR(INDEX(p_Price,MATCH($F92,p_ID,0)),0)</f>
        <v>300</v>
      </c>
      <c r="M92" s="85" t="n">
        <v>0</v>
      </c>
      <c r="N92" s="81" t="s">
        <v>644</v>
      </c>
      <c r="O92" s="84" t="n">
        <f aca="false">IF($N92="مرتجع",0,K92*L92*(1-M92))</f>
        <v>600</v>
      </c>
      <c r="P92" s="84" t="n">
        <f aca="false">IF($N92="مرتجع",0,K92*IFERROR(INDEX(p_Cost,MATCH($F92,p_ID,0)),0))</f>
        <v>350</v>
      </c>
      <c r="Q92" s="84" t="n">
        <f aca="false">O92-P92</f>
        <v>250</v>
      </c>
      <c r="R92" s="86" t="n">
        <f aca="false">DATE(YEAR(B92),MONTH(B92),1)</f>
        <v>45931</v>
      </c>
      <c r="S92" s="83" t="str">
        <f aca="false">YEAR(B92)&amp;"-Q"&amp;ROUNDUP(MONTH(B92)/3,0)</f>
        <v>2025-Q4</v>
      </c>
      <c r="T92" s="87" t="n">
        <f aca="false">IF(O92&gt;0,Q92/O92,"")</f>
        <v>0.416666666666667</v>
      </c>
      <c r="U92" s="84" t="n">
        <f aca="false">IF(O92&gt;0,O92,"")</f>
        <v>600</v>
      </c>
    </row>
    <row r="93" customFormat="false" ht="15" hidden="false" customHeight="false" outlineLevel="0" collapsed="false">
      <c r="A93" s="81" t="s">
        <v>736</v>
      </c>
      <c r="B93" s="82" t="n">
        <v>45955</v>
      </c>
      <c r="C93" s="81" t="s">
        <v>414</v>
      </c>
      <c r="D93" s="83" t="str">
        <f aca="false">IFERROR(INDEX(c_Name,MATCH($C93,c_ID,0)),"غير معرّف")</f>
        <v>هند المطيري</v>
      </c>
      <c r="E93" s="83" t="str">
        <f aca="false">IFERROR(INDEX(c_Region,MATCH($C93,c_ID,0)),"غير معرّف")</f>
        <v>الشرقية</v>
      </c>
      <c r="F93" s="81" t="s">
        <v>184</v>
      </c>
      <c r="G93" s="83" t="str">
        <f aca="false">IFERROR(INDEX(p_Name,MATCH($F93,p_ID,0)),"غير معرّف")</f>
        <v>عطر فاخر</v>
      </c>
      <c r="H93" s="83" t="str">
        <f aca="false">IFERROR(INDEX(p_Cat,MATCH($F93,p_ID,0)),"غير معرّف")</f>
        <v>عناية شخصية</v>
      </c>
      <c r="I93" s="81" t="s">
        <v>463</v>
      </c>
      <c r="J93" s="81" t="s">
        <v>93</v>
      </c>
      <c r="K93" s="81" t="n">
        <v>2</v>
      </c>
      <c r="L93" s="84" t="n">
        <f aca="false">IFERROR(INDEX(p_Price,MATCH($F93,p_ID,0)),0)</f>
        <v>520</v>
      </c>
      <c r="M93" s="85" t="n">
        <v>0.2</v>
      </c>
      <c r="N93" s="81" t="s">
        <v>644</v>
      </c>
      <c r="O93" s="84" t="n">
        <f aca="false">IF($N93="مرتجع",0,K93*L93*(1-M93))</f>
        <v>832</v>
      </c>
      <c r="P93" s="84" t="n">
        <f aca="false">IF($N93="مرتجع",0,K93*IFERROR(INDEX(p_Cost,MATCH($F93,p_ID,0)),0))</f>
        <v>420</v>
      </c>
      <c r="Q93" s="84" t="n">
        <f aca="false">O93-P93</f>
        <v>412</v>
      </c>
      <c r="R93" s="86" t="n">
        <f aca="false">DATE(YEAR(B93),MONTH(B93),1)</f>
        <v>45931</v>
      </c>
      <c r="S93" s="83" t="str">
        <f aca="false">YEAR(B93)&amp;"-Q"&amp;ROUNDUP(MONTH(B93)/3,0)</f>
        <v>2025-Q4</v>
      </c>
      <c r="T93" s="87" t="n">
        <f aca="false">IF(O93&gt;0,Q93/O93,"")</f>
        <v>0.495192307692308</v>
      </c>
      <c r="U93" s="84" t="n">
        <f aca="false">IF(O93&gt;0,O93,"")</f>
        <v>832</v>
      </c>
    </row>
    <row r="94" customFormat="false" ht="15" hidden="false" customHeight="false" outlineLevel="0" collapsed="false">
      <c r="A94" s="81" t="s">
        <v>737</v>
      </c>
      <c r="B94" s="82" t="n">
        <v>45955</v>
      </c>
      <c r="C94" s="81" t="s">
        <v>244</v>
      </c>
      <c r="D94" s="83" t="str">
        <f aca="false">IFERROR(INDEX(c_Name,MATCH($C94,c_ID,0)),"غير معرّف")</f>
        <v>طارق الشهري</v>
      </c>
      <c r="E94" s="83" t="str">
        <f aca="false">IFERROR(INDEX(c_Region,MATCH($C94,c_ID,0)),"غير معرّف")</f>
        <v>الوسطى</v>
      </c>
      <c r="F94" s="81" t="s">
        <v>184</v>
      </c>
      <c r="G94" s="83" t="str">
        <f aca="false">IFERROR(INDEX(p_Name,MATCH($F94,p_ID,0)),"غير معرّف")</f>
        <v>عطر فاخر</v>
      </c>
      <c r="H94" s="83" t="str">
        <f aca="false">IFERROR(INDEX(p_Cat,MATCH($F94,p_ID,0)),"غير معرّف")</f>
        <v>عناية شخصية</v>
      </c>
      <c r="I94" s="81" t="s">
        <v>446</v>
      </c>
      <c r="J94" s="81" t="s">
        <v>93</v>
      </c>
      <c r="K94" s="81" t="n">
        <v>1</v>
      </c>
      <c r="L94" s="84" t="n">
        <f aca="false">IFERROR(INDEX(p_Price,MATCH($F94,p_ID,0)),0)</f>
        <v>520</v>
      </c>
      <c r="M94" s="85" t="n">
        <v>0</v>
      </c>
      <c r="N94" s="81" t="s">
        <v>644</v>
      </c>
      <c r="O94" s="84" t="n">
        <f aca="false">IF($N94="مرتجع",0,K94*L94*(1-M94))</f>
        <v>520</v>
      </c>
      <c r="P94" s="84" t="n">
        <f aca="false">IF($N94="مرتجع",0,K94*IFERROR(INDEX(p_Cost,MATCH($F94,p_ID,0)),0))</f>
        <v>210</v>
      </c>
      <c r="Q94" s="84" t="n">
        <f aca="false">O94-P94</f>
        <v>310</v>
      </c>
      <c r="R94" s="86" t="n">
        <f aca="false">DATE(YEAR(B94),MONTH(B94),1)</f>
        <v>45931</v>
      </c>
      <c r="S94" s="83" t="str">
        <f aca="false">YEAR(B94)&amp;"-Q"&amp;ROUNDUP(MONTH(B94)/3,0)</f>
        <v>2025-Q4</v>
      </c>
      <c r="T94" s="87" t="n">
        <f aca="false">IF(O94&gt;0,Q94/O94,"")</f>
        <v>0.596153846153846</v>
      </c>
      <c r="U94" s="84" t="n">
        <f aca="false">IF(O94&gt;0,O94,"")</f>
        <v>520</v>
      </c>
    </row>
    <row r="95" customFormat="false" ht="15" hidden="false" customHeight="false" outlineLevel="0" collapsed="false">
      <c r="A95" s="81" t="s">
        <v>738</v>
      </c>
      <c r="B95" s="82" t="n">
        <v>45955</v>
      </c>
      <c r="C95" s="81" t="s">
        <v>246</v>
      </c>
      <c r="D95" s="83" t="str">
        <f aca="false">IFERROR(INDEX(c_Name,MATCH($C95,c_ID,0)),"غير معرّف")</f>
        <v>ياسر العتيبي</v>
      </c>
      <c r="E95" s="83" t="str">
        <f aca="false">IFERROR(INDEX(c_Region,MATCH($C95,c_ID,0)),"غير معرّف")</f>
        <v>الجنوبية</v>
      </c>
      <c r="F95" s="81" t="s">
        <v>167</v>
      </c>
      <c r="G95" s="83" t="str">
        <f aca="false">IFERROR(INDEX(p_Name,MATCH($F95,p_ID,0)),"غير معرّف")</f>
        <v>شاشة 27 بوصة</v>
      </c>
      <c r="H95" s="83" t="str">
        <f aca="false">IFERROR(INDEX(p_Cat,MATCH($F95,p_ID,0)),"غير معرّف")</f>
        <v>إلكترونيات</v>
      </c>
      <c r="I95" s="81" t="s">
        <v>465</v>
      </c>
      <c r="J95" s="81" t="s">
        <v>93</v>
      </c>
      <c r="K95" s="81" t="n">
        <v>2</v>
      </c>
      <c r="L95" s="84" t="n">
        <f aca="false">IFERROR(INDEX(p_Price,MATCH($F95,p_ID,0)),0)</f>
        <v>1100</v>
      </c>
      <c r="M95" s="85" t="n">
        <v>0</v>
      </c>
      <c r="N95" s="81" t="s">
        <v>644</v>
      </c>
      <c r="O95" s="84" t="n">
        <f aca="false">IF($N95="مرتجع",0,K95*L95*(1-M95))</f>
        <v>2200</v>
      </c>
      <c r="P95" s="84" t="n">
        <f aca="false">IF($N95="مرتجع",0,K95*IFERROR(INDEX(p_Cost,MATCH($F95,p_ID,0)),0))</f>
        <v>1560</v>
      </c>
      <c r="Q95" s="84" t="n">
        <f aca="false">O95-P95</f>
        <v>640</v>
      </c>
      <c r="R95" s="86" t="n">
        <f aca="false">DATE(YEAR(B95),MONTH(B95),1)</f>
        <v>45931</v>
      </c>
      <c r="S95" s="83" t="str">
        <f aca="false">YEAR(B95)&amp;"-Q"&amp;ROUNDUP(MONTH(B95)/3,0)</f>
        <v>2025-Q4</v>
      </c>
      <c r="T95" s="87" t="n">
        <f aca="false">IF(O95&gt;0,Q95/O95,"")</f>
        <v>0.290909090909091</v>
      </c>
      <c r="U95" s="84" t="n">
        <f aca="false">IF(O95&gt;0,O95,"")</f>
        <v>2200</v>
      </c>
    </row>
    <row r="96" customFormat="false" ht="15" hidden="false" customHeight="false" outlineLevel="0" collapsed="false">
      <c r="A96" s="81" t="s">
        <v>739</v>
      </c>
      <c r="B96" s="82" t="n">
        <v>45955</v>
      </c>
      <c r="C96" s="81" t="s">
        <v>264</v>
      </c>
      <c r="D96" s="83" t="str">
        <f aca="false">IFERROR(INDEX(c_Name,MATCH($C96,c_ID,0)),"غير معرّف")</f>
        <v>عبدالله التميمي</v>
      </c>
      <c r="E96" s="83" t="str">
        <f aca="false">IFERROR(INDEX(c_Region,MATCH($C96,c_ID,0)),"غير معرّف")</f>
        <v>الوسطى</v>
      </c>
      <c r="F96" s="81" t="s">
        <v>168</v>
      </c>
      <c r="G96" s="83" t="str">
        <f aca="false">IFERROR(INDEX(p_Name,MATCH($F96,p_ID,0)),"غير معرّف")</f>
        <v>مكنسة كهربائية</v>
      </c>
      <c r="H96" s="83" t="str">
        <f aca="false">IFERROR(INDEX(p_Cat,MATCH($F96,p_ID,0)),"غير معرّف")</f>
        <v>أجهزة منزلية</v>
      </c>
      <c r="I96" s="81" t="s">
        <v>449</v>
      </c>
      <c r="J96" s="81" t="s">
        <v>91</v>
      </c>
      <c r="K96" s="81" t="n">
        <v>2</v>
      </c>
      <c r="L96" s="84" t="n">
        <f aca="false">IFERROR(INDEX(p_Price,MATCH($F96,p_ID,0)),0)</f>
        <v>650</v>
      </c>
      <c r="M96" s="85" t="n">
        <v>0.05</v>
      </c>
      <c r="N96" s="81" t="s">
        <v>644</v>
      </c>
      <c r="O96" s="84" t="n">
        <f aca="false">IF($N96="مرتجع",0,K96*L96*(1-M96))</f>
        <v>1235</v>
      </c>
      <c r="P96" s="84" t="n">
        <f aca="false">IF($N96="مرتجع",0,K96*IFERROR(INDEX(p_Cost,MATCH($F96,p_ID,0)),0))</f>
        <v>840</v>
      </c>
      <c r="Q96" s="84" t="n">
        <f aca="false">O96-P96</f>
        <v>395</v>
      </c>
      <c r="R96" s="86" t="n">
        <f aca="false">DATE(YEAR(B96),MONTH(B96),1)</f>
        <v>45931</v>
      </c>
      <c r="S96" s="83" t="str">
        <f aca="false">YEAR(B96)&amp;"-Q"&amp;ROUNDUP(MONTH(B96)/3,0)</f>
        <v>2025-Q4</v>
      </c>
      <c r="T96" s="87" t="n">
        <f aca="false">IF(O96&gt;0,Q96/O96,"")</f>
        <v>0.319838056680162</v>
      </c>
      <c r="U96" s="84" t="n">
        <f aca="false">IF(O96&gt;0,O96,"")</f>
        <v>1235</v>
      </c>
    </row>
    <row r="97" customFormat="false" ht="15" hidden="false" customHeight="false" outlineLevel="0" collapsed="false">
      <c r="A97" s="81" t="s">
        <v>740</v>
      </c>
      <c r="B97" s="82" t="n">
        <v>45955</v>
      </c>
      <c r="C97" s="81" t="s">
        <v>235</v>
      </c>
      <c r="D97" s="83" t="str">
        <f aca="false">IFERROR(INDEX(c_Name,MATCH($C97,c_ID,0)),"غير معرّف")</f>
        <v>ليلى الزهراني</v>
      </c>
      <c r="E97" s="83" t="str">
        <f aca="false">IFERROR(INDEX(c_Region,MATCH($C97,c_ID,0)),"غير معرّف")</f>
        <v>الشرقية</v>
      </c>
      <c r="F97" s="81" t="s">
        <v>184</v>
      </c>
      <c r="G97" s="83" t="str">
        <f aca="false">IFERROR(INDEX(p_Name,MATCH($F97,p_ID,0)),"غير معرّف")</f>
        <v>عطر فاخر</v>
      </c>
      <c r="H97" s="83" t="str">
        <f aca="false">IFERROR(INDEX(p_Cat,MATCH($F97,p_ID,0)),"غير معرّف")</f>
        <v>عناية شخصية</v>
      </c>
      <c r="I97" s="81" t="s">
        <v>461</v>
      </c>
      <c r="J97" s="81" t="s">
        <v>91</v>
      </c>
      <c r="K97" s="81" t="n">
        <v>2</v>
      </c>
      <c r="L97" s="84" t="n">
        <f aca="false">IFERROR(INDEX(p_Price,MATCH($F97,p_ID,0)),0)</f>
        <v>520</v>
      </c>
      <c r="M97" s="85" t="n">
        <v>0.1</v>
      </c>
      <c r="N97" s="81" t="s">
        <v>644</v>
      </c>
      <c r="O97" s="84" t="n">
        <f aca="false">IF($N97="مرتجع",0,K97*L97*(1-M97))</f>
        <v>936</v>
      </c>
      <c r="P97" s="84" t="n">
        <f aca="false">IF($N97="مرتجع",0,K97*IFERROR(INDEX(p_Cost,MATCH($F97,p_ID,0)),0))</f>
        <v>420</v>
      </c>
      <c r="Q97" s="84" t="n">
        <f aca="false">O97-P97</f>
        <v>516</v>
      </c>
      <c r="R97" s="86" t="n">
        <f aca="false">DATE(YEAR(B97),MONTH(B97),1)</f>
        <v>45931</v>
      </c>
      <c r="S97" s="83" t="str">
        <f aca="false">YEAR(B97)&amp;"-Q"&amp;ROUNDUP(MONTH(B97)/3,0)</f>
        <v>2025-Q4</v>
      </c>
      <c r="T97" s="87" t="n">
        <f aca="false">IF(O97&gt;0,Q97/O97,"")</f>
        <v>0.551282051282051</v>
      </c>
      <c r="U97" s="84" t="n">
        <f aca="false">IF(O97&gt;0,O97,"")</f>
        <v>936</v>
      </c>
    </row>
    <row r="98" customFormat="false" ht="15" hidden="false" customHeight="false" outlineLevel="0" collapsed="false">
      <c r="A98" s="81" t="s">
        <v>741</v>
      </c>
      <c r="B98" s="82" t="n">
        <v>45955</v>
      </c>
      <c r="C98" s="81" t="s">
        <v>287</v>
      </c>
      <c r="D98" s="83" t="str">
        <f aca="false">IFERROR(INDEX(c_Name,MATCH($C98,c_ID,0)),"غير معرّف")</f>
        <v>محمد الشهري</v>
      </c>
      <c r="E98" s="83" t="str">
        <f aca="false">IFERROR(INDEX(c_Region,MATCH($C98,c_ID,0)),"غير معرّف")</f>
        <v>الغربية</v>
      </c>
      <c r="F98" s="81" t="s">
        <v>177</v>
      </c>
      <c r="G98" s="83" t="str">
        <f aca="false">IFERROR(INDEX(p_Name,MATCH($F98,p_ID,0)),"غير معرّف")</f>
        <v>ورق A4 (صندوق)</v>
      </c>
      <c r="H98" s="83" t="str">
        <f aca="false">IFERROR(INDEX(p_Cat,MATCH($F98,p_ID,0)),"غير معرّف")</f>
        <v>مستلزمات مكتبية</v>
      </c>
      <c r="I98" s="81" t="s">
        <v>452</v>
      </c>
      <c r="J98" s="81" t="s">
        <v>93</v>
      </c>
      <c r="K98" s="81" t="n">
        <v>6</v>
      </c>
      <c r="L98" s="84" t="n">
        <f aca="false">IFERROR(INDEX(p_Price,MATCH($F98,p_ID,0)),0)</f>
        <v>140</v>
      </c>
      <c r="M98" s="85" t="n">
        <v>0.1</v>
      </c>
      <c r="N98" s="81" t="s">
        <v>644</v>
      </c>
      <c r="O98" s="84" t="n">
        <f aca="false">IF($N98="مرتجع",0,K98*L98*(1-M98))</f>
        <v>756</v>
      </c>
      <c r="P98" s="84" t="n">
        <f aca="false">IF($N98="مرتجع",0,K98*IFERROR(INDEX(p_Cost,MATCH($F98,p_ID,0)),0))</f>
        <v>570</v>
      </c>
      <c r="Q98" s="84" t="n">
        <f aca="false">O98-P98</f>
        <v>186</v>
      </c>
      <c r="R98" s="86" t="n">
        <f aca="false">DATE(YEAR(B98),MONTH(B98),1)</f>
        <v>45931</v>
      </c>
      <c r="S98" s="83" t="str">
        <f aca="false">YEAR(B98)&amp;"-Q"&amp;ROUNDUP(MONTH(B98)/3,0)</f>
        <v>2025-Q4</v>
      </c>
      <c r="T98" s="87" t="n">
        <f aca="false">IF(O98&gt;0,Q98/O98,"")</f>
        <v>0.246031746031746</v>
      </c>
      <c r="U98" s="84" t="n">
        <f aca="false">IF(O98&gt;0,O98,"")</f>
        <v>756</v>
      </c>
    </row>
    <row r="99" customFormat="false" ht="15" hidden="false" customHeight="false" outlineLevel="0" collapsed="false">
      <c r="A99" s="81" t="s">
        <v>742</v>
      </c>
      <c r="B99" s="82" t="n">
        <v>45956</v>
      </c>
      <c r="C99" s="81" t="s">
        <v>382</v>
      </c>
      <c r="D99" s="83" t="str">
        <f aca="false">IFERROR(INDEX(c_Name,MATCH($C99,c_ID,0)),"غير معرّف")</f>
        <v>دانة العتيبي</v>
      </c>
      <c r="E99" s="83" t="str">
        <f aca="false">IFERROR(INDEX(c_Region,MATCH($C99,c_ID,0)),"غير معرّف")</f>
        <v>الشرقية</v>
      </c>
      <c r="F99" s="81" t="s">
        <v>174</v>
      </c>
      <c r="G99" s="83" t="str">
        <f aca="false">IFERROR(INDEX(p_Name,MATCH($F99,p_ID,0)),"غير معرّف")</f>
        <v>خزانة ملفات</v>
      </c>
      <c r="H99" s="83" t="str">
        <f aca="false">IFERROR(INDEX(p_Cat,MATCH($F99,p_ID,0)),"غير معرّف")</f>
        <v>أثاث</v>
      </c>
      <c r="I99" s="81" t="s">
        <v>461</v>
      </c>
      <c r="J99" s="81" t="s">
        <v>95</v>
      </c>
      <c r="K99" s="81" t="n">
        <v>8</v>
      </c>
      <c r="L99" s="84" t="n">
        <f aca="false">IFERROR(INDEX(p_Price,MATCH($F99,p_ID,0)),0)</f>
        <v>700</v>
      </c>
      <c r="M99" s="85" t="n">
        <v>0.2</v>
      </c>
      <c r="N99" s="81" t="s">
        <v>644</v>
      </c>
      <c r="O99" s="84" t="n">
        <f aca="false">IF($N99="مرتجع",0,K99*L99*(1-M99))</f>
        <v>4480</v>
      </c>
      <c r="P99" s="84" t="n">
        <f aca="false">IF($N99="مرتجع",0,K99*IFERROR(INDEX(p_Cost,MATCH($F99,p_ID,0)),0))</f>
        <v>3280</v>
      </c>
      <c r="Q99" s="84" t="n">
        <f aca="false">O99-P99</f>
        <v>1200</v>
      </c>
      <c r="R99" s="86" t="n">
        <f aca="false">DATE(YEAR(B99),MONTH(B99),1)</f>
        <v>45931</v>
      </c>
      <c r="S99" s="83" t="str">
        <f aca="false">YEAR(B99)&amp;"-Q"&amp;ROUNDUP(MONTH(B99)/3,0)</f>
        <v>2025-Q4</v>
      </c>
      <c r="T99" s="87" t="n">
        <f aca="false">IF(O99&gt;0,Q99/O99,"")</f>
        <v>0.267857142857143</v>
      </c>
      <c r="U99" s="84" t="n">
        <f aca="false">IF(O99&gt;0,O99,"")</f>
        <v>4480</v>
      </c>
    </row>
    <row r="100" customFormat="false" ht="15" hidden="false" customHeight="false" outlineLevel="0" collapsed="false">
      <c r="A100" s="81" t="s">
        <v>743</v>
      </c>
      <c r="B100" s="82" t="n">
        <v>45956</v>
      </c>
      <c r="C100" s="81" t="s">
        <v>241</v>
      </c>
      <c r="D100" s="83" t="str">
        <f aca="false">IFERROR(INDEX(c_Name,MATCH($C100,c_ID,0)),"غير معرّف")</f>
        <v>فهد الزهراني</v>
      </c>
      <c r="E100" s="83" t="str">
        <f aca="false">IFERROR(INDEX(c_Region,MATCH($C100,c_ID,0)),"غير معرّف")</f>
        <v>الجنوبية</v>
      </c>
      <c r="F100" s="81" t="s">
        <v>185</v>
      </c>
      <c r="G100" s="83" t="str">
        <f aca="false">IFERROR(INDEX(p_Name,MATCH($F100,p_ID,0)),"غير معرّف")</f>
        <v>ماكينة حلاقة</v>
      </c>
      <c r="H100" s="83" t="str">
        <f aca="false">IFERROR(INDEX(p_Cat,MATCH($F100,p_ID,0)),"غير معرّف")</f>
        <v>عناية شخصية</v>
      </c>
      <c r="I100" s="81" t="s">
        <v>465</v>
      </c>
      <c r="J100" s="81" t="s">
        <v>93</v>
      </c>
      <c r="K100" s="81" t="n">
        <v>1</v>
      </c>
      <c r="L100" s="84" t="n">
        <f aca="false">IFERROR(INDEX(p_Price,MATCH($F100,p_ID,0)),0)</f>
        <v>340</v>
      </c>
      <c r="M100" s="85" t="n">
        <v>0</v>
      </c>
      <c r="N100" s="81" t="s">
        <v>644</v>
      </c>
      <c r="O100" s="84" t="n">
        <f aca="false">IF($N100="مرتجع",0,K100*L100*(1-M100))</f>
        <v>340</v>
      </c>
      <c r="P100" s="84" t="n">
        <f aca="false">IF($N100="مرتجع",0,K100*IFERROR(INDEX(p_Cost,MATCH($F100,p_ID,0)),0))</f>
        <v>170</v>
      </c>
      <c r="Q100" s="84" t="n">
        <f aca="false">O100-P100</f>
        <v>170</v>
      </c>
      <c r="R100" s="86" t="n">
        <f aca="false">DATE(YEAR(B100),MONTH(B100),1)</f>
        <v>45931</v>
      </c>
      <c r="S100" s="83" t="str">
        <f aca="false">YEAR(B100)&amp;"-Q"&amp;ROUNDUP(MONTH(B100)/3,0)</f>
        <v>2025-Q4</v>
      </c>
      <c r="T100" s="87" t="n">
        <f aca="false">IF(O100&gt;0,Q100/O100,"")</f>
        <v>0.5</v>
      </c>
      <c r="U100" s="84" t="n">
        <f aca="false">IF(O100&gt;0,O100,"")</f>
        <v>340</v>
      </c>
    </row>
    <row r="101" customFormat="false" ht="15" hidden="false" customHeight="false" outlineLevel="0" collapsed="false">
      <c r="A101" s="81" t="s">
        <v>744</v>
      </c>
      <c r="B101" s="82" t="n">
        <v>45957</v>
      </c>
      <c r="C101" s="81" t="s">
        <v>324</v>
      </c>
      <c r="D101" s="83" t="str">
        <f aca="false">IFERROR(INDEX(c_Name,MATCH($C101,c_ID,0)),"غير معرّف")</f>
        <v>عبير الحسيني</v>
      </c>
      <c r="E101" s="83" t="str">
        <f aca="false">IFERROR(INDEX(c_Region,MATCH($C101,c_ID,0)),"غير معرّف")</f>
        <v>الشرقية</v>
      </c>
      <c r="F101" s="81" t="s">
        <v>166</v>
      </c>
      <c r="G101" s="83" t="str">
        <f aca="false">IFERROR(INDEX(p_Name,MATCH($F101,p_ID,0)),"غير معرّف")</f>
        <v>سماعات لاسلكية</v>
      </c>
      <c r="H101" s="83" t="str">
        <f aca="false">IFERROR(INDEX(p_Cat,MATCH($F101,p_ID,0)),"غير معرّف")</f>
        <v>إلكترونيات</v>
      </c>
      <c r="I101" s="81" t="s">
        <v>463</v>
      </c>
      <c r="J101" s="81" t="s">
        <v>93</v>
      </c>
      <c r="K101" s="81" t="n">
        <v>6</v>
      </c>
      <c r="L101" s="84" t="n">
        <f aca="false">IFERROR(INDEX(p_Price,MATCH($F101,p_ID,0)),0)</f>
        <v>450</v>
      </c>
      <c r="M101" s="85" t="n">
        <v>0.05</v>
      </c>
      <c r="N101" s="81" t="s">
        <v>644</v>
      </c>
      <c r="O101" s="84" t="n">
        <f aca="false">IF($N101="مرتجع",0,K101*L101*(1-M101))</f>
        <v>2565</v>
      </c>
      <c r="P101" s="84" t="n">
        <f aca="false">IF($N101="مرتجع",0,K101*IFERROR(INDEX(p_Cost,MATCH($F101,p_ID,0)),0))</f>
        <v>1560</v>
      </c>
      <c r="Q101" s="84" t="n">
        <f aca="false">O101-P101</f>
        <v>1005</v>
      </c>
      <c r="R101" s="86" t="n">
        <f aca="false">DATE(YEAR(B101),MONTH(B101),1)</f>
        <v>45931</v>
      </c>
      <c r="S101" s="83" t="str">
        <f aca="false">YEAR(B101)&amp;"-Q"&amp;ROUNDUP(MONTH(B101)/3,0)</f>
        <v>2025-Q4</v>
      </c>
      <c r="T101" s="87" t="n">
        <f aca="false">IF(O101&gt;0,Q101/O101,"")</f>
        <v>0.391812865497076</v>
      </c>
      <c r="U101" s="84" t="n">
        <f aca="false">IF(O101&gt;0,O101,"")</f>
        <v>2565</v>
      </c>
    </row>
    <row r="102" customFormat="false" ht="15" hidden="false" customHeight="false" outlineLevel="0" collapsed="false">
      <c r="A102" s="81" t="s">
        <v>745</v>
      </c>
      <c r="B102" s="82" t="n">
        <v>45957</v>
      </c>
      <c r="C102" s="81" t="s">
        <v>301</v>
      </c>
      <c r="D102" s="83" t="str">
        <f aca="false">IFERROR(INDEX(c_Name,MATCH($C102,c_ID,0)),"غير معرّف")</f>
        <v>أحمد الغامدي</v>
      </c>
      <c r="E102" s="83" t="str">
        <f aca="false">IFERROR(INDEX(c_Region,MATCH($C102,c_ID,0)),"غير معرّف")</f>
        <v>الشرقية</v>
      </c>
      <c r="F102" s="81" t="s">
        <v>168</v>
      </c>
      <c r="G102" s="83" t="str">
        <f aca="false">IFERROR(INDEX(p_Name,MATCH($F102,p_ID,0)),"غير معرّف")</f>
        <v>مكنسة كهربائية</v>
      </c>
      <c r="H102" s="83" t="str">
        <f aca="false">IFERROR(INDEX(p_Cat,MATCH($F102,p_ID,0)),"غير معرّف")</f>
        <v>أجهزة منزلية</v>
      </c>
      <c r="I102" s="81" t="s">
        <v>461</v>
      </c>
      <c r="J102" s="81" t="s">
        <v>91</v>
      </c>
      <c r="K102" s="81" t="n">
        <v>2</v>
      </c>
      <c r="L102" s="84" t="n">
        <f aca="false">IFERROR(INDEX(p_Price,MATCH($F102,p_ID,0)),0)</f>
        <v>650</v>
      </c>
      <c r="M102" s="85" t="n">
        <v>0.05</v>
      </c>
      <c r="N102" s="81" t="s">
        <v>644</v>
      </c>
      <c r="O102" s="84" t="n">
        <f aca="false">IF($N102="مرتجع",0,K102*L102*(1-M102))</f>
        <v>1235</v>
      </c>
      <c r="P102" s="84" t="n">
        <f aca="false">IF($N102="مرتجع",0,K102*IFERROR(INDEX(p_Cost,MATCH($F102,p_ID,0)),0))</f>
        <v>840</v>
      </c>
      <c r="Q102" s="84" t="n">
        <f aca="false">O102-P102</f>
        <v>395</v>
      </c>
      <c r="R102" s="86" t="n">
        <f aca="false">DATE(YEAR(B102),MONTH(B102),1)</f>
        <v>45931</v>
      </c>
      <c r="S102" s="83" t="str">
        <f aca="false">YEAR(B102)&amp;"-Q"&amp;ROUNDUP(MONTH(B102)/3,0)</f>
        <v>2025-Q4</v>
      </c>
      <c r="T102" s="87" t="n">
        <f aca="false">IF(O102&gt;0,Q102/O102,"")</f>
        <v>0.319838056680162</v>
      </c>
      <c r="U102" s="84" t="n">
        <f aca="false">IF(O102&gt;0,O102,"")</f>
        <v>1235</v>
      </c>
    </row>
    <row r="103" customFormat="false" ht="15" hidden="false" customHeight="false" outlineLevel="0" collapsed="false">
      <c r="A103" s="81" t="s">
        <v>746</v>
      </c>
      <c r="B103" s="82" t="n">
        <v>45957</v>
      </c>
      <c r="C103" s="81" t="s">
        <v>429</v>
      </c>
      <c r="D103" s="83" t="str">
        <f aca="false">IFERROR(INDEX(c_Name,MATCH($C103,c_ID,0)),"غير معرّف")</f>
        <v>سعد الحربي</v>
      </c>
      <c r="E103" s="83" t="str">
        <f aca="false">IFERROR(INDEX(c_Region,MATCH($C103,c_ID,0)),"غير معرّف")</f>
        <v>الغربية</v>
      </c>
      <c r="F103" s="81" t="s">
        <v>166</v>
      </c>
      <c r="G103" s="83" t="str">
        <f aca="false">IFERROR(INDEX(p_Name,MATCH($F103,p_ID,0)),"غير معرّف")</f>
        <v>سماعات لاسلكية</v>
      </c>
      <c r="H103" s="83" t="str">
        <f aca="false">IFERROR(INDEX(p_Cat,MATCH($F103,p_ID,0)),"غير معرّف")</f>
        <v>إلكترونيات</v>
      </c>
      <c r="I103" s="81" t="s">
        <v>458</v>
      </c>
      <c r="J103" s="81" t="s">
        <v>93</v>
      </c>
      <c r="K103" s="81" t="n">
        <v>1</v>
      </c>
      <c r="L103" s="84" t="n">
        <f aca="false">IFERROR(INDEX(p_Price,MATCH($F103,p_ID,0)),0)</f>
        <v>450</v>
      </c>
      <c r="M103" s="85" t="n">
        <v>0</v>
      </c>
      <c r="N103" s="81" t="s">
        <v>644</v>
      </c>
      <c r="O103" s="84" t="n">
        <f aca="false">IF($N103="مرتجع",0,K103*L103*(1-M103))</f>
        <v>450</v>
      </c>
      <c r="P103" s="84" t="n">
        <f aca="false">IF($N103="مرتجع",0,K103*IFERROR(INDEX(p_Cost,MATCH($F103,p_ID,0)),0))</f>
        <v>260</v>
      </c>
      <c r="Q103" s="84" t="n">
        <f aca="false">O103-P103</f>
        <v>190</v>
      </c>
      <c r="R103" s="86" t="n">
        <f aca="false">DATE(YEAR(B103),MONTH(B103),1)</f>
        <v>45931</v>
      </c>
      <c r="S103" s="83" t="str">
        <f aca="false">YEAR(B103)&amp;"-Q"&amp;ROUNDUP(MONTH(B103)/3,0)</f>
        <v>2025-Q4</v>
      </c>
      <c r="T103" s="87" t="n">
        <f aca="false">IF(O103&gt;0,Q103/O103,"")</f>
        <v>0.422222222222222</v>
      </c>
      <c r="U103" s="84" t="n">
        <f aca="false">IF(O103&gt;0,O103,"")</f>
        <v>450</v>
      </c>
    </row>
    <row r="104" customFormat="false" ht="15" hidden="false" customHeight="false" outlineLevel="0" collapsed="false">
      <c r="A104" s="81" t="s">
        <v>747</v>
      </c>
      <c r="B104" s="82" t="n">
        <v>45957</v>
      </c>
      <c r="C104" s="81" t="s">
        <v>310</v>
      </c>
      <c r="D104" s="83" t="str">
        <f aca="false">IFERROR(INDEX(c_Name,MATCH($C104,c_ID,0)),"غير معرّف")</f>
        <v>طارق السبيعي</v>
      </c>
      <c r="E104" s="83" t="str">
        <f aca="false">IFERROR(INDEX(c_Region,MATCH($C104,c_ID,0)),"غير معرّف")</f>
        <v>الوسطى</v>
      </c>
      <c r="F104" s="81" t="s">
        <v>178</v>
      </c>
      <c r="G104" s="83" t="str">
        <f aca="false">IFERROR(INDEX(p_Name,MATCH($F104,p_ID,0)),"غير معرّف")</f>
        <v>حقيبة لابتوب</v>
      </c>
      <c r="H104" s="83" t="str">
        <f aca="false">IFERROR(INDEX(p_Cat,MATCH($F104,p_ID,0)),"غير معرّف")</f>
        <v>مستلزمات مكتبية</v>
      </c>
      <c r="I104" s="81" t="s">
        <v>449</v>
      </c>
      <c r="J104" s="81" t="s">
        <v>93</v>
      </c>
      <c r="K104" s="81" t="n">
        <v>2</v>
      </c>
      <c r="L104" s="84" t="n">
        <f aca="false">IFERROR(INDEX(p_Price,MATCH($F104,p_ID,0)),0)</f>
        <v>260</v>
      </c>
      <c r="M104" s="85" t="n">
        <v>0</v>
      </c>
      <c r="N104" s="81" t="s">
        <v>650</v>
      </c>
      <c r="O104" s="84" t="n">
        <f aca="false">IF($N104="مرتجع",0,K104*L104*(1-M104))</f>
        <v>0</v>
      </c>
      <c r="P104" s="84" t="n">
        <f aca="false">IF($N104="مرتجع",0,K104*IFERROR(INDEX(p_Cost,MATCH($F104,p_ID,0)),0))</f>
        <v>0</v>
      </c>
      <c r="Q104" s="84" t="n">
        <f aca="false">O104-P104</f>
        <v>0</v>
      </c>
      <c r="R104" s="86" t="n">
        <f aca="false">DATE(YEAR(B104),MONTH(B104),1)</f>
        <v>45931</v>
      </c>
      <c r="S104" s="83" t="str">
        <f aca="false">YEAR(B104)&amp;"-Q"&amp;ROUNDUP(MONTH(B104)/3,0)</f>
        <v>2025-Q4</v>
      </c>
      <c r="T104" s="87" t="str">
        <f aca="false">IF(O104&gt;0,Q104/O104,"")</f>
        <v/>
      </c>
      <c r="U104" s="84" t="str">
        <f aca="false">IF(O104&gt;0,O104,"")</f>
        <v/>
      </c>
    </row>
    <row r="105" customFormat="false" ht="15" hidden="false" customHeight="false" outlineLevel="0" collapsed="false">
      <c r="A105" s="81" t="s">
        <v>748</v>
      </c>
      <c r="B105" s="82" t="n">
        <v>45957</v>
      </c>
      <c r="C105" s="81" t="s">
        <v>270</v>
      </c>
      <c r="D105" s="83" t="str">
        <f aca="false">IFERROR(INDEX(c_Name,MATCH($C105,c_ID,0)),"غير معرّف")</f>
        <v>ريم التميمي</v>
      </c>
      <c r="E105" s="83" t="str">
        <f aca="false">IFERROR(INDEX(c_Region,MATCH($C105,c_ID,0)),"غير معرّف")</f>
        <v>الشرقية</v>
      </c>
      <c r="F105" s="81" t="s">
        <v>182</v>
      </c>
      <c r="G105" s="83" t="str">
        <f aca="false">IFERROR(INDEX(p_Name,MATCH($F105,p_ID,0)),"غير معرّف")</f>
        <v>طقم أوزان</v>
      </c>
      <c r="H105" s="83" t="str">
        <f aca="false">IFERROR(INDEX(p_Cat,MATCH($F105,p_ID,0)),"غير معرّف")</f>
        <v>رياضة</v>
      </c>
      <c r="I105" s="81" t="s">
        <v>463</v>
      </c>
      <c r="J105" s="81" t="s">
        <v>93</v>
      </c>
      <c r="K105" s="81" t="n">
        <v>1</v>
      </c>
      <c r="L105" s="84" t="n">
        <f aca="false">IFERROR(INDEX(p_Price,MATCH($F105,p_ID,0)),0)</f>
        <v>380</v>
      </c>
      <c r="M105" s="85" t="n">
        <v>0.05</v>
      </c>
      <c r="N105" s="81" t="s">
        <v>644</v>
      </c>
      <c r="O105" s="84" t="n">
        <f aca="false">IF($N105="مرتجع",0,K105*L105*(1-M105))</f>
        <v>361</v>
      </c>
      <c r="P105" s="84" t="n">
        <f aca="false">IF($N105="مرتجع",0,K105*IFERROR(INDEX(p_Cost,MATCH($F105,p_ID,0)),0))</f>
        <v>210</v>
      </c>
      <c r="Q105" s="84" t="n">
        <f aca="false">O105-P105</f>
        <v>151</v>
      </c>
      <c r="R105" s="86" t="n">
        <f aca="false">DATE(YEAR(B105),MONTH(B105),1)</f>
        <v>45931</v>
      </c>
      <c r="S105" s="83" t="str">
        <f aca="false">YEAR(B105)&amp;"-Q"&amp;ROUNDUP(MONTH(B105)/3,0)</f>
        <v>2025-Q4</v>
      </c>
      <c r="T105" s="87" t="n">
        <f aca="false">IF(O105&gt;0,Q105/O105,"")</f>
        <v>0.418282548476454</v>
      </c>
      <c r="U105" s="84" t="n">
        <f aca="false">IF(O105&gt;0,O105,"")</f>
        <v>361</v>
      </c>
    </row>
    <row r="106" customFormat="false" ht="15" hidden="false" customHeight="false" outlineLevel="0" collapsed="false">
      <c r="A106" s="81" t="s">
        <v>749</v>
      </c>
      <c r="B106" s="82" t="n">
        <v>45958</v>
      </c>
      <c r="C106" s="81" t="s">
        <v>319</v>
      </c>
      <c r="D106" s="83" t="str">
        <f aca="false">IFERROR(INDEX(c_Name,MATCH($C106,c_ID,0)),"غير معرّف")</f>
        <v>سعد التميمي</v>
      </c>
      <c r="E106" s="83" t="str">
        <f aca="false">IFERROR(INDEX(c_Region,MATCH($C106,c_ID,0)),"غير معرّف")</f>
        <v>الغربية</v>
      </c>
      <c r="F106" s="81" t="s">
        <v>179</v>
      </c>
      <c r="G106" s="83" t="str">
        <f aca="false">IFERROR(INDEX(p_Name,MATCH($F106,p_ID,0)),"غير معرّف")</f>
        <v>طقم أدوات مكتبية</v>
      </c>
      <c r="H106" s="83" t="str">
        <f aca="false">IFERROR(INDEX(p_Cat,MATCH($F106,p_ID,0)),"غير معرّف")</f>
        <v>مستلزمات مكتبية</v>
      </c>
      <c r="I106" s="81" t="s">
        <v>458</v>
      </c>
      <c r="J106" s="81" t="s">
        <v>95</v>
      </c>
      <c r="K106" s="81" t="n">
        <v>13</v>
      </c>
      <c r="L106" s="84" t="n">
        <f aca="false">IFERROR(INDEX(p_Price,MATCH($F106,p_ID,0)),0)</f>
        <v>90</v>
      </c>
      <c r="M106" s="85" t="n">
        <v>0.1</v>
      </c>
      <c r="N106" s="81" t="s">
        <v>644</v>
      </c>
      <c r="O106" s="84" t="n">
        <f aca="false">IF($N106="مرتجع",0,K106*L106*(1-M106))</f>
        <v>1053</v>
      </c>
      <c r="P106" s="84" t="n">
        <f aca="false">IF($N106="مرتجع",0,K106*IFERROR(INDEX(p_Cost,MATCH($F106,p_ID,0)),0))</f>
        <v>585</v>
      </c>
      <c r="Q106" s="84" t="n">
        <f aca="false">O106-P106</f>
        <v>468</v>
      </c>
      <c r="R106" s="86" t="n">
        <f aca="false">DATE(YEAR(B106),MONTH(B106),1)</f>
        <v>45931</v>
      </c>
      <c r="S106" s="83" t="str">
        <f aca="false">YEAR(B106)&amp;"-Q"&amp;ROUNDUP(MONTH(B106)/3,0)</f>
        <v>2025-Q4</v>
      </c>
      <c r="T106" s="87" t="n">
        <f aca="false">IF(O106&gt;0,Q106/O106,"")</f>
        <v>0.444444444444444</v>
      </c>
      <c r="U106" s="84" t="n">
        <f aca="false">IF(O106&gt;0,O106,"")</f>
        <v>1053</v>
      </c>
    </row>
    <row r="107" customFormat="false" ht="15" hidden="false" customHeight="false" outlineLevel="0" collapsed="false">
      <c r="A107" s="81" t="s">
        <v>750</v>
      </c>
      <c r="B107" s="82" t="n">
        <v>45958</v>
      </c>
      <c r="C107" s="81" t="s">
        <v>262</v>
      </c>
      <c r="D107" s="83" t="str">
        <f aca="false">IFERROR(INDEX(c_Name,MATCH($C107,c_ID,0)),"غير معرّف")</f>
        <v>ناصر السبيعي</v>
      </c>
      <c r="E107" s="83" t="str">
        <f aca="false">IFERROR(INDEX(c_Region,MATCH($C107,c_ID,0)),"غير معرّف")</f>
        <v>الغربية</v>
      </c>
      <c r="F107" s="81" t="s">
        <v>166</v>
      </c>
      <c r="G107" s="83" t="str">
        <f aca="false">IFERROR(INDEX(p_Name,MATCH($F107,p_ID,0)),"غير معرّف")</f>
        <v>سماعات لاسلكية</v>
      </c>
      <c r="H107" s="83" t="str">
        <f aca="false">IFERROR(INDEX(p_Cat,MATCH($F107,p_ID,0)),"غير معرّف")</f>
        <v>إلكترونيات</v>
      </c>
      <c r="I107" s="81" t="s">
        <v>458</v>
      </c>
      <c r="J107" s="81" t="s">
        <v>93</v>
      </c>
      <c r="K107" s="81" t="n">
        <v>3</v>
      </c>
      <c r="L107" s="84" t="n">
        <f aca="false">IFERROR(INDEX(p_Price,MATCH($F107,p_ID,0)),0)</f>
        <v>450</v>
      </c>
      <c r="M107" s="85" t="n">
        <v>0.05</v>
      </c>
      <c r="N107" s="81" t="s">
        <v>644</v>
      </c>
      <c r="O107" s="84" t="n">
        <f aca="false">IF($N107="مرتجع",0,K107*L107*(1-M107))</f>
        <v>1282.5</v>
      </c>
      <c r="P107" s="84" t="n">
        <f aca="false">IF($N107="مرتجع",0,K107*IFERROR(INDEX(p_Cost,MATCH($F107,p_ID,0)),0))</f>
        <v>780</v>
      </c>
      <c r="Q107" s="84" t="n">
        <f aca="false">O107-P107</f>
        <v>502.5</v>
      </c>
      <c r="R107" s="86" t="n">
        <f aca="false">DATE(YEAR(B107),MONTH(B107),1)</f>
        <v>45931</v>
      </c>
      <c r="S107" s="83" t="str">
        <f aca="false">YEAR(B107)&amp;"-Q"&amp;ROUNDUP(MONTH(B107)/3,0)</f>
        <v>2025-Q4</v>
      </c>
      <c r="T107" s="87" t="n">
        <f aca="false">IF(O107&gt;0,Q107/O107,"")</f>
        <v>0.391812865497076</v>
      </c>
      <c r="U107" s="84" t="n">
        <f aca="false">IF(O107&gt;0,O107,"")</f>
        <v>1282.5</v>
      </c>
    </row>
    <row r="108" customFormat="false" ht="15" hidden="false" customHeight="false" outlineLevel="0" collapsed="false">
      <c r="A108" s="81" t="s">
        <v>751</v>
      </c>
      <c r="B108" s="82" t="n">
        <v>45958</v>
      </c>
      <c r="C108" s="81" t="s">
        <v>412</v>
      </c>
      <c r="D108" s="83" t="str">
        <f aca="false">IFERROR(INDEX(c_Name,MATCH($C108,c_ID,0)),"غير معرّف")</f>
        <v>سعد العتيبي</v>
      </c>
      <c r="E108" s="83" t="str">
        <f aca="false">IFERROR(INDEX(c_Region,MATCH($C108,c_ID,0)),"غير معرّف")</f>
        <v>الشرقية</v>
      </c>
      <c r="F108" s="81" t="s">
        <v>178</v>
      </c>
      <c r="G108" s="83" t="str">
        <f aca="false">IFERROR(INDEX(p_Name,MATCH($F108,p_ID,0)),"غير معرّف")</f>
        <v>حقيبة لابتوب</v>
      </c>
      <c r="H108" s="83" t="str">
        <f aca="false">IFERROR(INDEX(p_Cat,MATCH($F108,p_ID,0)),"غير معرّف")</f>
        <v>مستلزمات مكتبية</v>
      </c>
      <c r="I108" s="81" t="s">
        <v>461</v>
      </c>
      <c r="J108" s="81" t="s">
        <v>91</v>
      </c>
      <c r="K108" s="81" t="n">
        <v>1</v>
      </c>
      <c r="L108" s="84" t="n">
        <f aca="false">IFERROR(INDEX(p_Price,MATCH($F108,p_ID,0)),0)</f>
        <v>260</v>
      </c>
      <c r="M108" s="85" t="n">
        <v>0</v>
      </c>
      <c r="N108" s="81" t="s">
        <v>644</v>
      </c>
      <c r="O108" s="84" t="n">
        <f aca="false">IF($N108="مرتجع",0,K108*L108*(1-M108))</f>
        <v>260</v>
      </c>
      <c r="P108" s="84" t="n">
        <f aca="false">IF($N108="مرتجع",0,K108*IFERROR(INDEX(p_Cost,MATCH($F108,p_ID,0)),0))</f>
        <v>120</v>
      </c>
      <c r="Q108" s="84" t="n">
        <f aca="false">O108-P108</f>
        <v>140</v>
      </c>
      <c r="R108" s="86" t="n">
        <f aca="false">DATE(YEAR(B108),MONTH(B108),1)</f>
        <v>45931</v>
      </c>
      <c r="S108" s="83" t="str">
        <f aca="false">YEAR(B108)&amp;"-Q"&amp;ROUNDUP(MONTH(B108)/3,0)</f>
        <v>2025-Q4</v>
      </c>
      <c r="T108" s="87" t="n">
        <f aca="false">IF(O108&gt;0,Q108/O108,"")</f>
        <v>0.538461538461538</v>
      </c>
      <c r="U108" s="84" t="n">
        <f aca="false">IF(O108&gt;0,O108,"")</f>
        <v>260</v>
      </c>
    </row>
    <row r="109" customFormat="false" ht="15" hidden="false" customHeight="false" outlineLevel="0" collapsed="false">
      <c r="A109" s="81" t="s">
        <v>752</v>
      </c>
      <c r="B109" s="82" t="n">
        <v>45959</v>
      </c>
      <c r="C109" s="81" t="s">
        <v>335</v>
      </c>
      <c r="D109" s="83" t="str">
        <f aca="false">IFERROR(INDEX(c_Name,MATCH($C109,c_ID,0)),"غير معرّف")</f>
        <v>نورة الحربي</v>
      </c>
      <c r="E109" s="83" t="str">
        <f aca="false">IFERROR(INDEX(c_Region,MATCH($C109,c_ID,0)),"غير معرّف")</f>
        <v>الشرقية</v>
      </c>
      <c r="F109" s="81" t="s">
        <v>175</v>
      </c>
      <c r="G109" s="83" t="str">
        <f aca="false">IFERROR(INDEX(p_Name,MATCH($F109,p_ID,0)),"غير معرّف")</f>
        <v>رف كتب</v>
      </c>
      <c r="H109" s="83" t="str">
        <f aca="false">IFERROR(INDEX(p_Cat,MATCH($F109,p_ID,0)),"غير معرّف")</f>
        <v>أثاث</v>
      </c>
      <c r="I109" s="81" t="s">
        <v>461</v>
      </c>
      <c r="J109" s="81" t="s">
        <v>91</v>
      </c>
      <c r="K109" s="81" t="n">
        <v>1</v>
      </c>
      <c r="L109" s="84" t="n">
        <f aca="false">IFERROR(INDEX(p_Price,MATCH($F109,p_ID,0)),0)</f>
        <v>400</v>
      </c>
      <c r="M109" s="85" t="n">
        <v>0.2</v>
      </c>
      <c r="N109" s="81" t="s">
        <v>644</v>
      </c>
      <c r="O109" s="84" t="n">
        <f aca="false">IF($N109="مرتجع",0,K109*L109*(1-M109))</f>
        <v>320</v>
      </c>
      <c r="P109" s="84" t="n">
        <f aca="false">IF($N109="مرتجع",0,K109*IFERROR(INDEX(p_Cost,MATCH($F109,p_ID,0)),0))</f>
        <v>220</v>
      </c>
      <c r="Q109" s="84" t="n">
        <f aca="false">O109-P109</f>
        <v>100</v>
      </c>
      <c r="R109" s="86" t="n">
        <f aca="false">DATE(YEAR(B109),MONTH(B109),1)</f>
        <v>45931</v>
      </c>
      <c r="S109" s="83" t="str">
        <f aca="false">YEAR(B109)&amp;"-Q"&amp;ROUNDUP(MONTH(B109)/3,0)</f>
        <v>2025-Q4</v>
      </c>
      <c r="T109" s="87" t="n">
        <f aca="false">IF(O109&gt;0,Q109/O109,"")</f>
        <v>0.3125</v>
      </c>
      <c r="U109" s="84" t="n">
        <f aca="false">IF(O109&gt;0,O109,"")</f>
        <v>320</v>
      </c>
    </row>
    <row r="110" customFormat="false" ht="15" hidden="false" customHeight="false" outlineLevel="0" collapsed="false">
      <c r="A110" s="81" t="s">
        <v>753</v>
      </c>
      <c r="B110" s="82" t="n">
        <v>45959</v>
      </c>
      <c r="C110" s="81" t="s">
        <v>404</v>
      </c>
      <c r="D110" s="83" t="str">
        <f aca="false">IFERROR(INDEX(c_Name,MATCH($C110,c_ID,0)),"غير معرّف")</f>
        <v>عبدالله الحسيني</v>
      </c>
      <c r="E110" s="83" t="str">
        <f aca="false">IFERROR(INDEX(c_Region,MATCH($C110,c_ID,0)),"غير معرّف")</f>
        <v>الشرقية</v>
      </c>
      <c r="F110" s="81" t="s">
        <v>175</v>
      </c>
      <c r="G110" s="83" t="str">
        <f aca="false">IFERROR(INDEX(p_Name,MATCH($F110,p_ID,0)),"غير معرّف")</f>
        <v>رف كتب</v>
      </c>
      <c r="H110" s="83" t="str">
        <f aca="false">IFERROR(INDEX(p_Cat,MATCH($F110,p_ID,0)),"غير معرّف")</f>
        <v>أثاث</v>
      </c>
      <c r="I110" s="81" t="s">
        <v>463</v>
      </c>
      <c r="J110" s="81" t="s">
        <v>91</v>
      </c>
      <c r="K110" s="81" t="n">
        <v>3</v>
      </c>
      <c r="L110" s="84" t="n">
        <f aca="false">IFERROR(INDEX(p_Price,MATCH($F110,p_ID,0)),0)</f>
        <v>400</v>
      </c>
      <c r="M110" s="85" t="n">
        <v>0</v>
      </c>
      <c r="N110" s="81" t="s">
        <v>644</v>
      </c>
      <c r="O110" s="84" t="n">
        <f aca="false">IF($N110="مرتجع",0,K110*L110*(1-M110))</f>
        <v>1200</v>
      </c>
      <c r="P110" s="84" t="n">
        <f aca="false">IF($N110="مرتجع",0,K110*IFERROR(INDEX(p_Cost,MATCH($F110,p_ID,0)),0))</f>
        <v>660</v>
      </c>
      <c r="Q110" s="84" t="n">
        <f aca="false">O110-P110</f>
        <v>540</v>
      </c>
      <c r="R110" s="86" t="n">
        <f aca="false">DATE(YEAR(B110),MONTH(B110),1)</f>
        <v>45931</v>
      </c>
      <c r="S110" s="83" t="str">
        <f aca="false">YEAR(B110)&amp;"-Q"&amp;ROUNDUP(MONTH(B110)/3,0)</f>
        <v>2025-Q4</v>
      </c>
      <c r="T110" s="87" t="n">
        <f aca="false">IF(O110&gt;0,Q110/O110,"")</f>
        <v>0.45</v>
      </c>
      <c r="U110" s="84" t="n">
        <f aca="false">IF(O110&gt;0,O110,"")</f>
        <v>1200</v>
      </c>
    </row>
    <row r="111" customFormat="false" ht="15" hidden="false" customHeight="false" outlineLevel="0" collapsed="false">
      <c r="A111" s="81" t="s">
        <v>754</v>
      </c>
      <c r="B111" s="82" t="n">
        <v>45959</v>
      </c>
      <c r="C111" s="81" t="s">
        <v>306</v>
      </c>
      <c r="D111" s="83" t="str">
        <f aca="false">IFERROR(INDEX(c_Name,MATCH($C111,c_ID,0)),"غير معرّف")</f>
        <v>أحمد العنزي</v>
      </c>
      <c r="E111" s="83" t="str">
        <f aca="false">IFERROR(INDEX(c_Region,MATCH($C111,c_ID,0)),"غير معرّف")</f>
        <v>الغربية</v>
      </c>
      <c r="F111" s="81" t="s">
        <v>179</v>
      </c>
      <c r="G111" s="83" t="str">
        <f aca="false">IFERROR(INDEX(p_Name,MATCH($F111,p_ID,0)),"غير معرّف")</f>
        <v>طقم أدوات مكتبية</v>
      </c>
      <c r="H111" s="83" t="str">
        <f aca="false">IFERROR(INDEX(p_Cat,MATCH($F111,p_ID,0)),"غير معرّف")</f>
        <v>مستلزمات مكتبية</v>
      </c>
      <c r="I111" s="81" t="s">
        <v>455</v>
      </c>
      <c r="J111" s="81" t="s">
        <v>95</v>
      </c>
      <c r="K111" s="81" t="n">
        <v>8</v>
      </c>
      <c r="L111" s="84" t="n">
        <f aca="false">IFERROR(INDEX(p_Price,MATCH($F111,p_ID,0)),0)</f>
        <v>90</v>
      </c>
      <c r="M111" s="85" t="n">
        <v>0.05</v>
      </c>
      <c r="N111" s="81" t="s">
        <v>644</v>
      </c>
      <c r="O111" s="84" t="n">
        <f aca="false">IF($N111="مرتجع",0,K111*L111*(1-M111))</f>
        <v>684</v>
      </c>
      <c r="P111" s="84" t="n">
        <f aca="false">IF($N111="مرتجع",0,K111*IFERROR(INDEX(p_Cost,MATCH($F111,p_ID,0)),0))</f>
        <v>360</v>
      </c>
      <c r="Q111" s="84" t="n">
        <f aca="false">O111-P111</f>
        <v>324</v>
      </c>
      <c r="R111" s="86" t="n">
        <f aca="false">DATE(YEAR(B111),MONTH(B111),1)</f>
        <v>45931</v>
      </c>
      <c r="S111" s="83" t="str">
        <f aca="false">YEAR(B111)&amp;"-Q"&amp;ROUNDUP(MONTH(B111)/3,0)</f>
        <v>2025-Q4</v>
      </c>
      <c r="T111" s="87" t="n">
        <f aca="false">IF(O111&gt;0,Q111/O111,"")</f>
        <v>0.473684210526316</v>
      </c>
      <c r="U111" s="84" t="n">
        <f aca="false">IF(O111&gt;0,O111,"")</f>
        <v>684</v>
      </c>
    </row>
    <row r="112" customFormat="false" ht="15" hidden="false" customHeight="false" outlineLevel="0" collapsed="false">
      <c r="A112" s="81" t="s">
        <v>755</v>
      </c>
      <c r="B112" s="82" t="n">
        <v>45959</v>
      </c>
      <c r="C112" s="81" t="s">
        <v>291</v>
      </c>
      <c r="D112" s="83" t="str">
        <f aca="false">IFERROR(INDEX(c_Name,MATCH($C112,c_ID,0)),"غير معرّف")</f>
        <v>ياسر الشمري</v>
      </c>
      <c r="E112" s="83" t="str">
        <f aca="false">IFERROR(INDEX(c_Region,MATCH($C112,c_ID,0)),"غير معرّف")</f>
        <v>الوسطى</v>
      </c>
      <c r="F112" s="81" t="s">
        <v>166</v>
      </c>
      <c r="G112" s="83" t="str">
        <f aca="false">IFERROR(INDEX(p_Name,MATCH($F112,p_ID,0)),"غير معرّف")</f>
        <v>سماعات لاسلكية</v>
      </c>
      <c r="H112" s="83" t="str">
        <f aca="false">IFERROR(INDEX(p_Cat,MATCH($F112,p_ID,0)),"غير معرّف")</f>
        <v>إلكترونيات</v>
      </c>
      <c r="I112" s="81" t="s">
        <v>446</v>
      </c>
      <c r="J112" s="81" t="s">
        <v>91</v>
      </c>
      <c r="K112" s="81" t="n">
        <v>3</v>
      </c>
      <c r="L112" s="84" t="n">
        <f aca="false">IFERROR(INDEX(p_Price,MATCH($F112,p_ID,0)),0)</f>
        <v>450</v>
      </c>
      <c r="M112" s="85" t="n">
        <v>0</v>
      </c>
      <c r="N112" s="81" t="s">
        <v>644</v>
      </c>
      <c r="O112" s="84" t="n">
        <f aca="false">IF($N112="مرتجع",0,K112*L112*(1-M112))</f>
        <v>1350</v>
      </c>
      <c r="P112" s="84" t="n">
        <f aca="false">IF($N112="مرتجع",0,K112*IFERROR(INDEX(p_Cost,MATCH($F112,p_ID,0)),0))</f>
        <v>780</v>
      </c>
      <c r="Q112" s="84" t="n">
        <f aca="false">O112-P112</f>
        <v>570</v>
      </c>
      <c r="R112" s="86" t="n">
        <f aca="false">DATE(YEAR(B112),MONTH(B112),1)</f>
        <v>45931</v>
      </c>
      <c r="S112" s="83" t="str">
        <f aca="false">YEAR(B112)&amp;"-Q"&amp;ROUNDUP(MONTH(B112)/3,0)</f>
        <v>2025-Q4</v>
      </c>
      <c r="T112" s="87" t="n">
        <f aca="false">IF(O112&gt;0,Q112/O112,"")</f>
        <v>0.422222222222222</v>
      </c>
      <c r="U112" s="84" t="n">
        <f aca="false">IF(O112&gt;0,O112,"")</f>
        <v>1350</v>
      </c>
    </row>
    <row r="113" customFormat="false" ht="15" hidden="false" customHeight="false" outlineLevel="0" collapsed="false">
      <c r="A113" s="81" t="s">
        <v>756</v>
      </c>
      <c r="B113" s="82" t="n">
        <v>45960</v>
      </c>
      <c r="C113" s="81" t="s">
        <v>342</v>
      </c>
      <c r="D113" s="83" t="str">
        <f aca="false">IFERROR(INDEX(c_Name,MATCH($C113,c_ID,0)),"غير معرّف")</f>
        <v>دانة الحربي</v>
      </c>
      <c r="E113" s="83" t="str">
        <f aca="false">IFERROR(INDEX(c_Region,MATCH($C113,c_ID,0)),"غير معرّف")</f>
        <v>الشرقية</v>
      </c>
      <c r="F113" s="81" t="s">
        <v>178</v>
      </c>
      <c r="G113" s="83" t="str">
        <f aca="false">IFERROR(INDEX(p_Name,MATCH($F113,p_ID,0)),"غير معرّف")</f>
        <v>حقيبة لابتوب</v>
      </c>
      <c r="H113" s="83" t="str">
        <f aca="false">IFERROR(INDEX(p_Cat,MATCH($F113,p_ID,0)),"غير معرّف")</f>
        <v>مستلزمات مكتبية</v>
      </c>
      <c r="I113" s="81" t="s">
        <v>463</v>
      </c>
      <c r="J113" s="81" t="s">
        <v>91</v>
      </c>
      <c r="K113" s="81" t="n">
        <v>4</v>
      </c>
      <c r="L113" s="84" t="n">
        <f aca="false">IFERROR(INDEX(p_Price,MATCH($F113,p_ID,0)),0)</f>
        <v>260</v>
      </c>
      <c r="M113" s="85" t="n">
        <v>0.05</v>
      </c>
      <c r="N113" s="81" t="s">
        <v>644</v>
      </c>
      <c r="O113" s="84" t="n">
        <f aca="false">IF($N113="مرتجع",0,K113*L113*(1-M113))</f>
        <v>988</v>
      </c>
      <c r="P113" s="84" t="n">
        <f aca="false">IF($N113="مرتجع",0,K113*IFERROR(INDEX(p_Cost,MATCH($F113,p_ID,0)),0))</f>
        <v>480</v>
      </c>
      <c r="Q113" s="84" t="n">
        <f aca="false">O113-P113</f>
        <v>508</v>
      </c>
      <c r="R113" s="86" t="n">
        <f aca="false">DATE(YEAR(B113),MONTH(B113),1)</f>
        <v>45931</v>
      </c>
      <c r="S113" s="83" t="str">
        <f aca="false">YEAR(B113)&amp;"-Q"&amp;ROUNDUP(MONTH(B113)/3,0)</f>
        <v>2025-Q4</v>
      </c>
      <c r="T113" s="87" t="n">
        <f aca="false">IF(O113&gt;0,Q113/O113,"")</f>
        <v>0.51417004048583</v>
      </c>
      <c r="U113" s="84" t="n">
        <f aca="false">IF(O113&gt;0,O113,"")</f>
        <v>988</v>
      </c>
    </row>
    <row r="114" customFormat="false" ht="15" hidden="false" customHeight="false" outlineLevel="0" collapsed="false">
      <c r="A114" s="81" t="s">
        <v>757</v>
      </c>
      <c r="B114" s="82" t="n">
        <v>45960</v>
      </c>
      <c r="C114" s="81" t="s">
        <v>339</v>
      </c>
      <c r="D114" s="83" t="str">
        <f aca="false">IFERROR(INDEX(c_Name,MATCH($C114,c_ID,0)),"غير معرّف")</f>
        <v>خالد السبيعي</v>
      </c>
      <c r="E114" s="83" t="str">
        <f aca="false">IFERROR(INDEX(c_Region,MATCH($C114,c_ID,0)),"غير معرّف")</f>
        <v>الجنوبية</v>
      </c>
      <c r="F114" s="81" t="s">
        <v>174</v>
      </c>
      <c r="G114" s="83" t="str">
        <f aca="false">IFERROR(INDEX(p_Name,MATCH($F114,p_ID,0)),"غير معرّف")</f>
        <v>خزانة ملفات</v>
      </c>
      <c r="H114" s="83" t="str">
        <f aca="false">IFERROR(INDEX(p_Cat,MATCH($F114,p_ID,0)),"غير معرّف")</f>
        <v>أثاث</v>
      </c>
      <c r="I114" s="81" t="s">
        <v>467</v>
      </c>
      <c r="J114" s="81" t="s">
        <v>95</v>
      </c>
      <c r="K114" s="81" t="n">
        <v>18</v>
      </c>
      <c r="L114" s="84" t="n">
        <f aca="false">IFERROR(INDEX(p_Price,MATCH($F114,p_ID,0)),0)</f>
        <v>700</v>
      </c>
      <c r="M114" s="85" t="n">
        <v>0.1</v>
      </c>
      <c r="N114" s="81" t="s">
        <v>644</v>
      </c>
      <c r="O114" s="84" t="n">
        <f aca="false">IF($N114="مرتجع",0,K114*L114*(1-M114))</f>
        <v>11340</v>
      </c>
      <c r="P114" s="84" t="n">
        <f aca="false">IF($N114="مرتجع",0,K114*IFERROR(INDEX(p_Cost,MATCH($F114,p_ID,0)),0))</f>
        <v>7380</v>
      </c>
      <c r="Q114" s="84" t="n">
        <f aca="false">O114-P114</f>
        <v>3960</v>
      </c>
      <c r="R114" s="86" t="n">
        <f aca="false">DATE(YEAR(B114),MONTH(B114),1)</f>
        <v>45931</v>
      </c>
      <c r="S114" s="83" t="str">
        <f aca="false">YEAR(B114)&amp;"-Q"&amp;ROUNDUP(MONTH(B114)/3,0)</f>
        <v>2025-Q4</v>
      </c>
      <c r="T114" s="87" t="n">
        <f aca="false">IF(O114&gt;0,Q114/O114,"")</f>
        <v>0.349206349206349</v>
      </c>
      <c r="U114" s="84" t="n">
        <f aca="false">IF(O114&gt;0,O114,"")</f>
        <v>11340</v>
      </c>
    </row>
    <row r="115" customFormat="false" ht="15" hidden="false" customHeight="false" outlineLevel="0" collapsed="false">
      <c r="A115" s="81" t="s">
        <v>758</v>
      </c>
      <c r="B115" s="82" t="n">
        <v>45960</v>
      </c>
      <c r="C115" s="81" t="s">
        <v>281</v>
      </c>
      <c r="D115" s="83" t="str">
        <f aca="false">IFERROR(INDEX(c_Name,MATCH($C115,c_ID,0)),"غير معرّف")</f>
        <v>ريم الخالدي</v>
      </c>
      <c r="E115" s="83" t="str">
        <f aca="false">IFERROR(INDEX(c_Region,MATCH($C115,c_ID,0)),"غير معرّف")</f>
        <v>الوسطى</v>
      </c>
      <c r="F115" s="81" t="s">
        <v>185</v>
      </c>
      <c r="G115" s="83" t="str">
        <f aca="false">IFERROR(INDEX(p_Name,MATCH($F115,p_ID,0)),"غير معرّف")</f>
        <v>ماكينة حلاقة</v>
      </c>
      <c r="H115" s="83" t="str">
        <f aca="false">IFERROR(INDEX(p_Cat,MATCH($F115,p_ID,0)),"غير معرّف")</f>
        <v>عناية شخصية</v>
      </c>
      <c r="I115" s="81" t="s">
        <v>443</v>
      </c>
      <c r="J115" s="81" t="s">
        <v>91</v>
      </c>
      <c r="K115" s="81" t="n">
        <v>1</v>
      </c>
      <c r="L115" s="84" t="n">
        <f aca="false">IFERROR(INDEX(p_Price,MATCH($F115,p_ID,0)),0)</f>
        <v>340</v>
      </c>
      <c r="M115" s="85" t="n">
        <v>0.1</v>
      </c>
      <c r="N115" s="81" t="s">
        <v>644</v>
      </c>
      <c r="O115" s="84" t="n">
        <f aca="false">IF($N115="مرتجع",0,K115*L115*(1-M115))</f>
        <v>306</v>
      </c>
      <c r="P115" s="84" t="n">
        <f aca="false">IF($N115="مرتجع",0,K115*IFERROR(INDEX(p_Cost,MATCH($F115,p_ID,0)),0))</f>
        <v>170</v>
      </c>
      <c r="Q115" s="84" t="n">
        <f aca="false">O115-P115</f>
        <v>136</v>
      </c>
      <c r="R115" s="86" t="n">
        <f aca="false">DATE(YEAR(B115),MONTH(B115),1)</f>
        <v>45931</v>
      </c>
      <c r="S115" s="83" t="str">
        <f aca="false">YEAR(B115)&amp;"-Q"&amp;ROUNDUP(MONTH(B115)/3,0)</f>
        <v>2025-Q4</v>
      </c>
      <c r="T115" s="87" t="n">
        <f aca="false">IF(O115&gt;0,Q115/O115,"")</f>
        <v>0.444444444444444</v>
      </c>
      <c r="U115" s="84" t="n">
        <f aca="false">IF(O115&gt;0,O115,"")</f>
        <v>306</v>
      </c>
    </row>
    <row r="116" customFormat="false" ht="15" hidden="false" customHeight="false" outlineLevel="0" collapsed="false">
      <c r="A116" s="81" t="s">
        <v>759</v>
      </c>
      <c r="B116" s="82" t="n">
        <v>45960</v>
      </c>
      <c r="C116" s="81" t="s">
        <v>281</v>
      </c>
      <c r="D116" s="83" t="str">
        <f aca="false">IFERROR(INDEX(c_Name,MATCH($C116,c_ID,0)),"غير معرّف")</f>
        <v>ريم الخالدي</v>
      </c>
      <c r="E116" s="83" t="str">
        <f aca="false">IFERROR(INDEX(c_Region,MATCH($C116,c_ID,0)),"غير معرّف")</f>
        <v>الوسطى</v>
      </c>
      <c r="F116" s="81" t="s">
        <v>166</v>
      </c>
      <c r="G116" s="83" t="str">
        <f aca="false">IFERROR(INDEX(p_Name,MATCH($F116,p_ID,0)),"غير معرّف")</f>
        <v>سماعات لاسلكية</v>
      </c>
      <c r="H116" s="83" t="str">
        <f aca="false">IFERROR(INDEX(p_Cat,MATCH($F116,p_ID,0)),"غير معرّف")</f>
        <v>إلكترونيات</v>
      </c>
      <c r="I116" s="81" t="s">
        <v>443</v>
      </c>
      <c r="J116" s="81" t="s">
        <v>93</v>
      </c>
      <c r="K116" s="81" t="n">
        <v>1</v>
      </c>
      <c r="L116" s="84" t="n">
        <f aca="false">IFERROR(INDEX(p_Price,MATCH($F116,p_ID,0)),0)</f>
        <v>450</v>
      </c>
      <c r="M116" s="85" t="n">
        <v>0.1</v>
      </c>
      <c r="N116" s="81" t="s">
        <v>644</v>
      </c>
      <c r="O116" s="84" t="n">
        <f aca="false">IF($N116="مرتجع",0,K116*L116*(1-M116))</f>
        <v>405</v>
      </c>
      <c r="P116" s="84" t="n">
        <f aca="false">IF($N116="مرتجع",0,K116*IFERROR(INDEX(p_Cost,MATCH($F116,p_ID,0)),0))</f>
        <v>260</v>
      </c>
      <c r="Q116" s="84" t="n">
        <f aca="false">O116-P116</f>
        <v>145</v>
      </c>
      <c r="R116" s="86" t="n">
        <f aca="false">DATE(YEAR(B116),MONTH(B116),1)</f>
        <v>45931</v>
      </c>
      <c r="S116" s="83" t="str">
        <f aca="false">YEAR(B116)&amp;"-Q"&amp;ROUNDUP(MONTH(B116)/3,0)</f>
        <v>2025-Q4</v>
      </c>
      <c r="T116" s="87" t="n">
        <f aca="false">IF(O116&gt;0,Q116/O116,"")</f>
        <v>0.358024691358025</v>
      </c>
      <c r="U116" s="84" t="n">
        <f aca="false">IF(O116&gt;0,O116,"")</f>
        <v>405</v>
      </c>
    </row>
    <row r="117" customFormat="false" ht="15" hidden="false" customHeight="false" outlineLevel="0" collapsed="false">
      <c r="A117" s="81" t="s">
        <v>760</v>
      </c>
      <c r="B117" s="82" t="n">
        <v>45961</v>
      </c>
      <c r="C117" s="81" t="s">
        <v>334</v>
      </c>
      <c r="D117" s="83" t="str">
        <f aca="false">IFERROR(INDEX(c_Name,MATCH($C117,c_ID,0)),"غير معرّف")</f>
        <v>ناصر الغامدي</v>
      </c>
      <c r="E117" s="83" t="str">
        <f aca="false">IFERROR(INDEX(c_Region,MATCH($C117,c_ID,0)),"غير معرّف")</f>
        <v>الغربية</v>
      </c>
      <c r="F117" s="81" t="s">
        <v>171</v>
      </c>
      <c r="G117" s="83" t="str">
        <f aca="false">IFERROR(INDEX(p_Name,MATCH($F117,p_ID,0)),"غير معرّف")</f>
        <v>قلاية هوائية</v>
      </c>
      <c r="H117" s="83" t="str">
        <f aca="false">IFERROR(INDEX(p_Cat,MATCH($F117,p_ID,0)),"غير معرّف")</f>
        <v>أجهزة منزلية</v>
      </c>
      <c r="I117" s="81" t="s">
        <v>452</v>
      </c>
      <c r="J117" s="81" t="s">
        <v>91</v>
      </c>
      <c r="K117" s="81" t="n">
        <v>3</v>
      </c>
      <c r="L117" s="84" t="n">
        <f aca="false">IFERROR(INDEX(p_Price,MATCH($F117,p_ID,0)),0)</f>
        <v>520</v>
      </c>
      <c r="M117" s="85" t="n">
        <v>0.05</v>
      </c>
      <c r="N117" s="81" t="s">
        <v>644</v>
      </c>
      <c r="O117" s="84" t="n">
        <f aca="false">IF($N117="مرتجع",0,K117*L117*(1-M117))</f>
        <v>1482</v>
      </c>
      <c r="P117" s="84" t="n">
        <f aca="false">IF($N117="مرتجع",0,K117*IFERROR(INDEX(p_Cost,MATCH($F117,p_ID,0)),0))</f>
        <v>900</v>
      </c>
      <c r="Q117" s="84" t="n">
        <f aca="false">O117-P117</f>
        <v>582</v>
      </c>
      <c r="R117" s="86" t="n">
        <f aca="false">DATE(YEAR(B117),MONTH(B117),1)</f>
        <v>45931</v>
      </c>
      <c r="S117" s="83" t="str">
        <f aca="false">YEAR(B117)&amp;"-Q"&amp;ROUNDUP(MONTH(B117)/3,0)</f>
        <v>2025-Q4</v>
      </c>
      <c r="T117" s="87" t="n">
        <f aca="false">IF(O117&gt;0,Q117/O117,"")</f>
        <v>0.392712550607287</v>
      </c>
      <c r="U117" s="84" t="n">
        <f aca="false">IF(O117&gt;0,O117,"")</f>
        <v>1482</v>
      </c>
    </row>
    <row r="118" customFormat="false" ht="15" hidden="false" customHeight="false" outlineLevel="0" collapsed="false">
      <c r="A118" s="81" t="s">
        <v>761</v>
      </c>
      <c r="B118" s="82" t="n">
        <v>45961</v>
      </c>
      <c r="C118" s="81" t="s">
        <v>311</v>
      </c>
      <c r="D118" s="83" t="str">
        <f aca="false">IFERROR(INDEX(c_Name,MATCH($C118,c_ID,0)),"غير معرّف")</f>
        <v>لمى الحسيني</v>
      </c>
      <c r="E118" s="83" t="str">
        <f aca="false">IFERROR(INDEX(c_Region,MATCH($C118,c_ID,0)),"غير معرّف")</f>
        <v>الوسطى</v>
      </c>
      <c r="F118" s="81" t="s">
        <v>167</v>
      </c>
      <c r="G118" s="83" t="str">
        <f aca="false">IFERROR(INDEX(p_Name,MATCH($F118,p_ID,0)),"غير معرّف")</f>
        <v>شاشة 27 بوصة</v>
      </c>
      <c r="H118" s="83" t="str">
        <f aca="false">IFERROR(INDEX(p_Cat,MATCH($F118,p_ID,0)),"غير معرّف")</f>
        <v>إلكترونيات</v>
      </c>
      <c r="I118" s="81" t="s">
        <v>443</v>
      </c>
      <c r="J118" s="81" t="s">
        <v>93</v>
      </c>
      <c r="K118" s="81" t="n">
        <v>1</v>
      </c>
      <c r="L118" s="84" t="n">
        <f aca="false">IFERROR(INDEX(p_Price,MATCH($F118,p_ID,0)),0)</f>
        <v>1100</v>
      </c>
      <c r="M118" s="85" t="n">
        <v>0</v>
      </c>
      <c r="N118" s="81" t="s">
        <v>644</v>
      </c>
      <c r="O118" s="84" t="n">
        <f aca="false">IF($N118="مرتجع",0,K118*L118*(1-M118))</f>
        <v>1100</v>
      </c>
      <c r="P118" s="84" t="n">
        <f aca="false">IF($N118="مرتجع",0,K118*IFERROR(INDEX(p_Cost,MATCH($F118,p_ID,0)),0))</f>
        <v>780</v>
      </c>
      <c r="Q118" s="84" t="n">
        <f aca="false">O118-P118</f>
        <v>320</v>
      </c>
      <c r="R118" s="86" t="n">
        <f aca="false">DATE(YEAR(B118),MONTH(B118),1)</f>
        <v>45931</v>
      </c>
      <c r="S118" s="83" t="str">
        <f aca="false">YEAR(B118)&amp;"-Q"&amp;ROUNDUP(MONTH(B118)/3,0)</f>
        <v>2025-Q4</v>
      </c>
      <c r="T118" s="87" t="n">
        <f aca="false">IF(O118&gt;0,Q118/O118,"")</f>
        <v>0.290909090909091</v>
      </c>
      <c r="U118" s="84" t="n">
        <f aca="false">IF(O118&gt;0,O118,"")</f>
        <v>1100</v>
      </c>
    </row>
    <row r="119" customFormat="false" ht="15" hidden="false" customHeight="false" outlineLevel="0" collapsed="false">
      <c r="A119" s="81" t="s">
        <v>762</v>
      </c>
      <c r="B119" s="82" t="n">
        <v>45961</v>
      </c>
      <c r="C119" s="81" t="s">
        <v>333</v>
      </c>
      <c r="D119" s="83" t="str">
        <f aca="false">IFERROR(INDEX(c_Name,MATCH($C119,c_ID,0)),"غير معرّف")</f>
        <v>جود الحربي</v>
      </c>
      <c r="E119" s="83" t="str">
        <f aca="false">IFERROR(INDEX(c_Region,MATCH($C119,c_ID,0)),"غير معرّف")</f>
        <v>الوسطى</v>
      </c>
      <c r="F119" s="81" t="s">
        <v>173</v>
      </c>
      <c r="G119" s="83" t="str">
        <f aca="false">IFERROR(INDEX(p_Name,MATCH($F119,p_ID,0)),"غير معرّف")</f>
        <v>كرسي مريح</v>
      </c>
      <c r="H119" s="83" t="str">
        <f aca="false">IFERROR(INDEX(p_Cat,MATCH($F119,p_ID,0)),"غير معرّف")</f>
        <v>أثاث</v>
      </c>
      <c r="I119" s="81" t="s">
        <v>443</v>
      </c>
      <c r="J119" s="81" t="s">
        <v>91</v>
      </c>
      <c r="K119" s="81" t="n">
        <v>1</v>
      </c>
      <c r="L119" s="84" t="n">
        <f aca="false">IFERROR(INDEX(p_Price,MATCH($F119,p_ID,0)),0)</f>
        <v>850</v>
      </c>
      <c r="M119" s="85" t="n">
        <v>0</v>
      </c>
      <c r="N119" s="81" t="s">
        <v>644</v>
      </c>
      <c r="O119" s="84" t="n">
        <f aca="false">IF($N119="مرتجع",0,K119*L119*(1-M119))</f>
        <v>850</v>
      </c>
      <c r="P119" s="84" t="n">
        <f aca="false">IF($N119="مرتجع",0,K119*IFERROR(INDEX(p_Cost,MATCH($F119,p_ID,0)),0))</f>
        <v>480</v>
      </c>
      <c r="Q119" s="84" t="n">
        <f aca="false">O119-P119</f>
        <v>370</v>
      </c>
      <c r="R119" s="86" t="n">
        <f aca="false">DATE(YEAR(B119),MONTH(B119),1)</f>
        <v>45931</v>
      </c>
      <c r="S119" s="83" t="str">
        <f aca="false">YEAR(B119)&amp;"-Q"&amp;ROUNDUP(MONTH(B119)/3,0)</f>
        <v>2025-Q4</v>
      </c>
      <c r="T119" s="87" t="n">
        <f aca="false">IF(O119&gt;0,Q119/O119,"")</f>
        <v>0.435294117647059</v>
      </c>
      <c r="U119" s="84" t="n">
        <f aca="false">IF(O119&gt;0,O119,"")</f>
        <v>850</v>
      </c>
    </row>
    <row r="120" customFormat="false" ht="15" hidden="false" customHeight="false" outlineLevel="0" collapsed="false">
      <c r="A120" s="81" t="s">
        <v>763</v>
      </c>
      <c r="B120" s="82" t="n">
        <v>45961</v>
      </c>
      <c r="C120" s="81" t="s">
        <v>303</v>
      </c>
      <c r="D120" s="83" t="str">
        <f aca="false">IFERROR(INDEX(c_Name,MATCH($C120,c_ID,0)),"غير معرّف")</f>
        <v>ناصر الحسيني</v>
      </c>
      <c r="E120" s="83" t="str">
        <f aca="false">IFERROR(INDEX(c_Region,MATCH($C120,c_ID,0)),"غير معرّف")</f>
        <v>الشرقية</v>
      </c>
      <c r="F120" s="81" t="s">
        <v>184</v>
      </c>
      <c r="G120" s="83" t="str">
        <f aca="false">IFERROR(INDEX(p_Name,MATCH($F120,p_ID,0)),"غير معرّف")</f>
        <v>عطر فاخر</v>
      </c>
      <c r="H120" s="83" t="str">
        <f aca="false">IFERROR(INDEX(p_Cat,MATCH($F120,p_ID,0)),"غير معرّف")</f>
        <v>عناية شخصية</v>
      </c>
      <c r="I120" s="81" t="s">
        <v>461</v>
      </c>
      <c r="J120" s="81" t="s">
        <v>91</v>
      </c>
      <c r="K120" s="81" t="n">
        <v>1</v>
      </c>
      <c r="L120" s="84" t="n">
        <f aca="false">IFERROR(INDEX(p_Price,MATCH($F120,p_ID,0)),0)</f>
        <v>520</v>
      </c>
      <c r="M120" s="85" t="n">
        <v>0.05</v>
      </c>
      <c r="N120" s="81" t="s">
        <v>644</v>
      </c>
      <c r="O120" s="84" t="n">
        <f aca="false">IF($N120="مرتجع",0,K120*L120*(1-M120))</f>
        <v>494</v>
      </c>
      <c r="P120" s="84" t="n">
        <f aca="false">IF($N120="مرتجع",0,K120*IFERROR(INDEX(p_Cost,MATCH($F120,p_ID,0)),0))</f>
        <v>210</v>
      </c>
      <c r="Q120" s="84" t="n">
        <f aca="false">O120-P120</f>
        <v>284</v>
      </c>
      <c r="R120" s="86" t="n">
        <f aca="false">DATE(YEAR(B120),MONTH(B120),1)</f>
        <v>45931</v>
      </c>
      <c r="S120" s="83" t="str">
        <f aca="false">YEAR(B120)&amp;"-Q"&amp;ROUNDUP(MONTH(B120)/3,0)</f>
        <v>2025-Q4</v>
      </c>
      <c r="T120" s="87" t="n">
        <f aca="false">IF(O120&gt;0,Q120/O120,"")</f>
        <v>0.574898785425101</v>
      </c>
      <c r="U120" s="84" t="n">
        <f aca="false">IF(O120&gt;0,O120,"")</f>
        <v>494</v>
      </c>
    </row>
    <row r="121" customFormat="false" ht="15" hidden="false" customHeight="false" outlineLevel="0" collapsed="false">
      <c r="A121" s="81" t="s">
        <v>764</v>
      </c>
      <c r="B121" s="82" t="n">
        <v>45961</v>
      </c>
      <c r="C121" s="81" t="s">
        <v>403</v>
      </c>
      <c r="D121" s="83" t="str">
        <f aca="false">IFERROR(INDEX(c_Name,MATCH($C121,c_ID,0)),"غير معرّف")</f>
        <v>ياسر المطيري</v>
      </c>
      <c r="E121" s="83" t="str">
        <f aca="false">IFERROR(INDEX(c_Region,MATCH($C121,c_ID,0)),"غير معرّف")</f>
        <v>الجنوبية</v>
      </c>
      <c r="F121" s="81" t="s">
        <v>184</v>
      </c>
      <c r="G121" s="83" t="str">
        <f aca="false">IFERROR(INDEX(p_Name,MATCH($F121,p_ID,0)),"غير معرّف")</f>
        <v>عطر فاخر</v>
      </c>
      <c r="H121" s="83" t="str">
        <f aca="false">IFERROR(INDEX(p_Cat,MATCH($F121,p_ID,0)),"غير معرّف")</f>
        <v>عناية شخصية</v>
      </c>
      <c r="I121" s="81" t="s">
        <v>465</v>
      </c>
      <c r="J121" s="81" t="s">
        <v>93</v>
      </c>
      <c r="K121" s="81" t="n">
        <v>4</v>
      </c>
      <c r="L121" s="84" t="n">
        <f aca="false">IFERROR(INDEX(p_Price,MATCH($F121,p_ID,0)),0)</f>
        <v>520</v>
      </c>
      <c r="M121" s="85" t="n">
        <v>0.1</v>
      </c>
      <c r="N121" s="81" t="s">
        <v>644</v>
      </c>
      <c r="O121" s="84" t="n">
        <f aca="false">IF($N121="مرتجع",0,K121*L121*(1-M121))</f>
        <v>1872</v>
      </c>
      <c r="P121" s="84" t="n">
        <f aca="false">IF($N121="مرتجع",0,K121*IFERROR(INDEX(p_Cost,MATCH($F121,p_ID,0)),0))</f>
        <v>840</v>
      </c>
      <c r="Q121" s="84" t="n">
        <f aca="false">O121-P121</f>
        <v>1032</v>
      </c>
      <c r="R121" s="86" t="n">
        <f aca="false">DATE(YEAR(B121),MONTH(B121),1)</f>
        <v>45931</v>
      </c>
      <c r="S121" s="83" t="str">
        <f aca="false">YEAR(B121)&amp;"-Q"&amp;ROUNDUP(MONTH(B121)/3,0)</f>
        <v>2025-Q4</v>
      </c>
      <c r="T121" s="87" t="n">
        <f aca="false">IF(O121&gt;0,Q121/O121,"")</f>
        <v>0.551282051282051</v>
      </c>
      <c r="U121" s="84" t="n">
        <f aca="false">IF(O121&gt;0,O121,"")</f>
        <v>1872</v>
      </c>
    </row>
    <row r="122" customFormat="false" ht="15" hidden="false" customHeight="false" outlineLevel="0" collapsed="false">
      <c r="A122" s="81" t="s">
        <v>765</v>
      </c>
      <c r="B122" s="82" t="n">
        <v>45961</v>
      </c>
      <c r="C122" s="81" t="s">
        <v>338</v>
      </c>
      <c r="D122" s="83" t="str">
        <f aca="false">IFERROR(INDEX(c_Name,MATCH($C122,c_ID,0)),"غير معرّف")</f>
        <v>سارة الزهراني</v>
      </c>
      <c r="E122" s="83" t="str">
        <f aca="false">IFERROR(INDEX(c_Region,MATCH($C122,c_ID,0)),"غير معرّف")</f>
        <v>الغربية</v>
      </c>
      <c r="F122" s="81" t="s">
        <v>170</v>
      </c>
      <c r="G122" s="83" t="str">
        <f aca="false">IFERROR(INDEX(p_Name,MATCH($F122,p_ID,0)),"غير معرّف")</f>
        <v>مكيف نقال</v>
      </c>
      <c r="H122" s="83" t="str">
        <f aca="false">IFERROR(INDEX(p_Cat,MATCH($F122,p_ID,0)),"غير معرّف")</f>
        <v>أجهزة منزلية</v>
      </c>
      <c r="I122" s="81" t="s">
        <v>455</v>
      </c>
      <c r="J122" s="81" t="s">
        <v>91</v>
      </c>
      <c r="K122" s="81" t="n">
        <v>1</v>
      </c>
      <c r="L122" s="84" t="n">
        <f aca="false">IFERROR(INDEX(p_Price,MATCH($F122,p_ID,0)),0)</f>
        <v>1900</v>
      </c>
      <c r="M122" s="85" t="n">
        <v>0</v>
      </c>
      <c r="N122" s="81" t="s">
        <v>644</v>
      </c>
      <c r="O122" s="84" t="n">
        <f aca="false">IF($N122="مرتجع",0,K122*L122*(1-M122))</f>
        <v>1900</v>
      </c>
      <c r="P122" s="84" t="n">
        <f aca="false">IF($N122="مرتجع",0,K122*IFERROR(INDEX(p_Cost,MATCH($F122,p_ID,0)),0))</f>
        <v>1350</v>
      </c>
      <c r="Q122" s="84" t="n">
        <f aca="false">O122-P122</f>
        <v>550</v>
      </c>
      <c r="R122" s="86" t="n">
        <f aca="false">DATE(YEAR(B122),MONTH(B122),1)</f>
        <v>45931</v>
      </c>
      <c r="S122" s="83" t="str">
        <f aca="false">YEAR(B122)&amp;"-Q"&amp;ROUNDUP(MONTH(B122)/3,0)</f>
        <v>2025-Q4</v>
      </c>
      <c r="T122" s="87" t="n">
        <f aca="false">IF(O122&gt;0,Q122/O122,"")</f>
        <v>0.289473684210526</v>
      </c>
      <c r="U122" s="84" t="n">
        <f aca="false">IF(O122&gt;0,O122,"")</f>
        <v>1900</v>
      </c>
    </row>
    <row r="123" customFormat="false" ht="15" hidden="false" customHeight="false" outlineLevel="0" collapsed="false">
      <c r="A123" s="81" t="s">
        <v>766</v>
      </c>
      <c r="B123" s="82" t="n">
        <v>45961</v>
      </c>
      <c r="C123" s="81" t="s">
        <v>274</v>
      </c>
      <c r="D123" s="83" t="str">
        <f aca="false">IFERROR(INDEX(c_Name,MATCH($C123,c_ID,0)),"غير معرّف")</f>
        <v>سلمان الغامدي</v>
      </c>
      <c r="E123" s="83" t="str">
        <f aca="false">IFERROR(INDEX(c_Region,MATCH($C123,c_ID,0)),"غير معرّف")</f>
        <v>الوسطى</v>
      </c>
      <c r="F123" s="81" t="s">
        <v>179</v>
      </c>
      <c r="G123" s="83" t="str">
        <f aca="false">IFERROR(INDEX(p_Name,MATCH($F123,p_ID,0)),"غير معرّف")</f>
        <v>طقم أدوات مكتبية</v>
      </c>
      <c r="H123" s="83" t="str">
        <f aca="false">IFERROR(INDEX(p_Cat,MATCH($F123,p_ID,0)),"غير معرّف")</f>
        <v>مستلزمات مكتبية</v>
      </c>
      <c r="I123" s="81" t="s">
        <v>449</v>
      </c>
      <c r="J123" s="81" t="s">
        <v>91</v>
      </c>
      <c r="K123" s="81" t="n">
        <v>1</v>
      </c>
      <c r="L123" s="84" t="n">
        <f aca="false">IFERROR(INDEX(p_Price,MATCH($F123,p_ID,0)),0)</f>
        <v>90</v>
      </c>
      <c r="M123" s="85" t="n">
        <v>0.15</v>
      </c>
      <c r="N123" s="81" t="s">
        <v>644</v>
      </c>
      <c r="O123" s="84" t="n">
        <f aca="false">IF($N123="مرتجع",0,K123*L123*(1-M123))</f>
        <v>76.5</v>
      </c>
      <c r="P123" s="84" t="n">
        <f aca="false">IF($N123="مرتجع",0,K123*IFERROR(INDEX(p_Cost,MATCH($F123,p_ID,0)),0))</f>
        <v>45</v>
      </c>
      <c r="Q123" s="84" t="n">
        <f aca="false">O123-P123</f>
        <v>31.5</v>
      </c>
      <c r="R123" s="86" t="n">
        <f aca="false">DATE(YEAR(B123),MONTH(B123),1)</f>
        <v>45931</v>
      </c>
      <c r="S123" s="83" t="str">
        <f aca="false">YEAR(B123)&amp;"-Q"&amp;ROUNDUP(MONTH(B123)/3,0)</f>
        <v>2025-Q4</v>
      </c>
      <c r="T123" s="87" t="n">
        <f aca="false">IF(O123&gt;0,Q123/O123,"")</f>
        <v>0.411764705882353</v>
      </c>
      <c r="U123" s="84" t="n">
        <f aca="false">IF(O123&gt;0,O123,"")</f>
        <v>76.5</v>
      </c>
    </row>
    <row r="124" customFormat="false" ht="15" hidden="false" customHeight="false" outlineLevel="0" collapsed="false">
      <c r="A124" s="81" t="s">
        <v>767</v>
      </c>
      <c r="B124" s="82" t="n">
        <v>45962</v>
      </c>
      <c r="C124" s="81" t="s">
        <v>249</v>
      </c>
      <c r="D124" s="83" t="str">
        <f aca="false">IFERROR(INDEX(c_Name,MATCH($C124,c_ID,0)),"غير معرّف")</f>
        <v>ريم الحسيني</v>
      </c>
      <c r="E124" s="83" t="str">
        <f aca="false">IFERROR(INDEX(c_Region,MATCH($C124,c_ID,0)),"غير معرّف")</f>
        <v>الوسطى</v>
      </c>
      <c r="F124" s="81" t="s">
        <v>177</v>
      </c>
      <c r="G124" s="83" t="str">
        <f aca="false">IFERROR(INDEX(p_Name,MATCH($F124,p_ID,0)),"غير معرّف")</f>
        <v>ورق A4 (صندوق)</v>
      </c>
      <c r="H124" s="83" t="str">
        <f aca="false">IFERROR(INDEX(p_Cat,MATCH($F124,p_ID,0)),"غير معرّف")</f>
        <v>مستلزمات مكتبية</v>
      </c>
      <c r="I124" s="81" t="s">
        <v>449</v>
      </c>
      <c r="J124" s="81" t="s">
        <v>93</v>
      </c>
      <c r="K124" s="81" t="n">
        <v>1</v>
      </c>
      <c r="L124" s="84" t="n">
        <f aca="false">IFERROR(INDEX(p_Price,MATCH($F124,p_ID,0)),0)</f>
        <v>140</v>
      </c>
      <c r="M124" s="85" t="n">
        <v>0.15</v>
      </c>
      <c r="N124" s="81" t="s">
        <v>644</v>
      </c>
      <c r="O124" s="84" t="n">
        <f aca="false">IF($N124="مرتجع",0,K124*L124*(1-M124))</f>
        <v>119</v>
      </c>
      <c r="P124" s="84" t="n">
        <f aca="false">IF($N124="مرتجع",0,K124*IFERROR(INDEX(p_Cost,MATCH($F124,p_ID,0)),0))</f>
        <v>95</v>
      </c>
      <c r="Q124" s="84" t="n">
        <f aca="false">O124-P124</f>
        <v>24</v>
      </c>
      <c r="R124" s="86" t="n">
        <f aca="false">DATE(YEAR(B124),MONTH(B124),1)</f>
        <v>45962</v>
      </c>
      <c r="S124" s="83" t="str">
        <f aca="false">YEAR(B124)&amp;"-Q"&amp;ROUNDUP(MONTH(B124)/3,0)</f>
        <v>2025-Q4</v>
      </c>
      <c r="T124" s="87" t="n">
        <f aca="false">IF(O124&gt;0,Q124/O124,"")</f>
        <v>0.201680672268908</v>
      </c>
      <c r="U124" s="84" t="n">
        <f aca="false">IF(O124&gt;0,O124,"")</f>
        <v>119</v>
      </c>
    </row>
    <row r="125" customFormat="false" ht="15" hidden="false" customHeight="false" outlineLevel="0" collapsed="false">
      <c r="A125" s="81" t="s">
        <v>768</v>
      </c>
      <c r="B125" s="82" t="n">
        <v>45962</v>
      </c>
      <c r="C125" s="81" t="s">
        <v>418</v>
      </c>
      <c r="D125" s="83" t="str">
        <f aca="false">IFERROR(INDEX(c_Name,MATCH($C125,c_ID,0)),"غير معرّف")</f>
        <v>ياسر الزهراني</v>
      </c>
      <c r="E125" s="83" t="str">
        <f aca="false">IFERROR(INDEX(c_Region,MATCH($C125,c_ID,0)),"غير معرّف")</f>
        <v>الشرقية</v>
      </c>
      <c r="F125" s="81" t="s">
        <v>178</v>
      </c>
      <c r="G125" s="83" t="str">
        <f aca="false">IFERROR(INDEX(p_Name,MATCH($F125,p_ID,0)),"غير معرّف")</f>
        <v>حقيبة لابتوب</v>
      </c>
      <c r="H125" s="83" t="str">
        <f aca="false">IFERROR(INDEX(p_Cat,MATCH($F125,p_ID,0)),"غير معرّف")</f>
        <v>مستلزمات مكتبية</v>
      </c>
      <c r="I125" s="81" t="s">
        <v>463</v>
      </c>
      <c r="J125" s="81" t="s">
        <v>91</v>
      </c>
      <c r="K125" s="81" t="n">
        <v>6</v>
      </c>
      <c r="L125" s="84" t="n">
        <f aca="false">IFERROR(INDEX(p_Price,MATCH($F125,p_ID,0)),0)</f>
        <v>260</v>
      </c>
      <c r="M125" s="85" t="n">
        <v>0.15</v>
      </c>
      <c r="N125" s="81" t="s">
        <v>650</v>
      </c>
      <c r="O125" s="84" t="n">
        <f aca="false">IF($N125="مرتجع",0,K125*L125*(1-M125))</f>
        <v>0</v>
      </c>
      <c r="P125" s="84" t="n">
        <f aca="false">IF($N125="مرتجع",0,K125*IFERROR(INDEX(p_Cost,MATCH($F125,p_ID,0)),0))</f>
        <v>0</v>
      </c>
      <c r="Q125" s="84" t="n">
        <f aca="false">O125-P125</f>
        <v>0</v>
      </c>
      <c r="R125" s="86" t="n">
        <f aca="false">DATE(YEAR(B125),MONTH(B125),1)</f>
        <v>45962</v>
      </c>
      <c r="S125" s="83" t="str">
        <f aca="false">YEAR(B125)&amp;"-Q"&amp;ROUNDUP(MONTH(B125)/3,0)</f>
        <v>2025-Q4</v>
      </c>
      <c r="T125" s="87" t="str">
        <f aca="false">IF(O125&gt;0,Q125/O125,"")</f>
        <v/>
      </c>
      <c r="U125" s="84" t="str">
        <f aca="false">IF(O125&gt;0,O125,"")</f>
        <v/>
      </c>
    </row>
    <row r="126" customFormat="false" ht="15" hidden="false" customHeight="false" outlineLevel="0" collapsed="false">
      <c r="A126" s="81" t="s">
        <v>769</v>
      </c>
      <c r="B126" s="82" t="n">
        <v>45962</v>
      </c>
      <c r="C126" s="81" t="s">
        <v>311</v>
      </c>
      <c r="D126" s="83" t="str">
        <f aca="false">IFERROR(INDEX(c_Name,MATCH($C126,c_ID,0)),"غير معرّف")</f>
        <v>لمى الحسيني</v>
      </c>
      <c r="E126" s="83" t="str">
        <f aca="false">IFERROR(INDEX(c_Region,MATCH($C126,c_ID,0)),"غير معرّف")</f>
        <v>الوسطى</v>
      </c>
      <c r="F126" s="81" t="s">
        <v>166</v>
      </c>
      <c r="G126" s="83" t="str">
        <f aca="false">IFERROR(INDEX(p_Name,MATCH($F126,p_ID,0)),"غير معرّف")</f>
        <v>سماعات لاسلكية</v>
      </c>
      <c r="H126" s="83" t="str">
        <f aca="false">IFERROR(INDEX(p_Cat,MATCH($F126,p_ID,0)),"غير معرّف")</f>
        <v>إلكترونيات</v>
      </c>
      <c r="I126" s="81" t="s">
        <v>443</v>
      </c>
      <c r="J126" s="81" t="s">
        <v>93</v>
      </c>
      <c r="K126" s="81" t="n">
        <v>1</v>
      </c>
      <c r="L126" s="84" t="n">
        <f aca="false">IFERROR(INDEX(p_Price,MATCH($F126,p_ID,0)),0)</f>
        <v>450</v>
      </c>
      <c r="M126" s="85" t="n">
        <v>0.1</v>
      </c>
      <c r="N126" s="81" t="s">
        <v>644</v>
      </c>
      <c r="O126" s="84" t="n">
        <f aca="false">IF($N126="مرتجع",0,K126*L126*(1-M126))</f>
        <v>405</v>
      </c>
      <c r="P126" s="84" t="n">
        <f aca="false">IF($N126="مرتجع",0,K126*IFERROR(INDEX(p_Cost,MATCH($F126,p_ID,0)),0))</f>
        <v>260</v>
      </c>
      <c r="Q126" s="84" t="n">
        <f aca="false">O126-P126</f>
        <v>145</v>
      </c>
      <c r="R126" s="86" t="n">
        <f aca="false">DATE(YEAR(B126),MONTH(B126),1)</f>
        <v>45962</v>
      </c>
      <c r="S126" s="83" t="str">
        <f aca="false">YEAR(B126)&amp;"-Q"&amp;ROUNDUP(MONTH(B126)/3,0)</f>
        <v>2025-Q4</v>
      </c>
      <c r="T126" s="87" t="n">
        <f aca="false">IF(O126&gt;0,Q126/O126,"")</f>
        <v>0.358024691358025</v>
      </c>
      <c r="U126" s="84" t="n">
        <f aca="false">IF(O126&gt;0,O126,"")</f>
        <v>405</v>
      </c>
    </row>
    <row r="127" customFormat="false" ht="15" hidden="false" customHeight="false" outlineLevel="0" collapsed="false">
      <c r="A127" s="81" t="s">
        <v>770</v>
      </c>
      <c r="B127" s="82" t="n">
        <v>45962</v>
      </c>
      <c r="C127" s="81" t="s">
        <v>423</v>
      </c>
      <c r="D127" s="83" t="str">
        <f aca="false">IFERROR(INDEX(c_Name,MATCH($C127,c_ID,0)),"غير معرّف")</f>
        <v>ناصر المطيري</v>
      </c>
      <c r="E127" s="83" t="str">
        <f aca="false">IFERROR(INDEX(c_Region,MATCH($C127,c_ID,0)),"غير معرّف")</f>
        <v>الغربية</v>
      </c>
      <c r="F127" s="81" t="s">
        <v>174</v>
      </c>
      <c r="G127" s="83" t="str">
        <f aca="false">IFERROR(INDEX(p_Name,MATCH($F127,p_ID,0)),"غير معرّف")</f>
        <v>خزانة ملفات</v>
      </c>
      <c r="H127" s="83" t="str">
        <f aca="false">IFERROR(INDEX(p_Cat,MATCH($F127,p_ID,0)),"غير معرّف")</f>
        <v>أثاث</v>
      </c>
      <c r="I127" s="81" t="s">
        <v>458</v>
      </c>
      <c r="J127" s="81" t="s">
        <v>91</v>
      </c>
      <c r="K127" s="81" t="n">
        <v>1</v>
      </c>
      <c r="L127" s="84" t="n">
        <f aca="false">IFERROR(INDEX(p_Price,MATCH($F127,p_ID,0)),0)</f>
        <v>700</v>
      </c>
      <c r="M127" s="85" t="n">
        <v>0</v>
      </c>
      <c r="N127" s="81" t="s">
        <v>650</v>
      </c>
      <c r="O127" s="84" t="n">
        <f aca="false">IF($N127="مرتجع",0,K127*L127*(1-M127))</f>
        <v>0</v>
      </c>
      <c r="P127" s="84" t="n">
        <f aca="false">IF($N127="مرتجع",0,K127*IFERROR(INDEX(p_Cost,MATCH($F127,p_ID,0)),0))</f>
        <v>0</v>
      </c>
      <c r="Q127" s="84" t="n">
        <f aca="false">O127-P127</f>
        <v>0</v>
      </c>
      <c r="R127" s="86" t="n">
        <f aca="false">DATE(YEAR(B127),MONTH(B127),1)</f>
        <v>45962</v>
      </c>
      <c r="S127" s="83" t="str">
        <f aca="false">YEAR(B127)&amp;"-Q"&amp;ROUNDUP(MONTH(B127)/3,0)</f>
        <v>2025-Q4</v>
      </c>
      <c r="T127" s="87" t="str">
        <f aca="false">IF(O127&gt;0,Q127/O127,"")</f>
        <v/>
      </c>
      <c r="U127" s="84" t="str">
        <f aca="false">IF(O127&gt;0,O127,"")</f>
        <v/>
      </c>
    </row>
    <row r="128" customFormat="false" ht="15" hidden="false" customHeight="false" outlineLevel="0" collapsed="false">
      <c r="A128" s="81" t="s">
        <v>771</v>
      </c>
      <c r="B128" s="82" t="n">
        <v>45962</v>
      </c>
      <c r="C128" s="81" t="s">
        <v>368</v>
      </c>
      <c r="D128" s="83" t="str">
        <f aca="false">IFERROR(INDEX(c_Name,MATCH($C128,c_ID,0)),"غير معرّف")</f>
        <v>خالد الحربي</v>
      </c>
      <c r="E128" s="83" t="str">
        <f aca="false">IFERROR(INDEX(c_Region,MATCH($C128,c_ID,0)),"غير معرّف")</f>
        <v>الغربية</v>
      </c>
      <c r="F128" s="81" t="s">
        <v>170</v>
      </c>
      <c r="G128" s="83" t="str">
        <f aca="false">IFERROR(INDEX(p_Name,MATCH($F128,p_ID,0)),"غير معرّف")</f>
        <v>مكيف نقال</v>
      </c>
      <c r="H128" s="83" t="str">
        <f aca="false">IFERROR(INDEX(p_Cat,MATCH($F128,p_ID,0)),"غير معرّف")</f>
        <v>أجهزة منزلية</v>
      </c>
      <c r="I128" s="81" t="s">
        <v>458</v>
      </c>
      <c r="J128" s="81" t="s">
        <v>93</v>
      </c>
      <c r="K128" s="81" t="n">
        <v>1</v>
      </c>
      <c r="L128" s="84" t="n">
        <f aca="false">IFERROR(INDEX(p_Price,MATCH($F128,p_ID,0)),0)</f>
        <v>1900</v>
      </c>
      <c r="M128" s="85" t="n">
        <v>0.05</v>
      </c>
      <c r="N128" s="81" t="s">
        <v>644</v>
      </c>
      <c r="O128" s="84" t="n">
        <f aca="false">IF($N128="مرتجع",0,K128*L128*(1-M128))</f>
        <v>1805</v>
      </c>
      <c r="P128" s="84" t="n">
        <f aca="false">IF($N128="مرتجع",0,K128*IFERROR(INDEX(p_Cost,MATCH($F128,p_ID,0)),0))</f>
        <v>1350</v>
      </c>
      <c r="Q128" s="84" t="n">
        <f aca="false">O128-P128</f>
        <v>455</v>
      </c>
      <c r="R128" s="86" t="n">
        <f aca="false">DATE(YEAR(B128),MONTH(B128),1)</f>
        <v>45962</v>
      </c>
      <c r="S128" s="83" t="str">
        <f aca="false">YEAR(B128)&amp;"-Q"&amp;ROUNDUP(MONTH(B128)/3,0)</f>
        <v>2025-Q4</v>
      </c>
      <c r="T128" s="87" t="n">
        <f aca="false">IF(O128&gt;0,Q128/O128,"")</f>
        <v>0.25207756232687</v>
      </c>
      <c r="U128" s="84" t="n">
        <f aca="false">IF(O128&gt;0,O128,"")</f>
        <v>1805</v>
      </c>
    </row>
    <row r="129" customFormat="false" ht="15" hidden="false" customHeight="false" outlineLevel="0" collapsed="false">
      <c r="A129" s="81" t="s">
        <v>772</v>
      </c>
      <c r="B129" s="82" t="n">
        <v>45963</v>
      </c>
      <c r="C129" s="81" t="s">
        <v>425</v>
      </c>
      <c r="D129" s="83" t="str">
        <f aca="false">IFERROR(INDEX(c_Name,MATCH($C129,c_ID,0)),"غير معرّف")</f>
        <v>عبدالله الشمري</v>
      </c>
      <c r="E129" s="83" t="str">
        <f aca="false">IFERROR(INDEX(c_Region,MATCH($C129,c_ID,0)),"غير معرّف")</f>
        <v>الجنوبية</v>
      </c>
      <c r="F129" s="81" t="s">
        <v>185</v>
      </c>
      <c r="G129" s="83" t="str">
        <f aca="false">IFERROR(INDEX(p_Name,MATCH($F129,p_ID,0)),"غير معرّف")</f>
        <v>ماكينة حلاقة</v>
      </c>
      <c r="H129" s="83" t="str">
        <f aca="false">IFERROR(INDEX(p_Cat,MATCH($F129,p_ID,0)),"غير معرّف")</f>
        <v>عناية شخصية</v>
      </c>
      <c r="I129" s="81" t="s">
        <v>465</v>
      </c>
      <c r="J129" s="81" t="s">
        <v>91</v>
      </c>
      <c r="K129" s="81" t="n">
        <v>1</v>
      </c>
      <c r="L129" s="84" t="n">
        <f aca="false">IFERROR(INDEX(p_Price,MATCH($F129,p_ID,0)),0)</f>
        <v>340</v>
      </c>
      <c r="M129" s="85" t="n">
        <v>0.05</v>
      </c>
      <c r="N129" s="81" t="s">
        <v>644</v>
      </c>
      <c r="O129" s="84" t="n">
        <f aca="false">IF($N129="مرتجع",0,K129*L129*(1-M129))</f>
        <v>323</v>
      </c>
      <c r="P129" s="84" t="n">
        <f aca="false">IF($N129="مرتجع",0,K129*IFERROR(INDEX(p_Cost,MATCH($F129,p_ID,0)),0))</f>
        <v>170</v>
      </c>
      <c r="Q129" s="84" t="n">
        <f aca="false">O129-P129</f>
        <v>153</v>
      </c>
      <c r="R129" s="86" t="n">
        <f aca="false">DATE(YEAR(B129),MONTH(B129),1)</f>
        <v>45962</v>
      </c>
      <c r="S129" s="83" t="str">
        <f aca="false">YEAR(B129)&amp;"-Q"&amp;ROUNDUP(MONTH(B129)/3,0)</f>
        <v>2025-Q4</v>
      </c>
      <c r="T129" s="87" t="n">
        <f aca="false">IF(O129&gt;0,Q129/O129,"")</f>
        <v>0.473684210526316</v>
      </c>
      <c r="U129" s="84" t="n">
        <f aca="false">IF(O129&gt;0,O129,"")</f>
        <v>323</v>
      </c>
    </row>
    <row r="130" customFormat="false" ht="15" hidden="false" customHeight="false" outlineLevel="0" collapsed="false">
      <c r="A130" s="81" t="s">
        <v>773</v>
      </c>
      <c r="B130" s="82" t="n">
        <v>45963</v>
      </c>
      <c r="C130" s="81" t="s">
        <v>306</v>
      </c>
      <c r="D130" s="83" t="str">
        <f aca="false">IFERROR(INDEX(c_Name,MATCH($C130,c_ID,0)),"غير معرّف")</f>
        <v>أحمد العنزي</v>
      </c>
      <c r="E130" s="83" t="str">
        <f aca="false">IFERROR(INDEX(c_Region,MATCH($C130,c_ID,0)),"غير معرّف")</f>
        <v>الغربية</v>
      </c>
      <c r="F130" s="81" t="s">
        <v>178</v>
      </c>
      <c r="G130" s="83" t="str">
        <f aca="false">IFERROR(INDEX(p_Name,MATCH($F130,p_ID,0)),"غير معرّف")</f>
        <v>حقيبة لابتوب</v>
      </c>
      <c r="H130" s="83" t="str">
        <f aca="false">IFERROR(INDEX(p_Cat,MATCH($F130,p_ID,0)),"غير معرّف")</f>
        <v>مستلزمات مكتبية</v>
      </c>
      <c r="I130" s="81" t="s">
        <v>452</v>
      </c>
      <c r="J130" s="81" t="s">
        <v>91</v>
      </c>
      <c r="K130" s="81" t="n">
        <v>1</v>
      </c>
      <c r="L130" s="84" t="n">
        <f aca="false">IFERROR(INDEX(p_Price,MATCH($F130,p_ID,0)),0)</f>
        <v>260</v>
      </c>
      <c r="M130" s="85" t="n">
        <v>0.2</v>
      </c>
      <c r="N130" s="81" t="s">
        <v>644</v>
      </c>
      <c r="O130" s="84" t="n">
        <f aca="false">IF($N130="مرتجع",0,K130*L130*(1-M130))</f>
        <v>208</v>
      </c>
      <c r="P130" s="84" t="n">
        <f aca="false">IF($N130="مرتجع",0,K130*IFERROR(INDEX(p_Cost,MATCH($F130,p_ID,0)),0))</f>
        <v>120</v>
      </c>
      <c r="Q130" s="84" t="n">
        <f aca="false">O130-P130</f>
        <v>88</v>
      </c>
      <c r="R130" s="86" t="n">
        <f aca="false">DATE(YEAR(B130),MONTH(B130),1)</f>
        <v>45962</v>
      </c>
      <c r="S130" s="83" t="str">
        <f aca="false">YEAR(B130)&amp;"-Q"&amp;ROUNDUP(MONTH(B130)/3,0)</f>
        <v>2025-Q4</v>
      </c>
      <c r="T130" s="87" t="n">
        <f aca="false">IF(O130&gt;0,Q130/O130,"")</f>
        <v>0.423076923076923</v>
      </c>
      <c r="U130" s="84" t="n">
        <f aca="false">IF(O130&gt;0,O130,"")</f>
        <v>208</v>
      </c>
    </row>
    <row r="131" customFormat="false" ht="15" hidden="false" customHeight="false" outlineLevel="0" collapsed="false">
      <c r="A131" s="81" t="s">
        <v>774</v>
      </c>
      <c r="B131" s="82" t="n">
        <v>45963</v>
      </c>
      <c r="C131" s="81" t="s">
        <v>257</v>
      </c>
      <c r="D131" s="83" t="str">
        <f aca="false">IFERROR(INDEX(c_Name,MATCH($C131,c_ID,0)),"غير معرّف")</f>
        <v>عبير السبيعي</v>
      </c>
      <c r="E131" s="83" t="str">
        <f aca="false">IFERROR(INDEX(c_Region,MATCH($C131,c_ID,0)),"غير معرّف")</f>
        <v>الغربية</v>
      </c>
      <c r="F131" s="81" t="s">
        <v>185</v>
      </c>
      <c r="G131" s="83" t="str">
        <f aca="false">IFERROR(INDEX(p_Name,MATCH($F131,p_ID,0)),"غير معرّف")</f>
        <v>ماكينة حلاقة</v>
      </c>
      <c r="H131" s="83" t="str">
        <f aca="false">IFERROR(INDEX(p_Cat,MATCH($F131,p_ID,0)),"غير معرّف")</f>
        <v>عناية شخصية</v>
      </c>
      <c r="I131" s="81" t="s">
        <v>452</v>
      </c>
      <c r="J131" s="81" t="s">
        <v>93</v>
      </c>
      <c r="K131" s="81" t="n">
        <v>1</v>
      </c>
      <c r="L131" s="84" t="n">
        <f aca="false">IFERROR(INDEX(p_Price,MATCH($F131,p_ID,0)),0)</f>
        <v>340</v>
      </c>
      <c r="M131" s="85" t="n">
        <v>0.2</v>
      </c>
      <c r="N131" s="81" t="s">
        <v>644</v>
      </c>
      <c r="O131" s="84" t="n">
        <f aca="false">IF($N131="مرتجع",0,K131*L131*(1-M131))</f>
        <v>272</v>
      </c>
      <c r="P131" s="84" t="n">
        <f aca="false">IF($N131="مرتجع",0,K131*IFERROR(INDEX(p_Cost,MATCH($F131,p_ID,0)),0))</f>
        <v>170</v>
      </c>
      <c r="Q131" s="84" t="n">
        <f aca="false">O131-P131</f>
        <v>102</v>
      </c>
      <c r="R131" s="86" t="n">
        <f aca="false">DATE(YEAR(B131),MONTH(B131),1)</f>
        <v>45962</v>
      </c>
      <c r="S131" s="83" t="str">
        <f aca="false">YEAR(B131)&amp;"-Q"&amp;ROUNDUP(MONTH(B131)/3,0)</f>
        <v>2025-Q4</v>
      </c>
      <c r="T131" s="87" t="n">
        <f aca="false">IF(O131&gt;0,Q131/O131,"")</f>
        <v>0.375</v>
      </c>
      <c r="U131" s="84" t="n">
        <f aca="false">IF(O131&gt;0,O131,"")</f>
        <v>272</v>
      </c>
    </row>
    <row r="132" customFormat="false" ht="15" hidden="false" customHeight="false" outlineLevel="0" collapsed="false">
      <c r="A132" s="81" t="s">
        <v>775</v>
      </c>
      <c r="B132" s="82" t="n">
        <v>45963</v>
      </c>
      <c r="C132" s="81" t="s">
        <v>334</v>
      </c>
      <c r="D132" s="83" t="str">
        <f aca="false">IFERROR(INDEX(c_Name,MATCH($C132,c_ID,0)),"غير معرّف")</f>
        <v>ناصر الغامدي</v>
      </c>
      <c r="E132" s="83" t="str">
        <f aca="false">IFERROR(INDEX(c_Region,MATCH($C132,c_ID,0)),"غير معرّف")</f>
        <v>الغربية</v>
      </c>
      <c r="F132" s="81" t="s">
        <v>184</v>
      </c>
      <c r="G132" s="83" t="str">
        <f aca="false">IFERROR(INDEX(p_Name,MATCH($F132,p_ID,0)),"غير معرّف")</f>
        <v>عطر فاخر</v>
      </c>
      <c r="H132" s="83" t="str">
        <f aca="false">IFERROR(INDEX(p_Cat,MATCH($F132,p_ID,0)),"غير معرّف")</f>
        <v>عناية شخصية</v>
      </c>
      <c r="I132" s="81" t="s">
        <v>452</v>
      </c>
      <c r="J132" s="81" t="s">
        <v>91</v>
      </c>
      <c r="K132" s="81" t="n">
        <v>1</v>
      </c>
      <c r="L132" s="84" t="n">
        <f aca="false">IFERROR(INDEX(p_Price,MATCH($F132,p_ID,0)),0)</f>
        <v>520</v>
      </c>
      <c r="M132" s="85" t="n">
        <v>0.15</v>
      </c>
      <c r="N132" s="81" t="s">
        <v>644</v>
      </c>
      <c r="O132" s="84" t="n">
        <f aca="false">IF($N132="مرتجع",0,K132*L132*(1-M132))</f>
        <v>442</v>
      </c>
      <c r="P132" s="84" t="n">
        <f aca="false">IF($N132="مرتجع",0,K132*IFERROR(INDEX(p_Cost,MATCH($F132,p_ID,0)),0))</f>
        <v>210</v>
      </c>
      <c r="Q132" s="84" t="n">
        <f aca="false">O132-P132</f>
        <v>232</v>
      </c>
      <c r="R132" s="86" t="n">
        <f aca="false">DATE(YEAR(B132),MONTH(B132),1)</f>
        <v>45962</v>
      </c>
      <c r="S132" s="83" t="str">
        <f aca="false">YEAR(B132)&amp;"-Q"&amp;ROUNDUP(MONTH(B132)/3,0)</f>
        <v>2025-Q4</v>
      </c>
      <c r="T132" s="87" t="n">
        <f aca="false">IF(O132&gt;0,Q132/O132,"")</f>
        <v>0.524886877828054</v>
      </c>
      <c r="U132" s="84" t="n">
        <f aca="false">IF(O132&gt;0,O132,"")</f>
        <v>442</v>
      </c>
    </row>
    <row r="133" customFormat="false" ht="15" hidden="false" customHeight="false" outlineLevel="0" collapsed="false">
      <c r="A133" s="81" t="s">
        <v>776</v>
      </c>
      <c r="B133" s="82" t="n">
        <v>45963</v>
      </c>
      <c r="C133" s="81" t="s">
        <v>301</v>
      </c>
      <c r="D133" s="83" t="str">
        <f aca="false">IFERROR(INDEX(c_Name,MATCH($C133,c_ID,0)),"غير معرّف")</f>
        <v>أحمد الغامدي</v>
      </c>
      <c r="E133" s="83" t="str">
        <f aca="false">IFERROR(INDEX(c_Region,MATCH($C133,c_ID,0)),"غير معرّف")</f>
        <v>الشرقية</v>
      </c>
      <c r="F133" s="81" t="s">
        <v>174</v>
      </c>
      <c r="G133" s="83" t="str">
        <f aca="false">IFERROR(INDEX(p_Name,MATCH($F133,p_ID,0)),"غير معرّف")</f>
        <v>خزانة ملفات</v>
      </c>
      <c r="H133" s="83" t="str">
        <f aca="false">IFERROR(INDEX(p_Cat,MATCH($F133,p_ID,0)),"غير معرّف")</f>
        <v>أثاث</v>
      </c>
      <c r="I133" s="81" t="s">
        <v>463</v>
      </c>
      <c r="J133" s="81" t="s">
        <v>93</v>
      </c>
      <c r="K133" s="81" t="n">
        <v>2</v>
      </c>
      <c r="L133" s="84" t="n">
        <f aca="false">IFERROR(INDEX(p_Price,MATCH($F133,p_ID,0)),0)</f>
        <v>700</v>
      </c>
      <c r="M133" s="85" t="n">
        <v>0.05</v>
      </c>
      <c r="N133" s="81" t="s">
        <v>644</v>
      </c>
      <c r="O133" s="84" t="n">
        <f aca="false">IF($N133="مرتجع",0,K133*L133*(1-M133))</f>
        <v>1330</v>
      </c>
      <c r="P133" s="84" t="n">
        <f aca="false">IF($N133="مرتجع",0,K133*IFERROR(INDEX(p_Cost,MATCH($F133,p_ID,0)),0))</f>
        <v>820</v>
      </c>
      <c r="Q133" s="84" t="n">
        <f aca="false">O133-P133</f>
        <v>510</v>
      </c>
      <c r="R133" s="86" t="n">
        <f aca="false">DATE(YEAR(B133),MONTH(B133),1)</f>
        <v>45962</v>
      </c>
      <c r="S133" s="83" t="str">
        <f aca="false">YEAR(B133)&amp;"-Q"&amp;ROUNDUP(MONTH(B133)/3,0)</f>
        <v>2025-Q4</v>
      </c>
      <c r="T133" s="87" t="n">
        <f aca="false">IF(O133&gt;0,Q133/O133,"")</f>
        <v>0.383458646616541</v>
      </c>
      <c r="U133" s="84" t="n">
        <f aca="false">IF(O133&gt;0,O133,"")</f>
        <v>1330</v>
      </c>
    </row>
    <row r="134" customFormat="false" ht="15" hidden="false" customHeight="false" outlineLevel="0" collapsed="false">
      <c r="A134" s="81" t="s">
        <v>777</v>
      </c>
      <c r="B134" s="82" t="n">
        <v>45963</v>
      </c>
      <c r="C134" s="81" t="s">
        <v>366</v>
      </c>
      <c r="D134" s="83" t="str">
        <f aca="false">IFERROR(INDEX(c_Name,MATCH($C134,c_ID,0)),"غير معرّف")</f>
        <v>ناصر العتيبي</v>
      </c>
      <c r="E134" s="83" t="str">
        <f aca="false">IFERROR(INDEX(c_Region,MATCH($C134,c_ID,0)),"غير معرّف")</f>
        <v>الغربية</v>
      </c>
      <c r="F134" s="81" t="s">
        <v>165</v>
      </c>
      <c r="G134" s="83" t="str">
        <f aca="false">IFERROR(INDEX(p_Name,MATCH($F134,p_ID,0)),"غير معرّف")</f>
        <v>حاسوب محمول</v>
      </c>
      <c r="H134" s="83" t="str">
        <f aca="false">IFERROR(INDEX(p_Cat,MATCH($F134,p_ID,0)),"غير معرّف")</f>
        <v>إلكترونيات</v>
      </c>
      <c r="I134" s="81" t="s">
        <v>458</v>
      </c>
      <c r="J134" s="81" t="s">
        <v>93</v>
      </c>
      <c r="K134" s="81" t="n">
        <v>1</v>
      </c>
      <c r="L134" s="84" t="n">
        <f aca="false">IFERROR(INDEX(p_Price,MATCH($F134,p_ID,0)),0)</f>
        <v>3800</v>
      </c>
      <c r="M134" s="85" t="n">
        <v>0.15</v>
      </c>
      <c r="N134" s="81" t="s">
        <v>644</v>
      </c>
      <c r="O134" s="84" t="n">
        <f aca="false">IF($N134="مرتجع",0,K134*L134*(1-M134))</f>
        <v>3230</v>
      </c>
      <c r="P134" s="84" t="n">
        <f aca="false">IF($N134="مرتجع",0,K134*IFERROR(INDEX(p_Cost,MATCH($F134,p_ID,0)),0))</f>
        <v>2900</v>
      </c>
      <c r="Q134" s="84" t="n">
        <f aca="false">O134-P134</f>
        <v>330</v>
      </c>
      <c r="R134" s="86" t="n">
        <f aca="false">DATE(YEAR(B134),MONTH(B134),1)</f>
        <v>45962</v>
      </c>
      <c r="S134" s="83" t="str">
        <f aca="false">YEAR(B134)&amp;"-Q"&amp;ROUNDUP(MONTH(B134)/3,0)</f>
        <v>2025-Q4</v>
      </c>
      <c r="T134" s="87" t="n">
        <f aca="false">IF(O134&gt;0,Q134/O134,"")</f>
        <v>0.102167182662539</v>
      </c>
      <c r="U134" s="84" t="n">
        <f aca="false">IF(O134&gt;0,O134,"")</f>
        <v>3230</v>
      </c>
    </row>
    <row r="135" customFormat="false" ht="15" hidden="false" customHeight="false" outlineLevel="0" collapsed="false">
      <c r="A135" s="81" t="s">
        <v>778</v>
      </c>
      <c r="B135" s="82" t="n">
        <v>45963</v>
      </c>
      <c r="C135" s="81" t="s">
        <v>330</v>
      </c>
      <c r="D135" s="83" t="str">
        <f aca="false">IFERROR(INDEX(c_Name,MATCH($C135,c_ID,0)),"غير معرّف")</f>
        <v>سارة السبيعي</v>
      </c>
      <c r="E135" s="83" t="str">
        <f aca="false">IFERROR(INDEX(c_Region,MATCH($C135,c_ID,0)),"غير معرّف")</f>
        <v>الشرقية</v>
      </c>
      <c r="F135" s="81" t="s">
        <v>172</v>
      </c>
      <c r="G135" s="83" t="str">
        <f aca="false">IFERROR(INDEX(p_Name,MATCH($F135,p_ID,0)),"غير معرّف")</f>
        <v>مكتب عمل</v>
      </c>
      <c r="H135" s="83" t="str">
        <f aca="false">IFERROR(INDEX(p_Cat,MATCH($F135,p_ID,0)),"غير معرّف")</f>
        <v>أثاث</v>
      </c>
      <c r="I135" s="81" t="s">
        <v>461</v>
      </c>
      <c r="J135" s="81" t="s">
        <v>95</v>
      </c>
      <c r="K135" s="81" t="n">
        <v>5</v>
      </c>
      <c r="L135" s="84" t="n">
        <f aca="false">IFERROR(INDEX(p_Price,MATCH($F135,p_ID,0)),0)</f>
        <v>1200</v>
      </c>
      <c r="M135" s="85" t="n">
        <v>0.1</v>
      </c>
      <c r="N135" s="81" t="s">
        <v>644</v>
      </c>
      <c r="O135" s="84" t="n">
        <f aca="false">IF($N135="مرتجع",0,K135*L135*(1-M135))</f>
        <v>5400</v>
      </c>
      <c r="P135" s="84" t="n">
        <f aca="false">IF($N135="مرتجع",0,K135*IFERROR(INDEX(p_Cost,MATCH($F135,p_ID,0)),0))</f>
        <v>3500</v>
      </c>
      <c r="Q135" s="84" t="n">
        <f aca="false">O135-P135</f>
        <v>1900</v>
      </c>
      <c r="R135" s="86" t="n">
        <f aca="false">DATE(YEAR(B135),MONTH(B135),1)</f>
        <v>45962</v>
      </c>
      <c r="S135" s="83" t="str">
        <f aca="false">YEAR(B135)&amp;"-Q"&amp;ROUNDUP(MONTH(B135)/3,0)</f>
        <v>2025-Q4</v>
      </c>
      <c r="T135" s="87" t="n">
        <f aca="false">IF(O135&gt;0,Q135/O135,"")</f>
        <v>0.351851851851852</v>
      </c>
      <c r="U135" s="84" t="n">
        <f aca="false">IF(O135&gt;0,O135,"")</f>
        <v>5400</v>
      </c>
    </row>
    <row r="136" customFormat="false" ht="15" hidden="false" customHeight="false" outlineLevel="0" collapsed="false">
      <c r="A136" s="81" t="s">
        <v>779</v>
      </c>
      <c r="B136" s="82" t="n">
        <v>45964</v>
      </c>
      <c r="C136" s="81" t="s">
        <v>272</v>
      </c>
      <c r="D136" s="83" t="str">
        <f aca="false">IFERROR(INDEX(c_Name,MATCH($C136,c_ID,0)),"غير معرّف")</f>
        <v>عبدالله البلوي</v>
      </c>
      <c r="E136" s="83" t="str">
        <f aca="false">IFERROR(INDEX(c_Region,MATCH($C136,c_ID,0)),"غير معرّف")</f>
        <v>الشرقية</v>
      </c>
      <c r="F136" s="81" t="s">
        <v>167</v>
      </c>
      <c r="G136" s="83" t="str">
        <f aca="false">IFERROR(INDEX(p_Name,MATCH($F136,p_ID,0)),"غير معرّف")</f>
        <v>شاشة 27 بوصة</v>
      </c>
      <c r="H136" s="83" t="str">
        <f aca="false">IFERROR(INDEX(p_Cat,MATCH($F136,p_ID,0)),"غير معرّف")</f>
        <v>إلكترونيات</v>
      </c>
      <c r="I136" s="81" t="s">
        <v>463</v>
      </c>
      <c r="J136" s="81" t="s">
        <v>93</v>
      </c>
      <c r="K136" s="81" t="n">
        <v>2</v>
      </c>
      <c r="L136" s="84" t="n">
        <f aca="false">IFERROR(INDEX(p_Price,MATCH($F136,p_ID,0)),0)</f>
        <v>1100</v>
      </c>
      <c r="M136" s="85" t="n">
        <v>0.2</v>
      </c>
      <c r="N136" s="81" t="s">
        <v>644</v>
      </c>
      <c r="O136" s="84" t="n">
        <f aca="false">IF($N136="مرتجع",0,K136*L136*(1-M136))</f>
        <v>1760</v>
      </c>
      <c r="P136" s="84" t="n">
        <f aca="false">IF($N136="مرتجع",0,K136*IFERROR(INDEX(p_Cost,MATCH($F136,p_ID,0)),0))</f>
        <v>1560</v>
      </c>
      <c r="Q136" s="84" t="n">
        <f aca="false">O136-P136</f>
        <v>200</v>
      </c>
      <c r="R136" s="86" t="n">
        <f aca="false">DATE(YEAR(B136),MONTH(B136),1)</f>
        <v>45962</v>
      </c>
      <c r="S136" s="83" t="str">
        <f aca="false">YEAR(B136)&amp;"-Q"&amp;ROUNDUP(MONTH(B136)/3,0)</f>
        <v>2025-Q4</v>
      </c>
      <c r="T136" s="87" t="n">
        <f aca="false">IF(O136&gt;0,Q136/O136,"")</f>
        <v>0.113636363636364</v>
      </c>
      <c r="U136" s="84" t="n">
        <f aca="false">IF(O136&gt;0,O136,"")</f>
        <v>1760</v>
      </c>
    </row>
    <row r="137" customFormat="false" ht="15" hidden="false" customHeight="false" outlineLevel="0" collapsed="false">
      <c r="A137" s="81" t="s">
        <v>780</v>
      </c>
      <c r="B137" s="82" t="n">
        <v>45964</v>
      </c>
      <c r="C137" s="81" t="s">
        <v>380</v>
      </c>
      <c r="D137" s="83" t="str">
        <f aca="false">IFERROR(INDEX(c_Name,MATCH($C137,c_ID,0)),"غير معرّف")</f>
        <v>عبدالله الغامدي</v>
      </c>
      <c r="E137" s="83" t="str">
        <f aca="false">IFERROR(INDEX(c_Region,MATCH($C137,c_ID,0)),"غير معرّف")</f>
        <v>الوسطى</v>
      </c>
      <c r="F137" s="81" t="s">
        <v>171</v>
      </c>
      <c r="G137" s="83" t="str">
        <f aca="false">IFERROR(INDEX(p_Name,MATCH($F137,p_ID,0)),"غير معرّف")</f>
        <v>قلاية هوائية</v>
      </c>
      <c r="H137" s="83" t="str">
        <f aca="false">IFERROR(INDEX(p_Cat,MATCH($F137,p_ID,0)),"غير معرّف")</f>
        <v>أجهزة منزلية</v>
      </c>
      <c r="I137" s="81" t="s">
        <v>449</v>
      </c>
      <c r="J137" s="81" t="s">
        <v>93</v>
      </c>
      <c r="K137" s="81" t="n">
        <v>2</v>
      </c>
      <c r="L137" s="84" t="n">
        <f aca="false">IFERROR(INDEX(p_Price,MATCH($F137,p_ID,0)),0)</f>
        <v>520</v>
      </c>
      <c r="M137" s="85" t="n">
        <v>0.1</v>
      </c>
      <c r="N137" s="81" t="s">
        <v>644</v>
      </c>
      <c r="O137" s="84" t="n">
        <f aca="false">IF($N137="مرتجع",0,K137*L137*(1-M137))</f>
        <v>936</v>
      </c>
      <c r="P137" s="84" t="n">
        <f aca="false">IF($N137="مرتجع",0,K137*IFERROR(INDEX(p_Cost,MATCH($F137,p_ID,0)),0))</f>
        <v>600</v>
      </c>
      <c r="Q137" s="84" t="n">
        <f aca="false">O137-P137</f>
        <v>336</v>
      </c>
      <c r="R137" s="86" t="n">
        <f aca="false">DATE(YEAR(B137),MONTH(B137),1)</f>
        <v>45962</v>
      </c>
      <c r="S137" s="83" t="str">
        <f aca="false">YEAR(B137)&amp;"-Q"&amp;ROUNDUP(MONTH(B137)/3,0)</f>
        <v>2025-Q4</v>
      </c>
      <c r="T137" s="87" t="n">
        <f aca="false">IF(O137&gt;0,Q137/O137,"")</f>
        <v>0.358974358974359</v>
      </c>
      <c r="U137" s="84" t="n">
        <f aca="false">IF(O137&gt;0,O137,"")</f>
        <v>936</v>
      </c>
    </row>
    <row r="138" customFormat="false" ht="15" hidden="false" customHeight="false" outlineLevel="0" collapsed="false">
      <c r="A138" s="81" t="s">
        <v>781</v>
      </c>
      <c r="B138" s="82" t="n">
        <v>45964</v>
      </c>
      <c r="C138" s="81" t="s">
        <v>403</v>
      </c>
      <c r="D138" s="83" t="str">
        <f aca="false">IFERROR(INDEX(c_Name,MATCH($C138,c_ID,0)),"غير معرّف")</f>
        <v>ياسر المطيري</v>
      </c>
      <c r="E138" s="83" t="str">
        <f aca="false">IFERROR(INDEX(c_Region,MATCH($C138,c_ID,0)),"غير معرّف")</f>
        <v>الجنوبية</v>
      </c>
      <c r="F138" s="81" t="s">
        <v>169</v>
      </c>
      <c r="G138" s="83" t="str">
        <f aca="false">IFERROR(INDEX(p_Name,MATCH($F138,p_ID,0)),"غير معرّف")</f>
        <v>خلاط</v>
      </c>
      <c r="H138" s="83" t="str">
        <f aca="false">IFERROR(INDEX(p_Cat,MATCH($F138,p_ID,0)),"غير معرّف")</f>
        <v>أجهزة منزلية</v>
      </c>
      <c r="I138" s="81" t="s">
        <v>465</v>
      </c>
      <c r="J138" s="81" t="s">
        <v>91</v>
      </c>
      <c r="K138" s="81" t="n">
        <v>2</v>
      </c>
      <c r="L138" s="84" t="n">
        <f aca="false">IFERROR(INDEX(p_Price,MATCH($F138,p_ID,0)),0)</f>
        <v>300</v>
      </c>
      <c r="M138" s="85" t="n">
        <v>0.15</v>
      </c>
      <c r="N138" s="81" t="s">
        <v>644</v>
      </c>
      <c r="O138" s="84" t="n">
        <f aca="false">IF($N138="مرتجع",0,K138*L138*(1-M138))</f>
        <v>510</v>
      </c>
      <c r="P138" s="84" t="n">
        <f aca="false">IF($N138="مرتجع",0,K138*IFERROR(INDEX(p_Cost,MATCH($F138,p_ID,0)),0))</f>
        <v>350</v>
      </c>
      <c r="Q138" s="84" t="n">
        <f aca="false">O138-P138</f>
        <v>160</v>
      </c>
      <c r="R138" s="86" t="n">
        <f aca="false">DATE(YEAR(B138),MONTH(B138),1)</f>
        <v>45962</v>
      </c>
      <c r="S138" s="83" t="str">
        <f aca="false">YEAR(B138)&amp;"-Q"&amp;ROUNDUP(MONTH(B138)/3,0)</f>
        <v>2025-Q4</v>
      </c>
      <c r="T138" s="87" t="n">
        <f aca="false">IF(O138&gt;0,Q138/O138,"")</f>
        <v>0.313725490196078</v>
      </c>
      <c r="U138" s="84" t="n">
        <f aca="false">IF(O138&gt;0,O138,"")</f>
        <v>510</v>
      </c>
    </row>
    <row r="139" customFormat="false" ht="15" hidden="false" customHeight="false" outlineLevel="0" collapsed="false">
      <c r="A139" s="81" t="s">
        <v>782</v>
      </c>
      <c r="B139" s="82" t="n">
        <v>45964</v>
      </c>
      <c r="C139" s="81" t="s">
        <v>337</v>
      </c>
      <c r="D139" s="83" t="str">
        <f aca="false">IFERROR(INDEX(c_Name,MATCH($C139,c_ID,0)),"غير معرّف")</f>
        <v>ليلى السبيعي</v>
      </c>
      <c r="E139" s="83" t="str">
        <f aca="false">IFERROR(INDEX(c_Region,MATCH($C139,c_ID,0)),"غير معرّف")</f>
        <v>الجنوبية</v>
      </c>
      <c r="F139" s="81" t="s">
        <v>185</v>
      </c>
      <c r="G139" s="83" t="str">
        <f aca="false">IFERROR(INDEX(p_Name,MATCH($F139,p_ID,0)),"غير معرّف")</f>
        <v>ماكينة حلاقة</v>
      </c>
      <c r="H139" s="83" t="str">
        <f aca="false">IFERROR(INDEX(p_Cat,MATCH($F139,p_ID,0)),"غير معرّف")</f>
        <v>عناية شخصية</v>
      </c>
      <c r="I139" s="81" t="s">
        <v>465</v>
      </c>
      <c r="J139" s="81" t="s">
        <v>91</v>
      </c>
      <c r="K139" s="81" t="n">
        <v>2</v>
      </c>
      <c r="L139" s="84" t="n">
        <f aca="false">IFERROR(INDEX(p_Price,MATCH($F139,p_ID,0)),0)</f>
        <v>340</v>
      </c>
      <c r="M139" s="85" t="n">
        <v>0.15</v>
      </c>
      <c r="N139" s="81" t="s">
        <v>644</v>
      </c>
      <c r="O139" s="84" t="n">
        <f aca="false">IF($N139="مرتجع",0,K139*L139*(1-M139))</f>
        <v>578</v>
      </c>
      <c r="P139" s="84" t="n">
        <f aca="false">IF($N139="مرتجع",0,K139*IFERROR(INDEX(p_Cost,MATCH($F139,p_ID,0)),0))</f>
        <v>340</v>
      </c>
      <c r="Q139" s="84" t="n">
        <f aca="false">O139-P139</f>
        <v>238</v>
      </c>
      <c r="R139" s="86" t="n">
        <f aca="false">DATE(YEAR(B139),MONTH(B139),1)</f>
        <v>45962</v>
      </c>
      <c r="S139" s="83" t="str">
        <f aca="false">YEAR(B139)&amp;"-Q"&amp;ROUNDUP(MONTH(B139)/3,0)</f>
        <v>2025-Q4</v>
      </c>
      <c r="T139" s="87" t="n">
        <f aca="false">IF(O139&gt;0,Q139/O139,"")</f>
        <v>0.411764705882353</v>
      </c>
      <c r="U139" s="84" t="n">
        <f aca="false">IF(O139&gt;0,O139,"")</f>
        <v>578</v>
      </c>
    </row>
    <row r="140" customFormat="false" ht="15" hidden="false" customHeight="false" outlineLevel="0" collapsed="false">
      <c r="A140" s="81" t="s">
        <v>783</v>
      </c>
      <c r="B140" s="82" t="n">
        <v>45964</v>
      </c>
      <c r="C140" s="81" t="s">
        <v>350</v>
      </c>
      <c r="D140" s="83" t="str">
        <f aca="false">IFERROR(INDEX(c_Name,MATCH($C140,c_ID,0)),"غير معرّف")</f>
        <v>نورة التميمي</v>
      </c>
      <c r="E140" s="83" t="str">
        <f aca="false">IFERROR(INDEX(c_Region,MATCH($C140,c_ID,0)),"غير معرّف")</f>
        <v>الغربية</v>
      </c>
      <c r="F140" s="81" t="s">
        <v>165</v>
      </c>
      <c r="G140" s="83" t="str">
        <f aca="false">IFERROR(INDEX(p_Name,MATCH($F140,p_ID,0)),"غير معرّف")</f>
        <v>حاسوب محمول</v>
      </c>
      <c r="H140" s="83" t="str">
        <f aca="false">IFERROR(INDEX(p_Cat,MATCH($F140,p_ID,0)),"غير معرّف")</f>
        <v>إلكترونيات</v>
      </c>
      <c r="I140" s="81" t="s">
        <v>458</v>
      </c>
      <c r="J140" s="81" t="s">
        <v>93</v>
      </c>
      <c r="K140" s="81" t="n">
        <v>1</v>
      </c>
      <c r="L140" s="84" t="n">
        <f aca="false">IFERROR(INDEX(p_Price,MATCH($F140,p_ID,0)),0)</f>
        <v>3800</v>
      </c>
      <c r="M140" s="85" t="n">
        <v>0.2</v>
      </c>
      <c r="N140" s="81" t="s">
        <v>644</v>
      </c>
      <c r="O140" s="84" t="n">
        <f aca="false">IF($N140="مرتجع",0,K140*L140*(1-M140))</f>
        <v>3040</v>
      </c>
      <c r="P140" s="84" t="n">
        <f aca="false">IF($N140="مرتجع",0,K140*IFERROR(INDEX(p_Cost,MATCH($F140,p_ID,0)),0))</f>
        <v>2900</v>
      </c>
      <c r="Q140" s="84" t="n">
        <f aca="false">O140-P140</f>
        <v>140</v>
      </c>
      <c r="R140" s="86" t="n">
        <f aca="false">DATE(YEAR(B140),MONTH(B140),1)</f>
        <v>45962</v>
      </c>
      <c r="S140" s="83" t="str">
        <f aca="false">YEAR(B140)&amp;"-Q"&amp;ROUNDUP(MONTH(B140)/3,0)</f>
        <v>2025-Q4</v>
      </c>
      <c r="T140" s="87" t="n">
        <f aca="false">IF(O140&gt;0,Q140/O140,"")</f>
        <v>0.0460526315789474</v>
      </c>
      <c r="U140" s="84" t="n">
        <f aca="false">IF(O140&gt;0,O140,"")</f>
        <v>3040</v>
      </c>
    </row>
    <row r="141" customFormat="false" ht="15" hidden="false" customHeight="false" outlineLevel="0" collapsed="false">
      <c r="A141" s="81" t="s">
        <v>784</v>
      </c>
      <c r="B141" s="82" t="n">
        <v>45964</v>
      </c>
      <c r="C141" s="81" t="s">
        <v>414</v>
      </c>
      <c r="D141" s="83" t="str">
        <f aca="false">IFERROR(INDEX(c_Name,MATCH($C141,c_ID,0)),"غير معرّف")</f>
        <v>هند المطيري</v>
      </c>
      <c r="E141" s="83" t="str">
        <f aca="false">IFERROR(INDEX(c_Region,MATCH($C141,c_ID,0)),"غير معرّف")</f>
        <v>الشرقية</v>
      </c>
      <c r="F141" s="81" t="s">
        <v>181</v>
      </c>
      <c r="G141" s="83" t="str">
        <f aca="false">IFERROR(INDEX(p_Name,MATCH($F141,p_ID,0)),"غير معرّف")</f>
        <v>دراجة ثابتة</v>
      </c>
      <c r="H141" s="83" t="str">
        <f aca="false">IFERROR(INDEX(p_Cat,MATCH($F141,p_ID,0)),"غير معرّف")</f>
        <v>رياضة</v>
      </c>
      <c r="I141" s="81" t="s">
        <v>463</v>
      </c>
      <c r="J141" s="81" t="s">
        <v>93</v>
      </c>
      <c r="K141" s="81" t="n">
        <v>1</v>
      </c>
      <c r="L141" s="84" t="n">
        <f aca="false">IFERROR(INDEX(p_Price,MATCH($F141,p_ID,0)),0)</f>
        <v>1800</v>
      </c>
      <c r="M141" s="85" t="n">
        <v>0.05</v>
      </c>
      <c r="N141" s="81" t="s">
        <v>644</v>
      </c>
      <c r="O141" s="84" t="n">
        <f aca="false">IF($N141="مرتجع",0,K141*L141*(1-M141))</f>
        <v>1710</v>
      </c>
      <c r="P141" s="84" t="n">
        <f aca="false">IF($N141="مرتجع",0,K141*IFERROR(INDEX(p_Cost,MATCH($F141,p_ID,0)),0))</f>
        <v>1200</v>
      </c>
      <c r="Q141" s="84" t="n">
        <f aca="false">O141-P141</f>
        <v>510</v>
      </c>
      <c r="R141" s="86" t="n">
        <f aca="false">DATE(YEAR(B141),MONTH(B141),1)</f>
        <v>45962</v>
      </c>
      <c r="S141" s="83" t="str">
        <f aca="false">YEAR(B141)&amp;"-Q"&amp;ROUNDUP(MONTH(B141)/3,0)</f>
        <v>2025-Q4</v>
      </c>
      <c r="T141" s="87" t="n">
        <f aca="false">IF(O141&gt;0,Q141/O141,"")</f>
        <v>0.298245614035088</v>
      </c>
      <c r="U141" s="84" t="n">
        <f aca="false">IF(O141&gt;0,O141,"")</f>
        <v>1710</v>
      </c>
    </row>
    <row r="142" customFormat="false" ht="15" hidden="false" customHeight="false" outlineLevel="0" collapsed="false">
      <c r="A142" s="81" t="s">
        <v>785</v>
      </c>
      <c r="B142" s="82" t="n">
        <v>45964</v>
      </c>
      <c r="C142" s="81" t="s">
        <v>386</v>
      </c>
      <c r="D142" s="83" t="str">
        <f aca="false">IFERROR(INDEX(c_Name,MATCH($C142,c_ID,0)),"غير معرّف")</f>
        <v>نورة الشمري</v>
      </c>
      <c r="E142" s="83" t="str">
        <f aca="false">IFERROR(INDEX(c_Region,MATCH($C142,c_ID,0)),"غير معرّف")</f>
        <v>الغربية</v>
      </c>
      <c r="F142" s="81" t="s">
        <v>166</v>
      </c>
      <c r="G142" s="83" t="str">
        <f aca="false">IFERROR(INDEX(p_Name,MATCH($F142,p_ID,0)),"غير معرّف")</f>
        <v>سماعات لاسلكية</v>
      </c>
      <c r="H142" s="83" t="str">
        <f aca="false">IFERROR(INDEX(p_Cat,MATCH($F142,p_ID,0)),"غير معرّف")</f>
        <v>إلكترونيات</v>
      </c>
      <c r="I142" s="81" t="s">
        <v>452</v>
      </c>
      <c r="J142" s="81" t="s">
        <v>93</v>
      </c>
      <c r="K142" s="81" t="n">
        <v>2</v>
      </c>
      <c r="L142" s="84" t="n">
        <f aca="false">IFERROR(INDEX(p_Price,MATCH($F142,p_ID,0)),0)</f>
        <v>450</v>
      </c>
      <c r="M142" s="85" t="n">
        <v>0.2</v>
      </c>
      <c r="N142" s="81" t="s">
        <v>644</v>
      </c>
      <c r="O142" s="84" t="n">
        <f aca="false">IF($N142="مرتجع",0,K142*L142*(1-M142))</f>
        <v>720</v>
      </c>
      <c r="P142" s="84" t="n">
        <f aca="false">IF($N142="مرتجع",0,K142*IFERROR(INDEX(p_Cost,MATCH($F142,p_ID,0)),0))</f>
        <v>520</v>
      </c>
      <c r="Q142" s="84" t="n">
        <f aca="false">O142-P142</f>
        <v>200</v>
      </c>
      <c r="R142" s="86" t="n">
        <f aca="false">DATE(YEAR(B142),MONTH(B142),1)</f>
        <v>45962</v>
      </c>
      <c r="S142" s="83" t="str">
        <f aca="false">YEAR(B142)&amp;"-Q"&amp;ROUNDUP(MONTH(B142)/3,0)</f>
        <v>2025-Q4</v>
      </c>
      <c r="T142" s="87" t="n">
        <f aca="false">IF(O142&gt;0,Q142/O142,"")</f>
        <v>0.277777777777778</v>
      </c>
      <c r="U142" s="84" t="n">
        <f aca="false">IF(O142&gt;0,O142,"")</f>
        <v>720</v>
      </c>
    </row>
    <row r="143" customFormat="false" ht="15" hidden="false" customHeight="false" outlineLevel="0" collapsed="false">
      <c r="A143" s="81" t="s">
        <v>786</v>
      </c>
      <c r="B143" s="82" t="n">
        <v>45964</v>
      </c>
      <c r="C143" s="81" t="s">
        <v>392</v>
      </c>
      <c r="D143" s="83" t="str">
        <f aca="false">IFERROR(INDEX(c_Name,MATCH($C143,c_ID,0)),"غير معرّف")</f>
        <v>ريم الزهراني</v>
      </c>
      <c r="E143" s="83" t="str">
        <f aca="false">IFERROR(INDEX(c_Region,MATCH($C143,c_ID,0)),"غير معرّف")</f>
        <v>الوسطى</v>
      </c>
      <c r="F143" s="81" t="s">
        <v>171</v>
      </c>
      <c r="G143" s="83" t="str">
        <f aca="false">IFERROR(INDEX(p_Name,MATCH($F143,p_ID,0)),"غير معرّف")</f>
        <v>قلاية هوائية</v>
      </c>
      <c r="H143" s="83" t="str">
        <f aca="false">IFERROR(INDEX(p_Cat,MATCH($F143,p_ID,0)),"غير معرّف")</f>
        <v>أجهزة منزلية</v>
      </c>
      <c r="I143" s="81" t="s">
        <v>449</v>
      </c>
      <c r="J143" s="81" t="s">
        <v>91</v>
      </c>
      <c r="K143" s="81" t="n">
        <v>1</v>
      </c>
      <c r="L143" s="84" t="n">
        <f aca="false">IFERROR(INDEX(p_Price,MATCH($F143,p_ID,0)),0)</f>
        <v>520</v>
      </c>
      <c r="M143" s="85" t="n">
        <v>0.15</v>
      </c>
      <c r="N143" s="81" t="s">
        <v>644</v>
      </c>
      <c r="O143" s="84" t="n">
        <f aca="false">IF($N143="مرتجع",0,K143*L143*(1-M143))</f>
        <v>442</v>
      </c>
      <c r="P143" s="84" t="n">
        <f aca="false">IF($N143="مرتجع",0,K143*IFERROR(INDEX(p_Cost,MATCH($F143,p_ID,0)),0))</f>
        <v>300</v>
      </c>
      <c r="Q143" s="84" t="n">
        <f aca="false">O143-P143</f>
        <v>142</v>
      </c>
      <c r="R143" s="86" t="n">
        <f aca="false">DATE(YEAR(B143),MONTH(B143),1)</f>
        <v>45962</v>
      </c>
      <c r="S143" s="83" t="str">
        <f aca="false">YEAR(B143)&amp;"-Q"&amp;ROUNDUP(MONTH(B143)/3,0)</f>
        <v>2025-Q4</v>
      </c>
      <c r="T143" s="87" t="n">
        <f aca="false">IF(O143&gt;0,Q143/O143,"")</f>
        <v>0.321266968325792</v>
      </c>
      <c r="U143" s="84" t="n">
        <f aca="false">IF(O143&gt;0,O143,"")</f>
        <v>442</v>
      </c>
    </row>
    <row r="144" customFormat="false" ht="15" hidden="false" customHeight="false" outlineLevel="0" collapsed="false">
      <c r="A144" s="81" t="s">
        <v>787</v>
      </c>
      <c r="B144" s="82" t="n">
        <v>45964</v>
      </c>
      <c r="C144" s="81" t="s">
        <v>332</v>
      </c>
      <c r="D144" s="83" t="str">
        <f aca="false">IFERROR(INDEX(c_Name,MATCH($C144,c_ID,0)),"غير معرّف")</f>
        <v>ليلى الحسيني</v>
      </c>
      <c r="E144" s="83" t="str">
        <f aca="false">IFERROR(INDEX(c_Region,MATCH($C144,c_ID,0)),"غير معرّف")</f>
        <v>الشرقية</v>
      </c>
      <c r="F144" s="81" t="s">
        <v>175</v>
      </c>
      <c r="G144" s="83" t="str">
        <f aca="false">IFERROR(INDEX(p_Name,MATCH($F144,p_ID,0)),"غير معرّف")</f>
        <v>رف كتب</v>
      </c>
      <c r="H144" s="83" t="str">
        <f aca="false">IFERROR(INDEX(p_Cat,MATCH($F144,p_ID,0)),"غير معرّف")</f>
        <v>أثاث</v>
      </c>
      <c r="I144" s="81" t="s">
        <v>463</v>
      </c>
      <c r="J144" s="81" t="s">
        <v>93</v>
      </c>
      <c r="K144" s="81" t="n">
        <v>2</v>
      </c>
      <c r="L144" s="84" t="n">
        <f aca="false">IFERROR(INDEX(p_Price,MATCH($F144,p_ID,0)),0)</f>
        <v>400</v>
      </c>
      <c r="M144" s="85" t="n">
        <v>0</v>
      </c>
      <c r="N144" s="81" t="s">
        <v>644</v>
      </c>
      <c r="O144" s="84" t="n">
        <f aca="false">IF($N144="مرتجع",0,K144*L144*(1-M144))</f>
        <v>800</v>
      </c>
      <c r="P144" s="84" t="n">
        <f aca="false">IF($N144="مرتجع",0,K144*IFERROR(INDEX(p_Cost,MATCH($F144,p_ID,0)),0))</f>
        <v>440</v>
      </c>
      <c r="Q144" s="84" t="n">
        <f aca="false">O144-P144</f>
        <v>360</v>
      </c>
      <c r="R144" s="86" t="n">
        <f aca="false">DATE(YEAR(B144),MONTH(B144),1)</f>
        <v>45962</v>
      </c>
      <c r="S144" s="83" t="str">
        <f aca="false">YEAR(B144)&amp;"-Q"&amp;ROUNDUP(MONTH(B144)/3,0)</f>
        <v>2025-Q4</v>
      </c>
      <c r="T144" s="87" t="n">
        <f aca="false">IF(O144&gt;0,Q144/O144,"")</f>
        <v>0.45</v>
      </c>
      <c r="U144" s="84" t="n">
        <f aca="false">IF(O144&gt;0,O144,"")</f>
        <v>800</v>
      </c>
    </row>
    <row r="145" customFormat="false" ht="15" hidden="false" customHeight="false" outlineLevel="0" collapsed="false">
      <c r="A145" s="81" t="s">
        <v>788</v>
      </c>
      <c r="B145" s="82" t="n">
        <v>45965</v>
      </c>
      <c r="C145" s="81" t="s">
        <v>274</v>
      </c>
      <c r="D145" s="83" t="str">
        <f aca="false">IFERROR(INDEX(c_Name,MATCH($C145,c_ID,0)),"غير معرّف")</f>
        <v>سلمان الغامدي</v>
      </c>
      <c r="E145" s="83" t="str">
        <f aca="false">IFERROR(INDEX(c_Region,MATCH($C145,c_ID,0)),"غير معرّف")</f>
        <v>الوسطى</v>
      </c>
      <c r="F145" s="81" t="s">
        <v>167</v>
      </c>
      <c r="G145" s="83" t="str">
        <f aca="false">IFERROR(INDEX(p_Name,MATCH($F145,p_ID,0)),"غير معرّف")</f>
        <v>شاشة 27 بوصة</v>
      </c>
      <c r="H145" s="83" t="str">
        <f aca="false">IFERROR(INDEX(p_Cat,MATCH($F145,p_ID,0)),"غير معرّف")</f>
        <v>إلكترونيات</v>
      </c>
      <c r="I145" s="81" t="s">
        <v>446</v>
      </c>
      <c r="J145" s="81" t="s">
        <v>93</v>
      </c>
      <c r="K145" s="81" t="n">
        <v>1</v>
      </c>
      <c r="L145" s="84" t="n">
        <f aca="false">IFERROR(INDEX(p_Price,MATCH($F145,p_ID,0)),0)</f>
        <v>1100</v>
      </c>
      <c r="M145" s="85" t="n">
        <v>0.1</v>
      </c>
      <c r="N145" s="81" t="s">
        <v>644</v>
      </c>
      <c r="O145" s="84" t="n">
        <f aca="false">IF($N145="مرتجع",0,K145*L145*(1-M145))</f>
        <v>990</v>
      </c>
      <c r="P145" s="84" t="n">
        <f aca="false">IF($N145="مرتجع",0,K145*IFERROR(INDEX(p_Cost,MATCH($F145,p_ID,0)),0))</f>
        <v>780</v>
      </c>
      <c r="Q145" s="84" t="n">
        <f aca="false">O145-P145</f>
        <v>210</v>
      </c>
      <c r="R145" s="86" t="n">
        <f aca="false">DATE(YEAR(B145),MONTH(B145),1)</f>
        <v>45962</v>
      </c>
      <c r="S145" s="83" t="str">
        <f aca="false">YEAR(B145)&amp;"-Q"&amp;ROUNDUP(MONTH(B145)/3,0)</f>
        <v>2025-Q4</v>
      </c>
      <c r="T145" s="87" t="n">
        <f aca="false">IF(O145&gt;0,Q145/O145,"")</f>
        <v>0.212121212121212</v>
      </c>
      <c r="U145" s="84" t="n">
        <f aca="false">IF(O145&gt;0,O145,"")</f>
        <v>990</v>
      </c>
    </row>
    <row r="146" customFormat="false" ht="15" hidden="false" customHeight="false" outlineLevel="0" collapsed="false">
      <c r="A146" s="81" t="s">
        <v>789</v>
      </c>
      <c r="B146" s="82" t="n">
        <v>45965</v>
      </c>
      <c r="C146" s="81" t="s">
        <v>326</v>
      </c>
      <c r="D146" s="83" t="str">
        <f aca="false">IFERROR(INDEX(c_Name,MATCH($C146,c_ID,0)),"غير معرّف")</f>
        <v>دانة القحطاني</v>
      </c>
      <c r="E146" s="83" t="str">
        <f aca="false">IFERROR(INDEX(c_Region,MATCH($C146,c_ID,0)),"غير معرّف")</f>
        <v>الوسطى</v>
      </c>
      <c r="F146" s="81" t="s">
        <v>182</v>
      </c>
      <c r="G146" s="83" t="str">
        <f aca="false">IFERROR(INDEX(p_Name,MATCH($F146,p_ID,0)),"غير معرّف")</f>
        <v>طقم أوزان</v>
      </c>
      <c r="H146" s="83" t="str">
        <f aca="false">IFERROR(INDEX(p_Cat,MATCH($F146,p_ID,0)),"غير معرّف")</f>
        <v>رياضة</v>
      </c>
      <c r="I146" s="81" t="s">
        <v>449</v>
      </c>
      <c r="J146" s="81" t="s">
        <v>91</v>
      </c>
      <c r="K146" s="81" t="n">
        <v>1</v>
      </c>
      <c r="L146" s="84" t="n">
        <f aca="false">IFERROR(INDEX(p_Price,MATCH($F146,p_ID,0)),0)</f>
        <v>380</v>
      </c>
      <c r="M146" s="85" t="n">
        <v>0.15</v>
      </c>
      <c r="N146" s="81" t="s">
        <v>644</v>
      </c>
      <c r="O146" s="84" t="n">
        <f aca="false">IF($N146="مرتجع",0,K146*L146*(1-M146))</f>
        <v>323</v>
      </c>
      <c r="P146" s="84" t="n">
        <f aca="false">IF($N146="مرتجع",0,K146*IFERROR(INDEX(p_Cost,MATCH($F146,p_ID,0)),0))</f>
        <v>210</v>
      </c>
      <c r="Q146" s="84" t="n">
        <f aca="false">O146-P146</f>
        <v>113</v>
      </c>
      <c r="R146" s="86" t="n">
        <f aca="false">DATE(YEAR(B146),MONTH(B146),1)</f>
        <v>45962</v>
      </c>
      <c r="S146" s="83" t="str">
        <f aca="false">YEAR(B146)&amp;"-Q"&amp;ROUNDUP(MONTH(B146)/3,0)</f>
        <v>2025-Q4</v>
      </c>
      <c r="T146" s="87" t="n">
        <f aca="false">IF(O146&gt;0,Q146/O146,"")</f>
        <v>0.34984520123839</v>
      </c>
      <c r="U146" s="84" t="n">
        <f aca="false">IF(O146&gt;0,O146,"")</f>
        <v>323</v>
      </c>
    </row>
    <row r="147" customFormat="false" ht="15" hidden="false" customHeight="false" outlineLevel="0" collapsed="false">
      <c r="A147" s="81" t="s">
        <v>790</v>
      </c>
      <c r="B147" s="82" t="n">
        <v>45965</v>
      </c>
      <c r="C147" s="81" t="s">
        <v>283</v>
      </c>
      <c r="D147" s="83" t="str">
        <f aca="false">IFERROR(INDEX(c_Name,MATCH($C147,c_ID,0)),"غير معرّف")</f>
        <v>فهد السبيعي</v>
      </c>
      <c r="E147" s="83" t="str">
        <f aca="false">IFERROR(INDEX(c_Region,MATCH($C147,c_ID,0)),"غير معرّف")</f>
        <v>الغربية</v>
      </c>
      <c r="F147" s="81" t="s">
        <v>177</v>
      </c>
      <c r="G147" s="83" t="str">
        <f aca="false">IFERROR(INDEX(p_Name,MATCH($F147,p_ID,0)),"غير معرّف")</f>
        <v>ورق A4 (صندوق)</v>
      </c>
      <c r="H147" s="83" t="str">
        <f aca="false">IFERROR(INDEX(p_Cat,MATCH($F147,p_ID,0)),"غير معرّف")</f>
        <v>مستلزمات مكتبية</v>
      </c>
      <c r="I147" s="81" t="s">
        <v>455</v>
      </c>
      <c r="J147" s="81" t="s">
        <v>93</v>
      </c>
      <c r="K147" s="81" t="n">
        <v>2</v>
      </c>
      <c r="L147" s="84" t="n">
        <f aca="false">IFERROR(INDEX(p_Price,MATCH($F147,p_ID,0)),0)</f>
        <v>140</v>
      </c>
      <c r="M147" s="85" t="n">
        <v>0.1</v>
      </c>
      <c r="N147" s="81" t="s">
        <v>644</v>
      </c>
      <c r="O147" s="84" t="n">
        <f aca="false">IF($N147="مرتجع",0,K147*L147*(1-M147))</f>
        <v>252</v>
      </c>
      <c r="P147" s="84" t="n">
        <f aca="false">IF($N147="مرتجع",0,K147*IFERROR(INDEX(p_Cost,MATCH($F147,p_ID,0)),0))</f>
        <v>190</v>
      </c>
      <c r="Q147" s="84" t="n">
        <f aca="false">O147-P147</f>
        <v>62</v>
      </c>
      <c r="R147" s="86" t="n">
        <f aca="false">DATE(YEAR(B147),MONTH(B147),1)</f>
        <v>45962</v>
      </c>
      <c r="S147" s="83" t="str">
        <f aca="false">YEAR(B147)&amp;"-Q"&amp;ROUNDUP(MONTH(B147)/3,0)</f>
        <v>2025-Q4</v>
      </c>
      <c r="T147" s="87" t="n">
        <f aca="false">IF(O147&gt;0,Q147/O147,"")</f>
        <v>0.246031746031746</v>
      </c>
      <c r="U147" s="84" t="n">
        <f aca="false">IF(O147&gt;0,O147,"")</f>
        <v>252</v>
      </c>
    </row>
    <row r="148" customFormat="false" ht="15" hidden="false" customHeight="false" outlineLevel="0" collapsed="false">
      <c r="A148" s="81" t="s">
        <v>791</v>
      </c>
      <c r="B148" s="82" t="n">
        <v>45965</v>
      </c>
      <c r="C148" s="81" t="s">
        <v>424</v>
      </c>
      <c r="D148" s="83" t="str">
        <f aca="false">IFERROR(INDEX(c_Name,MATCH($C148,c_ID,0)),"غير معرّف")</f>
        <v>سارة التميمي</v>
      </c>
      <c r="E148" s="83" t="str">
        <f aca="false">IFERROR(INDEX(c_Region,MATCH($C148,c_ID,0)),"غير معرّف")</f>
        <v>الشرقية</v>
      </c>
      <c r="F148" s="81" t="s">
        <v>185</v>
      </c>
      <c r="G148" s="83" t="str">
        <f aca="false">IFERROR(INDEX(p_Name,MATCH($F148,p_ID,0)),"غير معرّف")</f>
        <v>ماكينة حلاقة</v>
      </c>
      <c r="H148" s="83" t="str">
        <f aca="false">IFERROR(INDEX(p_Cat,MATCH($F148,p_ID,0)),"غير معرّف")</f>
        <v>عناية شخصية</v>
      </c>
      <c r="I148" s="81" t="s">
        <v>461</v>
      </c>
      <c r="J148" s="81" t="s">
        <v>91</v>
      </c>
      <c r="K148" s="81" t="n">
        <v>2</v>
      </c>
      <c r="L148" s="84" t="n">
        <f aca="false">IFERROR(INDEX(p_Price,MATCH($F148,p_ID,0)),0)</f>
        <v>340</v>
      </c>
      <c r="M148" s="85" t="n">
        <v>0.1</v>
      </c>
      <c r="N148" s="81" t="s">
        <v>644</v>
      </c>
      <c r="O148" s="84" t="n">
        <f aca="false">IF($N148="مرتجع",0,K148*L148*(1-M148))</f>
        <v>612</v>
      </c>
      <c r="P148" s="84" t="n">
        <f aca="false">IF($N148="مرتجع",0,K148*IFERROR(INDEX(p_Cost,MATCH($F148,p_ID,0)),0))</f>
        <v>340</v>
      </c>
      <c r="Q148" s="84" t="n">
        <f aca="false">O148-P148</f>
        <v>272</v>
      </c>
      <c r="R148" s="86" t="n">
        <f aca="false">DATE(YEAR(B148),MONTH(B148),1)</f>
        <v>45962</v>
      </c>
      <c r="S148" s="83" t="str">
        <f aca="false">YEAR(B148)&amp;"-Q"&amp;ROUNDUP(MONTH(B148)/3,0)</f>
        <v>2025-Q4</v>
      </c>
      <c r="T148" s="87" t="n">
        <f aca="false">IF(O148&gt;0,Q148/O148,"")</f>
        <v>0.444444444444444</v>
      </c>
      <c r="U148" s="84" t="n">
        <f aca="false">IF(O148&gt;0,O148,"")</f>
        <v>612</v>
      </c>
    </row>
    <row r="149" customFormat="false" ht="15" hidden="false" customHeight="false" outlineLevel="0" collapsed="false">
      <c r="A149" s="81" t="s">
        <v>792</v>
      </c>
      <c r="B149" s="82" t="n">
        <v>45965</v>
      </c>
      <c r="C149" s="81" t="s">
        <v>313</v>
      </c>
      <c r="D149" s="83" t="str">
        <f aca="false">IFERROR(INDEX(c_Name,MATCH($C149,c_ID,0)),"غير معرّف")</f>
        <v>نورة الدوسري</v>
      </c>
      <c r="E149" s="83" t="str">
        <f aca="false">IFERROR(INDEX(c_Region,MATCH($C149,c_ID,0)),"غير معرّف")</f>
        <v>الغربية</v>
      </c>
      <c r="F149" s="81" t="s">
        <v>177</v>
      </c>
      <c r="G149" s="83" t="str">
        <f aca="false">IFERROR(INDEX(p_Name,MATCH($F149,p_ID,0)),"غير معرّف")</f>
        <v>ورق A4 (صندوق)</v>
      </c>
      <c r="H149" s="83" t="str">
        <f aca="false">IFERROR(INDEX(p_Cat,MATCH($F149,p_ID,0)),"غير معرّف")</f>
        <v>مستلزمات مكتبية</v>
      </c>
      <c r="I149" s="81" t="s">
        <v>458</v>
      </c>
      <c r="J149" s="81" t="s">
        <v>93</v>
      </c>
      <c r="K149" s="81" t="n">
        <v>1</v>
      </c>
      <c r="L149" s="84" t="n">
        <f aca="false">IFERROR(INDEX(p_Price,MATCH($F149,p_ID,0)),0)</f>
        <v>140</v>
      </c>
      <c r="M149" s="85" t="n">
        <v>0.15</v>
      </c>
      <c r="N149" s="81" t="s">
        <v>644</v>
      </c>
      <c r="O149" s="84" t="n">
        <f aca="false">IF($N149="مرتجع",0,K149*L149*(1-M149))</f>
        <v>119</v>
      </c>
      <c r="P149" s="84" t="n">
        <f aca="false">IF($N149="مرتجع",0,K149*IFERROR(INDEX(p_Cost,MATCH($F149,p_ID,0)),0))</f>
        <v>95</v>
      </c>
      <c r="Q149" s="84" t="n">
        <f aca="false">O149-P149</f>
        <v>24</v>
      </c>
      <c r="R149" s="86" t="n">
        <f aca="false">DATE(YEAR(B149),MONTH(B149),1)</f>
        <v>45962</v>
      </c>
      <c r="S149" s="83" t="str">
        <f aca="false">YEAR(B149)&amp;"-Q"&amp;ROUNDUP(MONTH(B149)/3,0)</f>
        <v>2025-Q4</v>
      </c>
      <c r="T149" s="87" t="n">
        <f aca="false">IF(O149&gt;0,Q149/O149,"")</f>
        <v>0.201680672268908</v>
      </c>
      <c r="U149" s="84" t="n">
        <f aca="false">IF(O149&gt;0,O149,"")</f>
        <v>119</v>
      </c>
    </row>
    <row r="150" customFormat="false" ht="15" hidden="false" customHeight="false" outlineLevel="0" collapsed="false">
      <c r="A150" s="81" t="s">
        <v>793</v>
      </c>
      <c r="B150" s="82" t="n">
        <v>45966</v>
      </c>
      <c r="C150" s="81" t="s">
        <v>237</v>
      </c>
      <c r="D150" s="83" t="str">
        <f aca="false">IFERROR(INDEX(c_Name,MATCH($C150,c_ID,0)),"غير معرّف")</f>
        <v>محمد البلوي</v>
      </c>
      <c r="E150" s="83" t="str">
        <f aca="false">IFERROR(INDEX(c_Region,MATCH($C150,c_ID,0)),"غير معرّف")</f>
        <v>الوسطى</v>
      </c>
      <c r="F150" s="81" t="s">
        <v>186</v>
      </c>
      <c r="G150" s="83" t="str">
        <f aca="false">IFERROR(INDEX(p_Name,MATCH($F150,p_ID,0)),"غير معرّف")</f>
        <v>مجفف شعر</v>
      </c>
      <c r="H150" s="83" t="str">
        <f aca="false">IFERROR(INDEX(p_Cat,MATCH($F150,p_ID,0)),"غير معرّف")</f>
        <v>عناية شخصية</v>
      </c>
      <c r="I150" s="81" t="s">
        <v>446</v>
      </c>
      <c r="J150" s="81" t="s">
        <v>91</v>
      </c>
      <c r="K150" s="81" t="n">
        <v>2</v>
      </c>
      <c r="L150" s="84" t="n">
        <f aca="false">IFERROR(INDEX(p_Price,MATCH($F150,p_ID,0)),0)</f>
        <v>280</v>
      </c>
      <c r="M150" s="85" t="n">
        <v>0.2</v>
      </c>
      <c r="N150" s="81" t="s">
        <v>644</v>
      </c>
      <c r="O150" s="84" t="n">
        <f aca="false">IF($N150="مرتجع",0,K150*L150*(1-M150))</f>
        <v>448</v>
      </c>
      <c r="P150" s="84" t="n">
        <f aca="false">IF($N150="مرتجع",0,K150*IFERROR(INDEX(p_Cost,MATCH($F150,p_ID,0)),0))</f>
        <v>280</v>
      </c>
      <c r="Q150" s="84" t="n">
        <f aca="false">O150-P150</f>
        <v>168</v>
      </c>
      <c r="R150" s="86" t="n">
        <f aca="false">DATE(YEAR(B150),MONTH(B150),1)</f>
        <v>45962</v>
      </c>
      <c r="S150" s="83" t="str">
        <f aca="false">YEAR(B150)&amp;"-Q"&amp;ROUNDUP(MONTH(B150)/3,0)</f>
        <v>2025-Q4</v>
      </c>
      <c r="T150" s="87" t="n">
        <f aca="false">IF(O150&gt;0,Q150/O150,"")</f>
        <v>0.375</v>
      </c>
      <c r="U150" s="84" t="n">
        <f aca="false">IF(O150&gt;0,O150,"")</f>
        <v>448</v>
      </c>
    </row>
    <row r="151" customFormat="false" ht="15" hidden="false" customHeight="false" outlineLevel="0" collapsed="false">
      <c r="A151" s="81" t="s">
        <v>794</v>
      </c>
      <c r="B151" s="82" t="n">
        <v>45966</v>
      </c>
      <c r="C151" s="81" t="s">
        <v>242</v>
      </c>
      <c r="D151" s="83" t="str">
        <f aca="false">IFERROR(INDEX(c_Name,MATCH($C151,c_ID,0)),"غير معرّف")</f>
        <v>ياسر الغامدي</v>
      </c>
      <c r="E151" s="83" t="str">
        <f aca="false">IFERROR(INDEX(c_Region,MATCH($C151,c_ID,0)),"غير معرّف")</f>
        <v>الوسطى</v>
      </c>
      <c r="F151" s="81" t="s">
        <v>179</v>
      </c>
      <c r="G151" s="83" t="str">
        <f aca="false">IFERROR(INDEX(p_Name,MATCH($F151,p_ID,0)),"غير معرّف")</f>
        <v>طقم أدوات مكتبية</v>
      </c>
      <c r="H151" s="83" t="str">
        <f aca="false">IFERROR(INDEX(p_Cat,MATCH($F151,p_ID,0)),"غير معرّف")</f>
        <v>مستلزمات مكتبية</v>
      </c>
      <c r="I151" s="81" t="s">
        <v>446</v>
      </c>
      <c r="J151" s="81" t="s">
        <v>93</v>
      </c>
      <c r="K151" s="81" t="n">
        <v>3</v>
      </c>
      <c r="L151" s="84" t="n">
        <f aca="false">IFERROR(INDEX(p_Price,MATCH($F151,p_ID,0)),0)</f>
        <v>90</v>
      </c>
      <c r="M151" s="85" t="n">
        <v>0.15</v>
      </c>
      <c r="N151" s="81" t="s">
        <v>650</v>
      </c>
      <c r="O151" s="84" t="n">
        <f aca="false">IF($N151="مرتجع",0,K151*L151*(1-M151))</f>
        <v>0</v>
      </c>
      <c r="P151" s="84" t="n">
        <f aca="false">IF($N151="مرتجع",0,K151*IFERROR(INDEX(p_Cost,MATCH($F151,p_ID,0)),0))</f>
        <v>0</v>
      </c>
      <c r="Q151" s="84" t="n">
        <f aca="false">O151-P151</f>
        <v>0</v>
      </c>
      <c r="R151" s="86" t="n">
        <f aca="false">DATE(YEAR(B151),MONTH(B151),1)</f>
        <v>45962</v>
      </c>
      <c r="S151" s="83" t="str">
        <f aca="false">YEAR(B151)&amp;"-Q"&amp;ROUNDUP(MONTH(B151)/3,0)</f>
        <v>2025-Q4</v>
      </c>
      <c r="T151" s="87" t="str">
        <f aca="false">IF(O151&gt;0,Q151/O151,"")</f>
        <v/>
      </c>
      <c r="U151" s="84" t="str">
        <f aca="false">IF(O151&gt;0,O151,"")</f>
        <v/>
      </c>
    </row>
    <row r="152" customFormat="false" ht="15" hidden="false" customHeight="false" outlineLevel="0" collapsed="false">
      <c r="A152" s="81" t="s">
        <v>795</v>
      </c>
      <c r="B152" s="82" t="n">
        <v>45966</v>
      </c>
      <c r="C152" s="81" t="s">
        <v>300</v>
      </c>
      <c r="D152" s="83" t="str">
        <f aca="false">IFERROR(INDEX(c_Name,MATCH($C152,c_ID,0)),"غير معرّف")</f>
        <v>فهد التميمي</v>
      </c>
      <c r="E152" s="83" t="str">
        <f aca="false">IFERROR(INDEX(c_Region,MATCH($C152,c_ID,0)),"غير معرّف")</f>
        <v>الوسطى</v>
      </c>
      <c r="F152" s="81" t="s">
        <v>166</v>
      </c>
      <c r="G152" s="83" t="str">
        <f aca="false">IFERROR(INDEX(p_Name,MATCH($F152,p_ID,0)),"غير معرّف")</f>
        <v>سماعات لاسلكية</v>
      </c>
      <c r="H152" s="83" t="str">
        <f aca="false">IFERROR(INDEX(p_Cat,MATCH($F152,p_ID,0)),"غير معرّف")</f>
        <v>إلكترونيات</v>
      </c>
      <c r="I152" s="81" t="s">
        <v>446</v>
      </c>
      <c r="J152" s="81" t="s">
        <v>93</v>
      </c>
      <c r="K152" s="81" t="n">
        <v>1</v>
      </c>
      <c r="L152" s="84" t="n">
        <f aca="false">IFERROR(INDEX(p_Price,MATCH($F152,p_ID,0)),0)</f>
        <v>450</v>
      </c>
      <c r="M152" s="85" t="n">
        <v>0.1</v>
      </c>
      <c r="N152" s="81" t="s">
        <v>644</v>
      </c>
      <c r="O152" s="84" t="n">
        <f aca="false">IF($N152="مرتجع",0,K152*L152*(1-M152))</f>
        <v>405</v>
      </c>
      <c r="P152" s="84" t="n">
        <f aca="false">IF($N152="مرتجع",0,K152*IFERROR(INDEX(p_Cost,MATCH($F152,p_ID,0)),0))</f>
        <v>260</v>
      </c>
      <c r="Q152" s="84" t="n">
        <f aca="false">O152-P152</f>
        <v>145</v>
      </c>
      <c r="R152" s="86" t="n">
        <f aca="false">DATE(YEAR(B152),MONTH(B152),1)</f>
        <v>45962</v>
      </c>
      <c r="S152" s="83" t="str">
        <f aca="false">YEAR(B152)&amp;"-Q"&amp;ROUNDUP(MONTH(B152)/3,0)</f>
        <v>2025-Q4</v>
      </c>
      <c r="T152" s="87" t="n">
        <f aca="false">IF(O152&gt;0,Q152/O152,"")</f>
        <v>0.358024691358025</v>
      </c>
      <c r="U152" s="84" t="n">
        <f aca="false">IF(O152&gt;0,O152,"")</f>
        <v>405</v>
      </c>
    </row>
    <row r="153" customFormat="false" ht="15" hidden="false" customHeight="false" outlineLevel="0" collapsed="false">
      <c r="A153" s="81" t="s">
        <v>796</v>
      </c>
      <c r="B153" s="82" t="n">
        <v>45967</v>
      </c>
      <c r="C153" s="81" t="s">
        <v>330</v>
      </c>
      <c r="D153" s="83" t="str">
        <f aca="false">IFERROR(INDEX(c_Name,MATCH($C153,c_ID,0)),"غير معرّف")</f>
        <v>سارة السبيعي</v>
      </c>
      <c r="E153" s="83" t="str">
        <f aca="false">IFERROR(INDEX(c_Region,MATCH($C153,c_ID,0)),"غير معرّف")</f>
        <v>الشرقية</v>
      </c>
      <c r="F153" s="81" t="s">
        <v>164</v>
      </c>
      <c r="G153" s="83" t="str">
        <f aca="false">IFERROR(INDEX(p_Name,MATCH($F153,p_ID,0)),"غير معرّف")</f>
        <v>هاتف ذكي</v>
      </c>
      <c r="H153" s="83" t="str">
        <f aca="false">IFERROR(INDEX(p_Cat,MATCH($F153,p_ID,0)),"غير معرّف")</f>
        <v>إلكترونيات</v>
      </c>
      <c r="I153" s="81" t="s">
        <v>461</v>
      </c>
      <c r="J153" s="81" t="s">
        <v>91</v>
      </c>
      <c r="K153" s="81" t="n">
        <v>1</v>
      </c>
      <c r="L153" s="84" t="n">
        <f aca="false">IFERROR(INDEX(p_Price,MATCH($F153,p_ID,0)),0)</f>
        <v>2400</v>
      </c>
      <c r="M153" s="85" t="n">
        <v>0.2</v>
      </c>
      <c r="N153" s="81" t="s">
        <v>644</v>
      </c>
      <c r="O153" s="84" t="n">
        <f aca="false">IF($N153="مرتجع",0,K153*L153*(1-M153))</f>
        <v>1920</v>
      </c>
      <c r="P153" s="84" t="n">
        <f aca="false">IF($N153="مرتجع",0,K153*IFERROR(INDEX(p_Cost,MATCH($F153,p_ID,0)),0))</f>
        <v>1750</v>
      </c>
      <c r="Q153" s="84" t="n">
        <f aca="false">O153-P153</f>
        <v>170</v>
      </c>
      <c r="R153" s="86" t="n">
        <f aca="false">DATE(YEAR(B153),MONTH(B153),1)</f>
        <v>45962</v>
      </c>
      <c r="S153" s="83" t="str">
        <f aca="false">YEAR(B153)&amp;"-Q"&amp;ROUNDUP(MONTH(B153)/3,0)</f>
        <v>2025-Q4</v>
      </c>
      <c r="T153" s="87" t="n">
        <f aca="false">IF(O153&gt;0,Q153/O153,"")</f>
        <v>0.0885416666666667</v>
      </c>
      <c r="U153" s="84" t="n">
        <f aca="false">IF(O153&gt;0,O153,"")</f>
        <v>1920</v>
      </c>
    </row>
    <row r="154" customFormat="false" ht="15" hidden="false" customHeight="false" outlineLevel="0" collapsed="false">
      <c r="A154" s="81" t="s">
        <v>797</v>
      </c>
      <c r="B154" s="82" t="n">
        <v>45967</v>
      </c>
      <c r="C154" s="81" t="s">
        <v>323</v>
      </c>
      <c r="D154" s="83" t="str">
        <f aca="false">IFERROR(INDEX(c_Name,MATCH($C154,c_ID,0)),"غير معرّف")</f>
        <v>ليلى الدوسري</v>
      </c>
      <c r="E154" s="83" t="str">
        <f aca="false">IFERROR(INDEX(c_Region,MATCH($C154,c_ID,0)),"غير معرّف")</f>
        <v>الشرقية</v>
      </c>
      <c r="F154" s="81" t="s">
        <v>166</v>
      </c>
      <c r="G154" s="83" t="str">
        <f aca="false">IFERROR(INDEX(p_Name,MATCH($F154,p_ID,0)),"غير معرّف")</f>
        <v>سماعات لاسلكية</v>
      </c>
      <c r="H154" s="83" t="str">
        <f aca="false">IFERROR(INDEX(p_Cat,MATCH($F154,p_ID,0)),"غير معرّف")</f>
        <v>إلكترونيات</v>
      </c>
      <c r="I154" s="81" t="s">
        <v>461</v>
      </c>
      <c r="J154" s="81" t="s">
        <v>93</v>
      </c>
      <c r="K154" s="81" t="n">
        <v>3</v>
      </c>
      <c r="L154" s="84" t="n">
        <f aca="false">IFERROR(INDEX(p_Price,MATCH($F154,p_ID,0)),0)</f>
        <v>450</v>
      </c>
      <c r="M154" s="85" t="n">
        <v>0</v>
      </c>
      <c r="N154" s="81" t="s">
        <v>644</v>
      </c>
      <c r="O154" s="84" t="n">
        <f aca="false">IF($N154="مرتجع",0,K154*L154*(1-M154))</f>
        <v>1350</v>
      </c>
      <c r="P154" s="84" t="n">
        <f aca="false">IF($N154="مرتجع",0,K154*IFERROR(INDEX(p_Cost,MATCH($F154,p_ID,0)),0))</f>
        <v>780</v>
      </c>
      <c r="Q154" s="84" t="n">
        <f aca="false">O154-P154</f>
        <v>570</v>
      </c>
      <c r="R154" s="86" t="n">
        <f aca="false">DATE(YEAR(B154),MONTH(B154),1)</f>
        <v>45962</v>
      </c>
      <c r="S154" s="83" t="str">
        <f aca="false">YEAR(B154)&amp;"-Q"&amp;ROUNDUP(MONTH(B154)/3,0)</f>
        <v>2025-Q4</v>
      </c>
      <c r="T154" s="87" t="n">
        <f aca="false">IF(O154&gt;0,Q154/O154,"")</f>
        <v>0.422222222222222</v>
      </c>
      <c r="U154" s="84" t="n">
        <f aca="false">IF(O154&gt;0,O154,"")</f>
        <v>1350</v>
      </c>
    </row>
    <row r="155" customFormat="false" ht="15" hidden="false" customHeight="false" outlineLevel="0" collapsed="false">
      <c r="A155" s="81" t="s">
        <v>798</v>
      </c>
      <c r="B155" s="82" t="n">
        <v>45967</v>
      </c>
      <c r="C155" s="81" t="s">
        <v>422</v>
      </c>
      <c r="D155" s="83" t="str">
        <f aca="false">IFERROR(INDEX(c_Name,MATCH($C155,c_ID,0)),"غير معرّف")</f>
        <v>سارة الحسيني</v>
      </c>
      <c r="E155" s="83" t="str">
        <f aca="false">IFERROR(INDEX(c_Region,MATCH($C155,c_ID,0)),"غير معرّف")</f>
        <v>الجنوبية</v>
      </c>
      <c r="F155" s="81" t="s">
        <v>173</v>
      </c>
      <c r="G155" s="83" t="str">
        <f aca="false">IFERROR(INDEX(p_Name,MATCH($F155,p_ID,0)),"غير معرّف")</f>
        <v>كرسي مريح</v>
      </c>
      <c r="H155" s="83" t="str">
        <f aca="false">IFERROR(INDEX(p_Cat,MATCH($F155,p_ID,0)),"غير معرّف")</f>
        <v>أثاث</v>
      </c>
      <c r="I155" s="81" t="s">
        <v>467</v>
      </c>
      <c r="J155" s="81" t="s">
        <v>93</v>
      </c>
      <c r="K155" s="81" t="n">
        <v>3</v>
      </c>
      <c r="L155" s="84" t="n">
        <f aca="false">IFERROR(INDEX(p_Price,MATCH($F155,p_ID,0)),0)</f>
        <v>850</v>
      </c>
      <c r="M155" s="85" t="n">
        <v>0</v>
      </c>
      <c r="N155" s="81" t="s">
        <v>644</v>
      </c>
      <c r="O155" s="84" t="n">
        <f aca="false">IF($N155="مرتجع",0,K155*L155*(1-M155))</f>
        <v>2550</v>
      </c>
      <c r="P155" s="84" t="n">
        <f aca="false">IF($N155="مرتجع",0,K155*IFERROR(INDEX(p_Cost,MATCH($F155,p_ID,0)),0))</f>
        <v>1440</v>
      </c>
      <c r="Q155" s="84" t="n">
        <f aca="false">O155-P155</f>
        <v>1110</v>
      </c>
      <c r="R155" s="86" t="n">
        <f aca="false">DATE(YEAR(B155),MONTH(B155),1)</f>
        <v>45962</v>
      </c>
      <c r="S155" s="83" t="str">
        <f aca="false">YEAR(B155)&amp;"-Q"&amp;ROUNDUP(MONTH(B155)/3,0)</f>
        <v>2025-Q4</v>
      </c>
      <c r="T155" s="87" t="n">
        <f aca="false">IF(O155&gt;0,Q155/O155,"")</f>
        <v>0.435294117647059</v>
      </c>
      <c r="U155" s="84" t="n">
        <f aca="false">IF(O155&gt;0,O155,"")</f>
        <v>2550</v>
      </c>
    </row>
    <row r="156" customFormat="false" ht="15" hidden="false" customHeight="false" outlineLevel="0" collapsed="false">
      <c r="A156" s="81" t="s">
        <v>799</v>
      </c>
      <c r="B156" s="82" t="n">
        <v>45967</v>
      </c>
      <c r="C156" s="81" t="s">
        <v>335</v>
      </c>
      <c r="D156" s="83" t="str">
        <f aca="false">IFERROR(INDEX(c_Name,MATCH($C156,c_ID,0)),"غير معرّف")</f>
        <v>نورة الحربي</v>
      </c>
      <c r="E156" s="83" t="str">
        <f aca="false">IFERROR(INDEX(c_Region,MATCH($C156,c_ID,0)),"غير معرّف")</f>
        <v>الشرقية</v>
      </c>
      <c r="F156" s="81" t="s">
        <v>182</v>
      </c>
      <c r="G156" s="83" t="str">
        <f aca="false">IFERROR(INDEX(p_Name,MATCH($F156,p_ID,0)),"غير معرّف")</f>
        <v>طقم أوزان</v>
      </c>
      <c r="H156" s="83" t="str">
        <f aca="false">IFERROR(INDEX(p_Cat,MATCH($F156,p_ID,0)),"غير معرّف")</f>
        <v>رياضة</v>
      </c>
      <c r="I156" s="81" t="s">
        <v>463</v>
      </c>
      <c r="J156" s="81" t="s">
        <v>93</v>
      </c>
      <c r="K156" s="81" t="n">
        <v>1</v>
      </c>
      <c r="L156" s="84" t="n">
        <f aca="false">IFERROR(INDEX(p_Price,MATCH($F156,p_ID,0)),0)</f>
        <v>380</v>
      </c>
      <c r="M156" s="85" t="n">
        <v>0.05</v>
      </c>
      <c r="N156" s="81" t="s">
        <v>644</v>
      </c>
      <c r="O156" s="84" t="n">
        <f aca="false">IF($N156="مرتجع",0,K156*L156*(1-M156))</f>
        <v>361</v>
      </c>
      <c r="P156" s="84" t="n">
        <f aca="false">IF($N156="مرتجع",0,K156*IFERROR(INDEX(p_Cost,MATCH($F156,p_ID,0)),0))</f>
        <v>210</v>
      </c>
      <c r="Q156" s="84" t="n">
        <f aca="false">O156-P156</f>
        <v>151</v>
      </c>
      <c r="R156" s="86" t="n">
        <f aca="false">DATE(YEAR(B156),MONTH(B156),1)</f>
        <v>45962</v>
      </c>
      <c r="S156" s="83" t="str">
        <f aca="false">YEAR(B156)&amp;"-Q"&amp;ROUNDUP(MONTH(B156)/3,0)</f>
        <v>2025-Q4</v>
      </c>
      <c r="T156" s="87" t="n">
        <f aca="false">IF(O156&gt;0,Q156/O156,"")</f>
        <v>0.418282548476454</v>
      </c>
      <c r="U156" s="84" t="n">
        <f aca="false">IF(O156&gt;0,O156,"")</f>
        <v>361</v>
      </c>
    </row>
    <row r="157" customFormat="false" ht="15" hidden="false" customHeight="false" outlineLevel="0" collapsed="false">
      <c r="A157" s="81" t="s">
        <v>800</v>
      </c>
      <c r="B157" s="82" t="n">
        <v>45967</v>
      </c>
      <c r="C157" s="81" t="s">
        <v>334</v>
      </c>
      <c r="D157" s="83" t="str">
        <f aca="false">IFERROR(INDEX(c_Name,MATCH($C157,c_ID,0)),"غير معرّف")</f>
        <v>ناصر الغامدي</v>
      </c>
      <c r="E157" s="83" t="str">
        <f aca="false">IFERROR(INDEX(c_Region,MATCH($C157,c_ID,0)),"غير معرّف")</f>
        <v>الغربية</v>
      </c>
      <c r="F157" s="81" t="s">
        <v>175</v>
      </c>
      <c r="G157" s="83" t="str">
        <f aca="false">IFERROR(INDEX(p_Name,MATCH($F157,p_ID,0)),"غير معرّف")</f>
        <v>رف كتب</v>
      </c>
      <c r="H157" s="83" t="str">
        <f aca="false">IFERROR(INDEX(p_Cat,MATCH($F157,p_ID,0)),"غير معرّف")</f>
        <v>أثاث</v>
      </c>
      <c r="I157" s="81" t="s">
        <v>458</v>
      </c>
      <c r="J157" s="81" t="s">
        <v>93</v>
      </c>
      <c r="K157" s="81" t="n">
        <v>6</v>
      </c>
      <c r="L157" s="84" t="n">
        <f aca="false">IFERROR(INDEX(p_Price,MATCH($F157,p_ID,0)),0)</f>
        <v>400</v>
      </c>
      <c r="M157" s="85" t="n">
        <v>0.1</v>
      </c>
      <c r="N157" s="81" t="s">
        <v>644</v>
      </c>
      <c r="O157" s="84" t="n">
        <f aca="false">IF($N157="مرتجع",0,K157*L157*(1-M157))</f>
        <v>2160</v>
      </c>
      <c r="P157" s="84" t="n">
        <f aca="false">IF($N157="مرتجع",0,K157*IFERROR(INDEX(p_Cost,MATCH($F157,p_ID,0)),0))</f>
        <v>1320</v>
      </c>
      <c r="Q157" s="84" t="n">
        <f aca="false">O157-P157</f>
        <v>840</v>
      </c>
      <c r="R157" s="86" t="n">
        <f aca="false">DATE(YEAR(B157),MONTH(B157),1)</f>
        <v>45962</v>
      </c>
      <c r="S157" s="83" t="str">
        <f aca="false">YEAR(B157)&amp;"-Q"&amp;ROUNDUP(MONTH(B157)/3,0)</f>
        <v>2025-Q4</v>
      </c>
      <c r="T157" s="87" t="n">
        <f aca="false">IF(O157&gt;0,Q157/O157,"")</f>
        <v>0.388888888888889</v>
      </c>
      <c r="U157" s="84" t="n">
        <f aca="false">IF(O157&gt;0,O157,"")</f>
        <v>2160</v>
      </c>
    </row>
    <row r="158" customFormat="false" ht="15" hidden="false" customHeight="false" outlineLevel="0" collapsed="false">
      <c r="A158" s="81" t="s">
        <v>801</v>
      </c>
      <c r="B158" s="82" t="n">
        <v>45967</v>
      </c>
      <c r="C158" s="81" t="s">
        <v>287</v>
      </c>
      <c r="D158" s="83" t="str">
        <f aca="false">IFERROR(INDEX(c_Name,MATCH($C158,c_ID,0)),"غير معرّف")</f>
        <v>محمد الشهري</v>
      </c>
      <c r="E158" s="83" t="str">
        <f aca="false">IFERROR(INDEX(c_Region,MATCH($C158,c_ID,0)),"غير معرّف")</f>
        <v>الغربية</v>
      </c>
      <c r="F158" s="81" t="s">
        <v>185</v>
      </c>
      <c r="G158" s="83" t="str">
        <f aca="false">IFERROR(INDEX(p_Name,MATCH($F158,p_ID,0)),"غير معرّف")</f>
        <v>ماكينة حلاقة</v>
      </c>
      <c r="H158" s="83" t="str">
        <f aca="false">IFERROR(INDEX(p_Cat,MATCH($F158,p_ID,0)),"غير معرّف")</f>
        <v>عناية شخصية</v>
      </c>
      <c r="I158" s="81" t="s">
        <v>458</v>
      </c>
      <c r="J158" s="81" t="s">
        <v>95</v>
      </c>
      <c r="K158" s="81" t="n">
        <v>1</v>
      </c>
      <c r="L158" s="84" t="n">
        <f aca="false">IFERROR(INDEX(p_Price,MATCH($F158,p_ID,0)),0)</f>
        <v>340</v>
      </c>
      <c r="M158" s="85" t="n">
        <v>0</v>
      </c>
      <c r="N158" s="81" t="s">
        <v>644</v>
      </c>
      <c r="O158" s="84" t="n">
        <f aca="false">IF($N158="مرتجع",0,K158*L158*(1-M158))</f>
        <v>340</v>
      </c>
      <c r="P158" s="84" t="n">
        <f aca="false">IF($N158="مرتجع",0,K158*IFERROR(INDEX(p_Cost,MATCH($F158,p_ID,0)),0))</f>
        <v>170</v>
      </c>
      <c r="Q158" s="84" t="n">
        <f aca="false">O158-P158</f>
        <v>170</v>
      </c>
      <c r="R158" s="86" t="n">
        <f aca="false">DATE(YEAR(B158),MONTH(B158),1)</f>
        <v>45962</v>
      </c>
      <c r="S158" s="83" t="str">
        <f aca="false">YEAR(B158)&amp;"-Q"&amp;ROUNDUP(MONTH(B158)/3,0)</f>
        <v>2025-Q4</v>
      </c>
      <c r="T158" s="87" t="n">
        <f aca="false">IF(O158&gt;0,Q158/O158,"")</f>
        <v>0.5</v>
      </c>
      <c r="U158" s="84" t="n">
        <f aca="false">IF(O158&gt;0,O158,"")</f>
        <v>340</v>
      </c>
    </row>
    <row r="159" customFormat="false" ht="15" hidden="false" customHeight="false" outlineLevel="0" collapsed="false">
      <c r="A159" s="81" t="s">
        <v>802</v>
      </c>
      <c r="B159" s="82" t="n">
        <v>45968</v>
      </c>
      <c r="C159" s="81" t="s">
        <v>306</v>
      </c>
      <c r="D159" s="83" t="str">
        <f aca="false">IFERROR(INDEX(c_Name,MATCH($C159,c_ID,0)),"غير معرّف")</f>
        <v>أحمد العنزي</v>
      </c>
      <c r="E159" s="83" t="str">
        <f aca="false">IFERROR(INDEX(c_Region,MATCH($C159,c_ID,0)),"غير معرّف")</f>
        <v>الغربية</v>
      </c>
      <c r="F159" s="81" t="s">
        <v>179</v>
      </c>
      <c r="G159" s="83" t="str">
        <f aca="false">IFERROR(INDEX(p_Name,MATCH($F159,p_ID,0)),"غير معرّف")</f>
        <v>طقم أدوات مكتبية</v>
      </c>
      <c r="H159" s="83" t="str">
        <f aca="false">IFERROR(INDEX(p_Cat,MATCH($F159,p_ID,0)),"غير معرّف")</f>
        <v>مستلزمات مكتبية</v>
      </c>
      <c r="I159" s="81" t="s">
        <v>458</v>
      </c>
      <c r="J159" s="81" t="s">
        <v>93</v>
      </c>
      <c r="K159" s="81" t="n">
        <v>4</v>
      </c>
      <c r="L159" s="84" t="n">
        <f aca="false">IFERROR(INDEX(p_Price,MATCH($F159,p_ID,0)),0)</f>
        <v>90</v>
      </c>
      <c r="M159" s="85" t="n">
        <v>0.2</v>
      </c>
      <c r="N159" s="81" t="s">
        <v>644</v>
      </c>
      <c r="O159" s="84" t="n">
        <f aca="false">IF($N159="مرتجع",0,K159*L159*(1-M159))</f>
        <v>288</v>
      </c>
      <c r="P159" s="84" t="n">
        <f aca="false">IF($N159="مرتجع",0,K159*IFERROR(INDEX(p_Cost,MATCH($F159,p_ID,0)),0))</f>
        <v>180</v>
      </c>
      <c r="Q159" s="84" t="n">
        <f aca="false">O159-P159</f>
        <v>108</v>
      </c>
      <c r="R159" s="86" t="n">
        <f aca="false">DATE(YEAR(B159),MONTH(B159),1)</f>
        <v>45962</v>
      </c>
      <c r="S159" s="83" t="str">
        <f aca="false">YEAR(B159)&amp;"-Q"&amp;ROUNDUP(MONTH(B159)/3,0)</f>
        <v>2025-Q4</v>
      </c>
      <c r="T159" s="87" t="n">
        <f aca="false">IF(O159&gt;0,Q159/O159,"")</f>
        <v>0.375</v>
      </c>
      <c r="U159" s="84" t="n">
        <f aca="false">IF(O159&gt;0,O159,"")</f>
        <v>288</v>
      </c>
    </row>
    <row r="160" customFormat="false" ht="15" hidden="false" customHeight="false" outlineLevel="0" collapsed="false">
      <c r="A160" s="81" t="s">
        <v>803</v>
      </c>
      <c r="B160" s="82" t="n">
        <v>45968</v>
      </c>
      <c r="C160" s="81" t="s">
        <v>303</v>
      </c>
      <c r="D160" s="83" t="str">
        <f aca="false">IFERROR(INDEX(c_Name,MATCH($C160,c_ID,0)),"غير معرّف")</f>
        <v>ناصر الحسيني</v>
      </c>
      <c r="E160" s="83" t="str">
        <f aca="false">IFERROR(INDEX(c_Region,MATCH($C160,c_ID,0)),"غير معرّف")</f>
        <v>الشرقية</v>
      </c>
      <c r="F160" s="81" t="s">
        <v>178</v>
      </c>
      <c r="G160" s="83" t="str">
        <f aca="false">IFERROR(INDEX(p_Name,MATCH($F160,p_ID,0)),"غير معرّف")</f>
        <v>حقيبة لابتوب</v>
      </c>
      <c r="H160" s="83" t="str">
        <f aca="false">IFERROR(INDEX(p_Cat,MATCH($F160,p_ID,0)),"غير معرّف")</f>
        <v>مستلزمات مكتبية</v>
      </c>
      <c r="I160" s="81" t="s">
        <v>461</v>
      </c>
      <c r="J160" s="81" t="s">
        <v>91</v>
      </c>
      <c r="K160" s="81" t="n">
        <v>2</v>
      </c>
      <c r="L160" s="84" t="n">
        <f aca="false">IFERROR(INDEX(p_Price,MATCH($F160,p_ID,0)),0)</f>
        <v>260</v>
      </c>
      <c r="M160" s="85" t="n">
        <v>0.05</v>
      </c>
      <c r="N160" s="81" t="s">
        <v>644</v>
      </c>
      <c r="O160" s="84" t="n">
        <f aca="false">IF($N160="مرتجع",0,K160*L160*(1-M160))</f>
        <v>494</v>
      </c>
      <c r="P160" s="84" t="n">
        <f aca="false">IF($N160="مرتجع",0,K160*IFERROR(INDEX(p_Cost,MATCH($F160,p_ID,0)),0))</f>
        <v>240</v>
      </c>
      <c r="Q160" s="84" t="n">
        <f aca="false">O160-P160</f>
        <v>254</v>
      </c>
      <c r="R160" s="86" t="n">
        <f aca="false">DATE(YEAR(B160),MONTH(B160),1)</f>
        <v>45962</v>
      </c>
      <c r="S160" s="83" t="str">
        <f aca="false">YEAR(B160)&amp;"-Q"&amp;ROUNDUP(MONTH(B160)/3,0)</f>
        <v>2025-Q4</v>
      </c>
      <c r="T160" s="87" t="n">
        <f aca="false">IF(O160&gt;0,Q160/O160,"")</f>
        <v>0.51417004048583</v>
      </c>
      <c r="U160" s="84" t="n">
        <f aca="false">IF(O160&gt;0,O160,"")</f>
        <v>494</v>
      </c>
    </row>
    <row r="161" customFormat="false" ht="15" hidden="false" customHeight="false" outlineLevel="0" collapsed="false">
      <c r="A161" s="81" t="s">
        <v>804</v>
      </c>
      <c r="B161" s="82" t="n">
        <v>45968</v>
      </c>
      <c r="C161" s="81" t="s">
        <v>322</v>
      </c>
      <c r="D161" s="83" t="str">
        <f aca="false">IFERROR(INDEX(c_Name,MATCH($C161,c_ID,0)),"غير معرّف")</f>
        <v>نورة البلوي</v>
      </c>
      <c r="E161" s="83" t="str">
        <f aca="false">IFERROR(INDEX(c_Region,MATCH($C161,c_ID,0)),"غير معرّف")</f>
        <v>الغربية</v>
      </c>
      <c r="F161" s="81" t="s">
        <v>187</v>
      </c>
      <c r="G161" s="83" t="str">
        <f aca="false">IFERROR(INDEX(p_Name,MATCH($F161,p_ID,0)),"غير معرّف")</f>
        <v>جهاز تدليك</v>
      </c>
      <c r="H161" s="83" t="str">
        <f aca="false">IFERROR(INDEX(p_Cat,MATCH($F161,p_ID,0)),"غير معرّف")</f>
        <v>عناية شخصية</v>
      </c>
      <c r="I161" s="81" t="s">
        <v>452</v>
      </c>
      <c r="J161" s="81" t="s">
        <v>93</v>
      </c>
      <c r="K161" s="81" t="n">
        <v>1</v>
      </c>
      <c r="L161" s="84" t="n">
        <f aca="false">IFERROR(INDEX(p_Price,MATCH($F161,p_ID,0)),0)</f>
        <v>600</v>
      </c>
      <c r="M161" s="85" t="n">
        <v>0.2</v>
      </c>
      <c r="N161" s="81" t="s">
        <v>644</v>
      </c>
      <c r="O161" s="84" t="n">
        <f aca="false">IF($N161="مرتجع",0,K161*L161*(1-M161))</f>
        <v>480</v>
      </c>
      <c r="P161" s="84" t="n">
        <f aca="false">IF($N161="مرتجع",0,K161*IFERROR(INDEX(p_Cost,MATCH($F161,p_ID,0)),0))</f>
        <v>330</v>
      </c>
      <c r="Q161" s="84" t="n">
        <f aca="false">O161-P161</f>
        <v>150</v>
      </c>
      <c r="R161" s="86" t="n">
        <f aca="false">DATE(YEAR(B161),MONTH(B161),1)</f>
        <v>45962</v>
      </c>
      <c r="S161" s="83" t="str">
        <f aca="false">YEAR(B161)&amp;"-Q"&amp;ROUNDUP(MONTH(B161)/3,0)</f>
        <v>2025-Q4</v>
      </c>
      <c r="T161" s="87" t="n">
        <f aca="false">IF(O161&gt;0,Q161/O161,"")</f>
        <v>0.3125</v>
      </c>
      <c r="U161" s="84" t="n">
        <f aca="false">IF(O161&gt;0,O161,"")</f>
        <v>480</v>
      </c>
    </row>
    <row r="162" customFormat="false" ht="15" hidden="false" customHeight="false" outlineLevel="0" collapsed="false">
      <c r="A162" s="81" t="s">
        <v>805</v>
      </c>
      <c r="B162" s="82" t="n">
        <v>45968</v>
      </c>
      <c r="C162" s="81" t="s">
        <v>315</v>
      </c>
      <c r="D162" s="83" t="str">
        <f aca="false">IFERROR(INDEX(c_Name,MATCH($C162,c_ID,0)),"غير معرّف")</f>
        <v>أحمد الحربي</v>
      </c>
      <c r="E162" s="83" t="str">
        <f aca="false">IFERROR(INDEX(c_Region,MATCH($C162,c_ID,0)),"غير معرّف")</f>
        <v>الغربية</v>
      </c>
      <c r="F162" s="81" t="s">
        <v>182</v>
      </c>
      <c r="G162" s="83" t="str">
        <f aca="false">IFERROR(INDEX(p_Name,MATCH($F162,p_ID,0)),"غير معرّف")</f>
        <v>طقم أوزان</v>
      </c>
      <c r="H162" s="83" t="str">
        <f aca="false">IFERROR(INDEX(p_Cat,MATCH($F162,p_ID,0)),"غير معرّف")</f>
        <v>رياضة</v>
      </c>
      <c r="I162" s="81" t="s">
        <v>455</v>
      </c>
      <c r="J162" s="81" t="s">
        <v>95</v>
      </c>
      <c r="K162" s="81" t="n">
        <v>20</v>
      </c>
      <c r="L162" s="84" t="n">
        <f aca="false">IFERROR(INDEX(p_Price,MATCH($F162,p_ID,0)),0)</f>
        <v>380</v>
      </c>
      <c r="M162" s="85" t="n">
        <v>0.15</v>
      </c>
      <c r="N162" s="81" t="s">
        <v>644</v>
      </c>
      <c r="O162" s="84" t="n">
        <f aca="false">IF($N162="مرتجع",0,K162*L162*(1-M162))</f>
        <v>6460</v>
      </c>
      <c r="P162" s="84" t="n">
        <f aca="false">IF($N162="مرتجع",0,K162*IFERROR(INDEX(p_Cost,MATCH($F162,p_ID,0)),0))</f>
        <v>4200</v>
      </c>
      <c r="Q162" s="84" t="n">
        <f aca="false">O162-P162</f>
        <v>2260</v>
      </c>
      <c r="R162" s="86" t="n">
        <f aca="false">DATE(YEAR(B162),MONTH(B162),1)</f>
        <v>45962</v>
      </c>
      <c r="S162" s="83" t="str">
        <f aca="false">YEAR(B162)&amp;"-Q"&amp;ROUNDUP(MONTH(B162)/3,0)</f>
        <v>2025-Q4</v>
      </c>
      <c r="T162" s="87" t="n">
        <f aca="false">IF(O162&gt;0,Q162/O162,"")</f>
        <v>0.34984520123839</v>
      </c>
      <c r="U162" s="84" t="n">
        <f aca="false">IF(O162&gt;0,O162,"")</f>
        <v>6460</v>
      </c>
    </row>
    <row r="163" customFormat="false" ht="15" hidden="false" customHeight="false" outlineLevel="0" collapsed="false">
      <c r="A163" s="81" t="s">
        <v>806</v>
      </c>
      <c r="B163" s="82" t="n">
        <v>45968</v>
      </c>
      <c r="C163" s="81" t="s">
        <v>350</v>
      </c>
      <c r="D163" s="83" t="str">
        <f aca="false">IFERROR(INDEX(c_Name,MATCH($C163,c_ID,0)),"غير معرّف")</f>
        <v>نورة التميمي</v>
      </c>
      <c r="E163" s="83" t="str">
        <f aca="false">IFERROR(INDEX(c_Region,MATCH($C163,c_ID,0)),"غير معرّف")</f>
        <v>الغربية</v>
      </c>
      <c r="F163" s="81" t="s">
        <v>187</v>
      </c>
      <c r="G163" s="83" t="str">
        <f aca="false">IFERROR(INDEX(p_Name,MATCH($F163,p_ID,0)),"غير معرّف")</f>
        <v>جهاز تدليك</v>
      </c>
      <c r="H163" s="83" t="str">
        <f aca="false">IFERROR(INDEX(p_Cat,MATCH($F163,p_ID,0)),"غير معرّف")</f>
        <v>عناية شخصية</v>
      </c>
      <c r="I163" s="81" t="s">
        <v>455</v>
      </c>
      <c r="J163" s="81" t="s">
        <v>91</v>
      </c>
      <c r="K163" s="81" t="n">
        <v>6</v>
      </c>
      <c r="L163" s="84" t="n">
        <f aca="false">IFERROR(INDEX(p_Price,MATCH($F163,p_ID,0)),0)</f>
        <v>600</v>
      </c>
      <c r="M163" s="85" t="n">
        <v>0.15</v>
      </c>
      <c r="N163" s="81" t="s">
        <v>644</v>
      </c>
      <c r="O163" s="84" t="n">
        <f aca="false">IF($N163="مرتجع",0,K163*L163*(1-M163))</f>
        <v>3060</v>
      </c>
      <c r="P163" s="84" t="n">
        <f aca="false">IF($N163="مرتجع",0,K163*IFERROR(INDEX(p_Cost,MATCH($F163,p_ID,0)),0))</f>
        <v>1980</v>
      </c>
      <c r="Q163" s="84" t="n">
        <f aca="false">O163-P163</f>
        <v>1080</v>
      </c>
      <c r="R163" s="86" t="n">
        <f aca="false">DATE(YEAR(B163),MONTH(B163),1)</f>
        <v>45962</v>
      </c>
      <c r="S163" s="83" t="str">
        <f aca="false">YEAR(B163)&amp;"-Q"&amp;ROUNDUP(MONTH(B163)/3,0)</f>
        <v>2025-Q4</v>
      </c>
      <c r="T163" s="87" t="n">
        <f aca="false">IF(O163&gt;0,Q163/O163,"")</f>
        <v>0.352941176470588</v>
      </c>
      <c r="U163" s="84" t="n">
        <f aca="false">IF(O163&gt;0,O163,"")</f>
        <v>3060</v>
      </c>
    </row>
    <row r="164" customFormat="false" ht="15" hidden="false" customHeight="false" outlineLevel="0" collapsed="false">
      <c r="A164" s="81" t="s">
        <v>807</v>
      </c>
      <c r="B164" s="82" t="n">
        <v>45969</v>
      </c>
      <c r="C164" s="81" t="s">
        <v>339</v>
      </c>
      <c r="D164" s="83" t="str">
        <f aca="false">IFERROR(INDEX(c_Name,MATCH($C164,c_ID,0)),"غير معرّف")</f>
        <v>خالد السبيعي</v>
      </c>
      <c r="E164" s="83" t="str">
        <f aca="false">IFERROR(INDEX(c_Region,MATCH($C164,c_ID,0)),"غير معرّف")</f>
        <v>الجنوبية</v>
      </c>
      <c r="F164" s="81" t="s">
        <v>178</v>
      </c>
      <c r="G164" s="83" t="str">
        <f aca="false">IFERROR(INDEX(p_Name,MATCH($F164,p_ID,0)),"غير معرّف")</f>
        <v>حقيبة لابتوب</v>
      </c>
      <c r="H164" s="83" t="str">
        <f aca="false">IFERROR(INDEX(p_Cat,MATCH($F164,p_ID,0)),"غير معرّف")</f>
        <v>مستلزمات مكتبية</v>
      </c>
      <c r="I164" s="81" t="s">
        <v>467</v>
      </c>
      <c r="J164" s="81" t="s">
        <v>95</v>
      </c>
      <c r="K164" s="81" t="n">
        <v>23</v>
      </c>
      <c r="L164" s="84" t="n">
        <f aca="false">IFERROR(INDEX(p_Price,MATCH($F164,p_ID,0)),0)</f>
        <v>260</v>
      </c>
      <c r="M164" s="85" t="n">
        <v>0.15</v>
      </c>
      <c r="N164" s="81" t="s">
        <v>644</v>
      </c>
      <c r="O164" s="84" t="n">
        <f aca="false">IF($N164="مرتجع",0,K164*L164*(1-M164))</f>
        <v>5083</v>
      </c>
      <c r="P164" s="84" t="n">
        <f aca="false">IF($N164="مرتجع",0,K164*IFERROR(INDEX(p_Cost,MATCH($F164,p_ID,0)),0))</f>
        <v>2760</v>
      </c>
      <c r="Q164" s="84" t="n">
        <f aca="false">O164-P164</f>
        <v>2323</v>
      </c>
      <c r="R164" s="86" t="n">
        <f aca="false">DATE(YEAR(B164),MONTH(B164),1)</f>
        <v>45962</v>
      </c>
      <c r="S164" s="83" t="str">
        <f aca="false">YEAR(B164)&amp;"-Q"&amp;ROUNDUP(MONTH(B164)/3,0)</f>
        <v>2025-Q4</v>
      </c>
      <c r="T164" s="87" t="n">
        <f aca="false">IF(O164&gt;0,Q164/O164,"")</f>
        <v>0.457013574660633</v>
      </c>
      <c r="U164" s="84" t="n">
        <f aca="false">IF(O164&gt;0,O164,"")</f>
        <v>5083</v>
      </c>
    </row>
    <row r="165" customFormat="false" ht="15" hidden="false" customHeight="false" outlineLevel="0" collapsed="false">
      <c r="A165" s="81" t="s">
        <v>808</v>
      </c>
      <c r="B165" s="82" t="n">
        <v>45969</v>
      </c>
      <c r="C165" s="81" t="s">
        <v>343</v>
      </c>
      <c r="D165" s="83" t="str">
        <f aca="false">IFERROR(INDEX(c_Name,MATCH($C165,c_ID,0)),"غير معرّف")</f>
        <v>سلمان الحسيني</v>
      </c>
      <c r="E165" s="83" t="str">
        <f aca="false">IFERROR(INDEX(c_Region,MATCH($C165,c_ID,0)),"غير معرّف")</f>
        <v>الجنوبية</v>
      </c>
      <c r="F165" s="81" t="s">
        <v>187</v>
      </c>
      <c r="G165" s="83" t="str">
        <f aca="false">IFERROR(INDEX(p_Name,MATCH($F165,p_ID,0)),"غير معرّف")</f>
        <v>جهاز تدليك</v>
      </c>
      <c r="H165" s="83" t="str">
        <f aca="false">IFERROR(INDEX(p_Cat,MATCH($F165,p_ID,0)),"غير معرّف")</f>
        <v>عناية شخصية</v>
      </c>
      <c r="I165" s="81" t="s">
        <v>467</v>
      </c>
      <c r="J165" s="81" t="s">
        <v>91</v>
      </c>
      <c r="K165" s="81" t="n">
        <v>3</v>
      </c>
      <c r="L165" s="84" t="n">
        <f aca="false">IFERROR(INDEX(p_Price,MATCH($F165,p_ID,0)),0)</f>
        <v>600</v>
      </c>
      <c r="M165" s="85" t="n">
        <v>0.1</v>
      </c>
      <c r="N165" s="81" t="s">
        <v>644</v>
      </c>
      <c r="O165" s="84" t="n">
        <f aca="false">IF($N165="مرتجع",0,K165*L165*(1-M165))</f>
        <v>1620</v>
      </c>
      <c r="P165" s="84" t="n">
        <f aca="false">IF($N165="مرتجع",0,K165*IFERROR(INDEX(p_Cost,MATCH($F165,p_ID,0)),0))</f>
        <v>990</v>
      </c>
      <c r="Q165" s="84" t="n">
        <f aca="false">O165-P165</f>
        <v>630</v>
      </c>
      <c r="R165" s="86" t="n">
        <f aca="false">DATE(YEAR(B165),MONTH(B165),1)</f>
        <v>45962</v>
      </c>
      <c r="S165" s="83" t="str">
        <f aca="false">YEAR(B165)&amp;"-Q"&amp;ROUNDUP(MONTH(B165)/3,0)</f>
        <v>2025-Q4</v>
      </c>
      <c r="T165" s="87" t="n">
        <f aca="false">IF(O165&gt;0,Q165/O165,"")</f>
        <v>0.388888888888889</v>
      </c>
      <c r="U165" s="84" t="n">
        <f aca="false">IF(O165&gt;0,O165,"")</f>
        <v>1620</v>
      </c>
    </row>
    <row r="166" customFormat="false" ht="15" hidden="false" customHeight="false" outlineLevel="0" collapsed="false">
      <c r="A166" s="81" t="s">
        <v>809</v>
      </c>
      <c r="B166" s="82" t="n">
        <v>45969</v>
      </c>
      <c r="C166" s="81" t="s">
        <v>357</v>
      </c>
      <c r="D166" s="83" t="str">
        <f aca="false">IFERROR(INDEX(c_Name,MATCH($C166,c_ID,0)),"غير معرّف")</f>
        <v>منى الحربي</v>
      </c>
      <c r="E166" s="83" t="str">
        <f aca="false">IFERROR(INDEX(c_Region,MATCH($C166,c_ID,0)),"غير معرّف")</f>
        <v>الوسطى</v>
      </c>
      <c r="F166" s="81" t="s">
        <v>184</v>
      </c>
      <c r="G166" s="83" t="str">
        <f aca="false">IFERROR(INDEX(p_Name,MATCH($F166,p_ID,0)),"غير معرّف")</f>
        <v>عطر فاخر</v>
      </c>
      <c r="H166" s="83" t="str">
        <f aca="false">IFERROR(INDEX(p_Cat,MATCH($F166,p_ID,0)),"غير معرّف")</f>
        <v>عناية شخصية</v>
      </c>
      <c r="I166" s="81" t="s">
        <v>443</v>
      </c>
      <c r="J166" s="81" t="s">
        <v>91</v>
      </c>
      <c r="K166" s="81" t="n">
        <v>1</v>
      </c>
      <c r="L166" s="84" t="n">
        <f aca="false">IFERROR(INDEX(p_Price,MATCH($F166,p_ID,0)),0)</f>
        <v>520</v>
      </c>
      <c r="M166" s="85" t="n">
        <v>0.2</v>
      </c>
      <c r="N166" s="81" t="s">
        <v>644</v>
      </c>
      <c r="O166" s="84" t="n">
        <f aca="false">IF($N166="مرتجع",0,K166*L166*(1-M166))</f>
        <v>416</v>
      </c>
      <c r="P166" s="84" t="n">
        <f aca="false">IF($N166="مرتجع",0,K166*IFERROR(INDEX(p_Cost,MATCH($F166,p_ID,0)),0))</f>
        <v>210</v>
      </c>
      <c r="Q166" s="84" t="n">
        <f aca="false">O166-P166</f>
        <v>206</v>
      </c>
      <c r="R166" s="86" t="n">
        <f aca="false">DATE(YEAR(B166),MONTH(B166),1)</f>
        <v>45962</v>
      </c>
      <c r="S166" s="83" t="str">
        <f aca="false">YEAR(B166)&amp;"-Q"&amp;ROUNDUP(MONTH(B166)/3,0)</f>
        <v>2025-Q4</v>
      </c>
      <c r="T166" s="87" t="n">
        <f aca="false">IF(O166&gt;0,Q166/O166,"")</f>
        <v>0.495192307692308</v>
      </c>
      <c r="U166" s="84" t="n">
        <f aca="false">IF(O166&gt;0,O166,"")</f>
        <v>416</v>
      </c>
    </row>
    <row r="167" customFormat="false" ht="15" hidden="false" customHeight="false" outlineLevel="0" collapsed="false">
      <c r="A167" s="81" t="s">
        <v>810</v>
      </c>
      <c r="B167" s="82" t="n">
        <v>45969</v>
      </c>
      <c r="C167" s="81" t="s">
        <v>394</v>
      </c>
      <c r="D167" s="83" t="str">
        <f aca="false">IFERROR(INDEX(c_Name,MATCH($C167,c_ID,0)),"غير معرّف")</f>
        <v>طارق الغامدي</v>
      </c>
      <c r="E167" s="83" t="str">
        <f aca="false">IFERROR(INDEX(c_Region,MATCH($C167,c_ID,0)),"غير معرّف")</f>
        <v>الشرقية</v>
      </c>
      <c r="F167" s="81" t="s">
        <v>174</v>
      </c>
      <c r="G167" s="83" t="str">
        <f aca="false">IFERROR(INDEX(p_Name,MATCH($F167,p_ID,0)),"غير معرّف")</f>
        <v>خزانة ملفات</v>
      </c>
      <c r="H167" s="83" t="str">
        <f aca="false">IFERROR(INDEX(p_Cat,MATCH($F167,p_ID,0)),"غير معرّف")</f>
        <v>أثاث</v>
      </c>
      <c r="I167" s="81" t="s">
        <v>461</v>
      </c>
      <c r="J167" s="81" t="s">
        <v>93</v>
      </c>
      <c r="K167" s="81" t="n">
        <v>3</v>
      </c>
      <c r="L167" s="84" t="n">
        <f aca="false">IFERROR(INDEX(p_Price,MATCH($F167,p_ID,0)),0)</f>
        <v>700</v>
      </c>
      <c r="M167" s="85" t="n">
        <v>0.15</v>
      </c>
      <c r="N167" s="81" t="s">
        <v>644</v>
      </c>
      <c r="O167" s="84" t="n">
        <f aca="false">IF($N167="مرتجع",0,K167*L167*(1-M167))</f>
        <v>1785</v>
      </c>
      <c r="P167" s="84" t="n">
        <f aca="false">IF($N167="مرتجع",0,K167*IFERROR(INDEX(p_Cost,MATCH($F167,p_ID,0)),0))</f>
        <v>1230</v>
      </c>
      <c r="Q167" s="84" t="n">
        <f aca="false">O167-P167</f>
        <v>555</v>
      </c>
      <c r="R167" s="86" t="n">
        <f aca="false">DATE(YEAR(B167),MONTH(B167),1)</f>
        <v>45962</v>
      </c>
      <c r="S167" s="83" t="str">
        <f aca="false">YEAR(B167)&amp;"-Q"&amp;ROUNDUP(MONTH(B167)/3,0)</f>
        <v>2025-Q4</v>
      </c>
      <c r="T167" s="87" t="n">
        <f aca="false">IF(O167&gt;0,Q167/O167,"")</f>
        <v>0.310924369747899</v>
      </c>
      <c r="U167" s="84" t="n">
        <f aca="false">IF(O167&gt;0,O167,"")</f>
        <v>1785</v>
      </c>
    </row>
    <row r="168" customFormat="false" ht="15" hidden="false" customHeight="false" outlineLevel="0" collapsed="false">
      <c r="A168" s="81" t="s">
        <v>811</v>
      </c>
      <c r="B168" s="82" t="n">
        <v>45970</v>
      </c>
      <c r="C168" s="81" t="s">
        <v>418</v>
      </c>
      <c r="D168" s="83" t="str">
        <f aca="false">IFERROR(INDEX(c_Name,MATCH($C168,c_ID,0)),"غير معرّف")</f>
        <v>ياسر الزهراني</v>
      </c>
      <c r="E168" s="83" t="str">
        <f aca="false">IFERROR(INDEX(c_Region,MATCH($C168,c_ID,0)),"غير معرّف")</f>
        <v>الشرقية</v>
      </c>
      <c r="F168" s="81" t="s">
        <v>176</v>
      </c>
      <c r="G168" s="83" t="str">
        <f aca="false">IFERROR(INDEX(p_Name,MATCH($F168,p_ID,0)),"غير معرّف")</f>
        <v>طابعة ليزر</v>
      </c>
      <c r="H168" s="83" t="str">
        <f aca="false">IFERROR(INDEX(p_Cat,MATCH($F168,p_ID,0)),"غير معرّف")</f>
        <v>مستلزمات مكتبية</v>
      </c>
      <c r="I168" s="81" t="s">
        <v>463</v>
      </c>
      <c r="J168" s="81" t="s">
        <v>91</v>
      </c>
      <c r="K168" s="81" t="n">
        <v>2</v>
      </c>
      <c r="L168" s="84" t="n">
        <f aca="false">IFERROR(INDEX(p_Price,MATCH($F168,p_ID,0)),0)</f>
        <v>1300</v>
      </c>
      <c r="M168" s="85" t="n">
        <v>0.15</v>
      </c>
      <c r="N168" s="81" t="s">
        <v>644</v>
      </c>
      <c r="O168" s="84" t="n">
        <f aca="false">IF($N168="مرتجع",0,K168*L168*(1-M168))</f>
        <v>2210</v>
      </c>
      <c r="P168" s="84" t="n">
        <f aca="false">IF($N168="مرتجع",0,K168*IFERROR(INDEX(p_Cost,MATCH($F168,p_ID,0)),0))</f>
        <v>1900</v>
      </c>
      <c r="Q168" s="84" t="n">
        <f aca="false">O168-P168</f>
        <v>310</v>
      </c>
      <c r="R168" s="86" t="n">
        <f aca="false">DATE(YEAR(B168),MONTH(B168),1)</f>
        <v>45962</v>
      </c>
      <c r="S168" s="83" t="str">
        <f aca="false">YEAR(B168)&amp;"-Q"&amp;ROUNDUP(MONTH(B168)/3,0)</f>
        <v>2025-Q4</v>
      </c>
      <c r="T168" s="87" t="n">
        <f aca="false">IF(O168&gt;0,Q168/O168,"")</f>
        <v>0.14027149321267</v>
      </c>
      <c r="U168" s="84" t="n">
        <f aca="false">IF(O168&gt;0,O168,"")</f>
        <v>2210</v>
      </c>
    </row>
    <row r="169" customFormat="false" ht="15" hidden="false" customHeight="false" outlineLevel="0" collapsed="false">
      <c r="A169" s="81" t="s">
        <v>812</v>
      </c>
      <c r="B169" s="82" t="n">
        <v>45970</v>
      </c>
      <c r="C169" s="81" t="s">
        <v>403</v>
      </c>
      <c r="D169" s="83" t="str">
        <f aca="false">IFERROR(INDEX(c_Name,MATCH($C169,c_ID,0)),"غير معرّف")</f>
        <v>ياسر المطيري</v>
      </c>
      <c r="E169" s="83" t="str">
        <f aca="false">IFERROR(INDEX(c_Region,MATCH($C169,c_ID,0)),"غير معرّف")</f>
        <v>الجنوبية</v>
      </c>
      <c r="F169" s="81" t="s">
        <v>167</v>
      </c>
      <c r="G169" s="83" t="str">
        <f aca="false">IFERROR(INDEX(p_Name,MATCH($F169,p_ID,0)),"غير معرّف")</f>
        <v>شاشة 27 بوصة</v>
      </c>
      <c r="H169" s="83" t="str">
        <f aca="false">IFERROR(INDEX(p_Cat,MATCH($F169,p_ID,0)),"غير معرّف")</f>
        <v>إلكترونيات</v>
      </c>
      <c r="I169" s="81" t="s">
        <v>467</v>
      </c>
      <c r="J169" s="81" t="s">
        <v>91</v>
      </c>
      <c r="K169" s="81" t="n">
        <v>1</v>
      </c>
      <c r="L169" s="84" t="n">
        <f aca="false">IFERROR(INDEX(p_Price,MATCH($F169,p_ID,0)),0)</f>
        <v>1100</v>
      </c>
      <c r="M169" s="85" t="n">
        <v>0</v>
      </c>
      <c r="N169" s="81" t="s">
        <v>644</v>
      </c>
      <c r="O169" s="84" t="n">
        <f aca="false">IF($N169="مرتجع",0,K169*L169*(1-M169))</f>
        <v>1100</v>
      </c>
      <c r="P169" s="84" t="n">
        <f aca="false">IF($N169="مرتجع",0,K169*IFERROR(INDEX(p_Cost,MATCH($F169,p_ID,0)),0))</f>
        <v>780</v>
      </c>
      <c r="Q169" s="84" t="n">
        <f aca="false">O169-P169</f>
        <v>320</v>
      </c>
      <c r="R169" s="86" t="n">
        <f aca="false">DATE(YEAR(B169),MONTH(B169),1)</f>
        <v>45962</v>
      </c>
      <c r="S169" s="83" t="str">
        <f aca="false">YEAR(B169)&amp;"-Q"&amp;ROUNDUP(MONTH(B169)/3,0)</f>
        <v>2025-Q4</v>
      </c>
      <c r="T169" s="87" t="n">
        <f aca="false">IF(O169&gt;0,Q169/O169,"")</f>
        <v>0.290909090909091</v>
      </c>
      <c r="U169" s="84" t="n">
        <f aca="false">IF(O169&gt;0,O169,"")</f>
        <v>1100</v>
      </c>
    </row>
    <row r="170" customFormat="false" ht="15" hidden="false" customHeight="false" outlineLevel="0" collapsed="false">
      <c r="A170" s="81" t="s">
        <v>813</v>
      </c>
      <c r="B170" s="82" t="n">
        <v>45970</v>
      </c>
      <c r="C170" s="81" t="s">
        <v>412</v>
      </c>
      <c r="D170" s="83" t="str">
        <f aca="false">IFERROR(INDEX(c_Name,MATCH($C170,c_ID,0)),"غير معرّف")</f>
        <v>سعد العتيبي</v>
      </c>
      <c r="E170" s="83" t="str">
        <f aca="false">IFERROR(INDEX(c_Region,MATCH($C170,c_ID,0)),"غير معرّف")</f>
        <v>الشرقية</v>
      </c>
      <c r="F170" s="81" t="s">
        <v>168</v>
      </c>
      <c r="G170" s="83" t="str">
        <f aca="false">IFERROR(INDEX(p_Name,MATCH($F170,p_ID,0)),"غير معرّف")</f>
        <v>مكنسة كهربائية</v>
      </c>
      <c r="H170" s="83" t="str">
        <f aca="false">IFERROR(INDEX(p_Cat,MATCH($F170,p_ID,0)),"غير معرّف")</f>
        <v>أجهزة منزلية</v>
      </c>
      <c r="I170" s="81" t="s">
        <v>461</v>
      </c>
      <c r="J170" s="81" t="s">
        <v>91</v>
      </c>
      <c r="K170" s="81" t="n">
        <v>1</v>
      </c>
      <c r="L170" s="84" t="n">
        <f aca="false">IFERROR(INDEX(p_Price,MATCH($F170,p_ID,0)),0)</f>
        <v>650</v>
      </c>
      <c r="M170" s="85" t="n">
        <v>0.2</v>
      </c>
      <c r="N170" s="81" t="s">
        <v>644</v>
      </c>
      <c r="O170" s="84" t="n">
        <f aca="false">IF($N170="مرتجع",0,K170*L170*(1-M170))</f>
        <v>520</v>
      </c>
      <c r="P170" s="84" t="n">
        <f aca="false">IF($N170="مرتجع",0,K170*IFERROR(INDEX(p_Cost,MATCH($F170,p_ID,0)),0))</f>
        <v>420</v>
      </c>
      <c r="Q170" s="84" t="n">
        <f aca="false">O170-P170</f>
        <v>100</v>
      </c>
      <c r="R170" s="86" t="n">
        <f aca="false">DATE(YEAR(B170),MONTH(B170),1)</f>
        <v>45962</v>
      </c>
      <c r="S170" s="83" t="str">
        <f aca="false">YEAR(B170)&amp;"-Q"&amp;ROUNDUP(MONTH(B170)/3,0)</f>
        <v>2025-Q4</v>
      </c>
      <c r="T170" s="87" t="n">
        <f aca="false">IF(O170&gt;0,Q170/O170,"")</f>
        <v>0.192307692307692</v>
      </c>
      <c r="U170" s="84" t="n">
        <f aca="false">IF(O170&gt;0,O170,"")</f>
        <v>520</v>
      </c>
    </row>
    <row r="171" customFormat="false" ht="15" hidden="false" customHeight="false" outlineLevel="0" collapsed="false">
      <c r="A171" s="81" t="s">
        <v>814</v>
      </c>
      <c r="B171" s="82" t="n">
        <v>45970</v>
      </c>
      <c r="C171" s="81" t="s">
        <v>349</v>
      </c>
      <c r="D171" s="83" t="str">
        <f aca="false">IFERROR(INDEX(c_Name,MATCH($C171,c_ID,0)),"غير معرّف")</f>
        <v>خالد الزهراني</v>
      </c>
      <c r="E171" s="83" t="str">
        <f aca="false">IFERROR(INDEX(c_Region,MATCH($C171,c_ID,0)),"غير معرّف")</f>
        <v>الوسطى</v>
      </c>
      <c r="F171" s="81" t="s">
        <v>185</v>
      </c>
      <c r="G171" s="83" t="str">
        <f aca="false">IFERROR(INDEX(p_Name,MATCH($F171,p_ID,0)),"غير معرّف")</f>
        <v>ماكينة حلاقة</v>
      </c>
      <c r="H171" s="83" t="str">
        <f aca="false">IFERROR(INDEX(p_Cat,MATCH($F171,p_ID,0)),"غير معرّف")</f>
        <v>عناية شخصية</v>
      </c>
      <c r="I171" s="81" t="s">
        <v>446</v>
      </c>
      <c r="J171" s="81" t="s">
        <v>91</v>
      </c>
      <c r="K171" s="81" t="n">
        <v>3</v>
      </c>
      <c r="L171" s="84" t="n">
        <f aca="false">IFERROR(INDEX(p_Price,MATCH($F171,p_ID,0)),0)</f>
        <v>340</v>
      </c>
      <c r="M171" s="85" t="n">
        <v>0.1</v>
      </c>
      <c r="N171" s="81" t="s">
        <v>644</v>
      </c>
      <c r="O171" s="84" t="n">
        <f aca="false">IF($N171="مرتجع",0,K171*L171*(1-M171))</f>
        <v>918</v>
      </c>
      <c r="P171" s="84" t="n">
        <f aca="false">IF($N171="مرتجع",0,K171*IFERROR(INDEX(p_Cost,MATCH($F171,p_ID,0)),0))</f>
        <v>510</v>
      </c>
      <c r="Q171" s="84" t="n">
        <f aca="false">O171-P171</f>
        <v>408</v>
      </c>
      <c r="R171" s="86" t="n">
        <f aca="false">DATE(YEAR(B171),MONTH(B171),1)</f>
        <v>45962</v>
      </c>
      <c r="S171" s="83" t="str">
        <f aca="false">YEAR(B171)&amp;"-Q"&amp;ROUNDUP(MONTH(B171)/3,0)</f>
        <v>2025-Q4</v>
      </c>
      <c r="T171" s="87" t="n">
        <f aca="false">IF(O171&gt;0,Q171/O171,"")</f>
        <v>0.444444444444444</v>
      </c>
      <c r="U171" s="84" t="n">
        <f aca="false">IF(O171&gt;0,O171,"")</f>
        <v>918</v>
      </c>
    </row>
    <row r="172" customFormat="false" ht="15" hidden="false" customHeight="false" outlineLevel="0" collapsed="false">
      <c r="A172" s="81" t="s">
        <v>815</v>
      </c>
      <c r="B172" s="82" t="n">
        <v>45970</v>
      </c>
      <c r="C172" s="81" t="s">
        <v>271</v>
      </c>
      <c r="D172" s="83" t="str">
        <f aca="false">IFERROR(INDEX(c_Name,MATCH($C172,c_ID,0)),"غير معرّف")</f>
        <v>أحمد الزهراني</v>
      </c>
      <c r="E172" s="83" t="str">
        <f aca="false">IFERROR(INDEX(c_Region,MATCH($C172,c_ID,0)),"غير معرّف")</f>
        <v>الغربية</v>
      </c>
      <c r="F172" s="81" t="s">
        <v>173</v>
      </c>
      <c r="G172" s="83" t="str">
        <f aca="false">IFERROR(INDEX(p_Name,MATCH($F172,p_ID,0)),"غير معرّف")</f>
        <v>كرسي مريح</v>
      </c>
      <c r="H172" s="83" t="str">
        <f aca="false">IFERROR(INDEX(p_Cat,MATCH($F172,p_ID,0)),"غير معرّف")</f>
        <v>أثاث</v>
      </c>
      <c r="I172" s="81" t="s">
        <v>455</v>
      </c>
      <c r="J172" s="81" t="s">
        <v>91</v>
      </c>
      <c r="K172" s="81" t="n">
        <v>4</v>
      </c>
      <c r="L172" s="84" t="n">
        <f aca="false">IFERROR(INDEX(p_Price,MATCH($F172,p_ID,0)),0)</f>
        <v>850</v>
      </c>
      <c r="M172" s="85" t="n">
        <v>0.1</v>
      </c>
      <c r="N172" s="81" t="s">
        <v>644</v>
      </c>
      <c r="O172" s="84" t="n">
        <f aca="false">IF($N172="مرتجع",0,K172*L172*(1-M172))</f>
        <v>3060</v>
      </c>
      <c r="P172" s="84" t="n">
        <f aca="false">IF($N172="مرتجع",0,K172*IFERROR(INDEX(p_Cost,MATCH($F172,p_ID,0)),0))</f>
        <v>1920</v>
      </c>
      <c r="Q172" s="84" t="n">
        <f aca="false">O172-P172</f>
        <v>1140</v>
      </c>
      <c r="R172" s="86" t="n">
        <f aca="false">DATE(YEAR(B172),MONTH(B172),1)</f>
        <v>45962</v>
      </c>
      <c r="S172" s="83" t="str">
        <f aca="false">YEAR(B172)&amp;"-Q"&amp;ROUNDUP(MONTH(B172)/3,0)</f>
        <v>2025-Q4</v>
      </c>
      <c r="T172" s="87" t="n">
        <f aca="false">IF(O172&gt;0,Q172/O172,"")</f>
        <v>0.372549019607843</v>
      </c>
      <c r="U172" s="84" t="n">
        <f aca="false">IF(O172&gt;0,O172,"")</f>
        <v>3060</v>
      </c>
    </row>
    <row r="173" customFormat="false" ht="15" hidden="false" customHeight="false" outlineLevel="0" collapsed="false">
      <c r="A173" s="81" t="s">
        <v>816</v>
      </c>
      <c r="B173" s="82" t="n">
        <v>45970</v>
      </c>
      <c r="C173" s="81" t="s">
        <v>406</v>
      </c>
      <c r="D173" s="83" t="str">
        <f aca="false">IFERROR(INDEX(c_Name,MATCH($C173,c_ID,0)),"غير معرّف")</f>
        <v>نورة الشهري</v>
      </c>
      <c r="E173" s="83" t="str">
        <f aca="false">IFERROR(INDEX(c_Region,MATCH($C173,c_ID,0)),"غير معرّف")</f>
        <v>الجنوبية</v>
      </c>
      <c r="F173" s="81" t="s">
        <v>174</v>
      </c>
      <c r="G173" s="83" t="str">
        <f aca="false">IFERROR(INDEX(p_Name,MATCH($F173,p_ID,0)),"غير معرّف")</f>
        <v>خزانة ملفات</v>
      </c>
      <c r="H173" s="83" t="str">
        <f aca="false">IFERROR(INDEX(p_Cat,MATCH($F173,p_ID,0)),"غير معرّف")</f>
        <v>أثاث</v>
      </c>
      <c r="I173" s="81" t="s">
        <v>465</v>
      </c>
      <c r="J173" s="81" t="s">
        <v>93</v>
      </c>
      <c r="K173" s="81" t="n">
        <v>14</v>
      </c>
      <c r="L173" s="84" t="n">
        <f aca="false">IFERROR(INDEX(p_Price,MATCH($F173,p_ID,0)),0)</f>
        <v>700</v>
      </c>
      <c r="M173" s="85" t="n">
        <v>0.15</v>
      </c>
      <c r="N173" s="81" t="s">
        <v>644</v>
      </c>
      <c r="O173" s="84" t="n">
        <f aca="false">IF($N173="مرتجع",0,K173*L173*(1-M173))</f>
        <v>8330</v>
      </c>
      <c r="P173" s="84" t="n">
        <f aca="false">IF($N173="مرتجع",0,K173*IFERROR(INDEX(p_Cost,MATCH($F173,p_ID,0)),0))</f>
        <v>5740</v>
      </c>
      <c r="Q173" s="84" t="n">
        <f aca="false">O173-P173</f>
        <v>2590</v>
      </c>
      <c r="R173" s="86" t="n">
        <f aca="false">DATE(YEAR(B173),MONTH(B173),1)</f>
        <v>45962</v>
      </c>
      <c r="S173" s="83" t="str">
        <f aca="false">YEAR(B173)&amp;"-Q"&amp;ROUNDUP(MONTH(B173)/3,0)</f>
        <v>2025-Q4</v>
      </c>
      <c r="T173" s="87" t="n">
        <f aca="false">IF(O173&gt;0,Q173/O173,"")</f>
        <v>0.310924369747899</v>
      </c>
      <c r="U173" s="84" t="n">
        <f aca="false">IF(O173&gt;0,O173,"")</f>
        <v>8330</v>
      </c>
    </row>
    <row r="174" customFormat="false" ht="15" hidden="false" customHeight="false" outlineLevel="0" collapsed="false">
      <c r="A174" s="81" t="s">
        <v>817</v>
      </c>
      <c r="B174" s="82" t="n">
        <v>45970</v>
      </c>
      <c r="C174" s="81" t="s">
        <v>262</v>
      </c>
      <c r="D174" s="83" t="str">
        <f aca="false">IFERROR(INDEX(c_Name,MATCH($C174,c_ID,0)),"غير معرّف")</f>
        <v>ناصر السبيعي</v>
      </c>
      <c r="E174" s="83" t="str">
        <f aca="false">IFERROR(INDEX(c_Region,MATCH($C174,c_ID,0)),"غير معرّف")</f>
        <v>الغربية</v>
      </c>
      <c r="F174" s="81" t="s">
        <v>167</v>
      </c>
      <c r="G174" s="83" t="str">
        <f aca="false">IFERROR(INDEX(p_Name,MATCH($F174,p_ID,0)),"غير معرّف")</f>
        <v>شاشة 27 بوصة</v>
      </c>
      <c r="H174" s="83" t="str">
        <f aca="false">IFERROR(INDEX(p_Cat,MATCH($F174,p_ID,0)),"غير معرّف")</f>
        <v>إلكترونيات</v>
      </c>
      <c r="I174" s="81" t="s">
        <v>452</v>
      </c>
      <c r="J174" s="81" t="s">
        <v>93</v>
      </c>
      <c r="K174" s="81" t="n">
        <v>2</v>
      </c>
      <c r="L174" s="84" t="n">
        <f aca="false">IFERROR(INDEX(p_Price,MATCH($F174,p_ID,0)),0)</f>
        <v>1100</v>
      </c>
      <c r="M174" s="85" t="n">
        <v>0.15</v>
      </c>
      <c r="N174" s="81" t="s">
        <v>644</v>
      </c>
      <c r="O174" s="84" t="n">
        <f aca="false">IF($N174="مرتجع",0,K174*L174*(1-M174))</f>
        <v>1870</v>
      </c>
      <c r="P174" s="84" t="n">
        <f aca="false">IF($N174="مرتجع",0,K174*IFERROR(INDEX(p_Cost,MATCH($F174,p_ID,0)),0))</f>
        <v>1560</v>
      </c>
      <c r="Q174" s="84" t="n">
        <f aca="false">O174-P174</f>
        <v>310</v>
      </c>
      <c r="R174" s="86" t="n">
        <f aca="false">DATE(YEAR(B174),MONTH(B174),1)</f>
        <v>45962</v>
      </c>
      <c r="S174" s="83" t="str">
        <f aca="false">YEAR(B174)&amp;"-Q"&amp;ROUNDUP(MONTH(B174)/3,0)</f>
        <v>2025-Q4</v>
      </c>
      <c r="T174" s="87" t="n">
        <f aca="false">IF(O174&gt;0,Q174/O174,"")</f>
        <v>0.165775401069519</v>
      </c>
      <c r="U174" s="84" t="n">
        <f aca="false">IF(O174&gt;0,O174,"")</f>
        <v>1870</v>
      </c>
    </row>
    <row r="175" customFormat="false" ht="15" hidden="false" customHeight="false" outlineLevel="0" collapsed="false">
      <c r="A175" s="81" t="s">
        <v>818</v>
      </c>
      <c r="B175" s="82" t="n">
        <v>45971</v>
      </c>
      <c r="C175" s="81" t="s">
        <v>240</v>
      </c>
      <c r="D175" s="83" t="str">
        <f aca="false">IFERROR(INDEX(c_Name,MATCH($C175,c_ID,0)),"غير معرّف")</f>
        <v>سارة العنزي</v>
      </c>
      <c r="E175" s="83" t="str">
        <f aca="false">IFERROR(INDEX(c_Region,MATCH($C175,c_ID,0)),"غير معرّف")</f>
        <v>الغربية</v>
      </c>
      <c r="F175" s="81" t="s">
        <v>184</v>
      </c>
      <c r="G175" s="83" t="str">
        <f aca="false">IFERROR(INDEX(p_Name,MATCH($F175,p_ID,0)),"غير معرّف")</f>
        <v>عطر فاخر</v>
      </c>
      <c r="H175" s="83" t="str">
        <f aca="false">IFERROR(INDEX(p_Cat,MATCH($F175,p_ID,0)),"غير معرّف")</f>
        <v>عناية شخصية</v>
      </c>
      <c r="I175" s="81" t="s">
        <v>455</v>
      </c>
      <c r="J175" s="81" t="s">
        <v>91</v>
      </c>
      <c r="K175" s="81" t="n">
        <v>2</v>
      </c>
      <c r="L175" s="84" t="n">
        <f aca="false">IFERROR(INDEX(p_Price,MATCH($F175,p_ID,0)),0)</f>
        <v>520</v>
      </c>
      <c r="M175" s="85" t="n">
        <v>0.15</v>
      </c>
      <c r="N175" s="81" t="s">
        <v>644</v>
      </c>
      <c r="O175" s="84" t="n">
        <f aca="false">IF($N175="مرتجع",0,K175*L175*(1-M175))</f>
        <v>884</v>
      </c>
      <c r="P175" s="84" t="n">
        <f aca="false">IF($N175="مرتجع",0,K175*IFERROR(INDEX(p_Cost,MATCH($F175,p_ID,0)),0))</f>
        <v>420</v>
      </c>
      <c r="Q175" s="84" t="n">
        <f aca="false">O175-P175</f>
        <v>464</v>
      </c>
      <c r="R175" s="86" t="n">
        <f aca="false">DATE(YEAR(B175),MONTH(B175),1)</f>
        <v>45962</v>
      </c>
      <c r="S175" s="83" t="str">
        <f aca="false">YEAR(B175)&amp;"-Q"&amp;ROUNDUP(MONTH(B175)/3,0)</f>
        <v>2025-Q4</v>
      </c>
      <c r="T175" s="87" t="n">
        <f aca="false">IF(O175&gt;0,Q175/O175,"")</f>
        <v>0.524886877828054</v>
      </c>
      <c r="U175" s="84" t="n">
        <f aca="false">IF(O175&gt;0,O175,"")</f>
        <v>884</v>
      </c>
    </row>
    <row r="176" customFormat="false" ht="15" hidden="false" customHeight="false" outlineLevel="0" collapsed="false">
      <c r="A176" s="81" t="s">
        <v>819</v>
      </c>
      <c r="B176" s="82" t="n">
        <v>45972</v>
      </c>
      <c r="C176" s="81" t="s">
        <v>311</v>
      </c>
      <c r="D176" s="83" t="str">
        <f aca="false">IFERROR(INDEX(c_Name,MATCH($C176,c_ID,0)),"غير معرّف")</f>
        <v>لمى الحسيني</v>
      </c>
      <c r="E176" s="83" t="str">
        <f aca="false">IFERROR(INDEX(c_Region,MATCH($C176,c_ID,0)),"غير معرّف")</f>
        <v>الوسطى</v>
      </c>
      <c r="F176" s="81" t="s">
        <v>174</v>
      </c>
      <c r="G176" s="83" t="str">
        <f aca="false">IFERROR(INDEX(p_Name,MATCH($F176,p_ID,0)),"غير معرّف")</f>
        <v>خزانة ملفات</v>
      </c>
      <c r="H176" s="83" t="str">
        <f aca="false">IFERROR(INDEX(p_Cat,MATCH($F176,p_ID,0)),"غير معرّف")</f>
        <v>أثاث</v>
      </c>
      <c r="I176" s="81" t="s">
        <v>449</v>
      </c>
      <c r="J176" s="81" t="s">
        <v>93</v>
      </c>
      <c r="K176" s="81" t="n">
        <v>1</v>
      </c>
      <c r="L176" s="84" t="n">
        <f aca="false">IFERROR(INDEX(p_Price,MATCH($F176,p_ID,0)),0)</f>
        <v>700</v>
      </c>
      <c r="M176" s="85" t="n">
        <v>0.05</v>
      </c>
      <c r="N176" s="81" t="s">
        <v>644</v>
      </c>
      <c r="O176" s="84" t="n">
        <f aca="false">IF($N176="مرتجع",0,K176*L176*(1-M176))</f>
        <v>665</v>
      </c>
      <c r="P176" s="84" t="n">
        <f aca="false">IF($N176="مرتجع",0,K176*IFERROR(INDEX(p_Cost,MATCH($F176,p_ID,0)),0))</f>
        <v>410</v>
      </c>
      <c r="Q176" s="84" t="n">
        <f aca="false">O176-P176</f>
        <v>255</v>
      </c>
      <c r="R176" s="86" t="n">
        <f aca="false">DATE(YEAR(B176),MONTH(B176),1)</f>
        <v>45962</v>
      </c>
      <c r="S176" s="83" t="str">
        <f aca="false">YEAR(B176)&amp;"-Q"&amp;ROUNDUP(MONTH(B176)/3,0)</f>
        <v>2025-Q4</v>
      </c>
      <c r="T176" s="87" t="n">
        <f aca="false">IF(O176&gt;0,Q176/O176,"")</f>
        <v>0.383458646616541</v>
      </c>
      <c r="U176" s="84" t="n">
        <f aca="false">IF(O176&gt;0,O176,"")</f>
        <v>665</v>
      </c>
    </row>
    <row r="177" customFormat="false" ht="15" hidden="false" customHeight="false" outlineLevel="0" collapsed="false">
      <c r="A177" s="81" t="s">
        <v>820</v>
      </c>
      <c r="B177" s="82" t="n">
        <v>45972</v>
      </c>
      <c r="C177" s="81" t="s">
        <v>293</v>
      </c>
      <c r="D177" s="83" t="str">
        <f aca="false">IFERROR(INDEX(c_Name,MATCH($C177,c_ID,0)),"غير معرّف")</f>
        <v>سارة الغامدي</v>
      </c>
      <c r="E177" s="83" t="str">
        <f aca="false">IFERROR(INDEX(c_Region,MATCH($C177,c_ID,0)),"غير معرّف")</f>
        <v>الوسطى</v>
      </c>
      <c r="F177" s="81" t="s">
        <v>185</v>
      </c>
      <c r="G177" s="83" t="str">
        <f aca="false">IFERROR(INDEX(p_Name,MATCH($F177,p_ID,0)),"غير معرّف")</f>
        <v>ماكينة حلاقة</v>
      </c>
      <c r="H177" s="83" t="str">
        <f aca="false">IFERROR(INDEX(p_Cat,MATCH($F177,p_ID,0)),"غير معرّف")</f>
        <v>عناية شخصية</v>
      </c>
      <c r="I177" s="81" t="s">
        <v>443</v>
      </c>
      <c r="J177" s="81" t="s">
        <v>91</v>
      </c>
      <c r="K177" s="81" t="n">
        <v>1</v>
      </c>
      <c r="L177" s="84" t="n">
        <f aca="false">IFERROR(INDEX(p_Price,MATCH($F177,p_ID,0)),0)</f>
        <v>340</v>
      </c>
      <c r="M177" s="85" t="n">
        <v>0.1</v>
      </c>
      <c r="N177" s="81" t="s">
        <v>644</v>
      </c>
      <c r="O177" s="84" t="n">
        <f aca="false">IF($N177="مرتجع",0,K177*L177*(1-M177))</f>
        <v>306</v>
      </c>
      <c r="P177" s="84" t="n">
        <f aca="false">IF($N177="مرتجع",0,K177*IFERROR(INDEX(p_Cost,MATCH($F177,p_ID,0)),0))</f>
        <v>170</v>
      </c>
      <c r="Q177" s="84" t="n">
        <f aca="false">O177-P177</f>
        <v>136</v>
      </c>
      <c r="R177" s="86" t="n">
        <f aca="false">DATE(YEAR(B177),MONTH(B177),1)</f>
        <v>45962</v>
      </c>
      <c r="S177" s="83" t="str">
        <f aca="false">YEAR(B177)&amp;"-Q"&amp;ROUNDUP(MONTH(B177)/3,0)</f>
        <v>2025-Q4</v>
      </c>
      <c r="T177" s="87" t="n">
        <f aca="false">IF(O177&gt;0,Q177/O177,"")</f>
        <v>0.444444444444444</v>
      </c>
      <c r="U177" s="84" t="n">
        <f aca="false">IF(O177&gt;0,O177,"")</f>
        <v>306</v>
      </c>
    </row>
    <row r="178" customFormat="false" ht="15" hidden="false" customHeight="false" outlineLevel="0" collapsed="false">
      <c r="A178" s="81" t="s">
        <v>821</v>
      </c>
      <c r="B178" s="82" t="n">
        <v>45972</v>
      </c>
      <c r="C178" s="81" t="s">
        <v>342</v>
      </c>
      <c r="D178" s="83" t="str">
        <f aca="false">IFERROR(INDEX(c_Name,MATCH($C178,c_ID,0)),"غير معرّف")</f>
        <v>دانة الحربي</v>
      </c>
      <c r="E178" s="83" t="str">
        <f aca="false">IFERROR(INDEX(c_Region,MATCH($C178,c_ID,0)),"غير معرّف")</f>
        <v>الشرقية</v>
      </c>
      <c r="F178" s="81" t="s">
        <v>165</v>
      </c>
      <c r="G178" s="83" t="str">
        <f aca="false">IFERROR(INDEX(p_Name,MATCH($F178,p_ID,0)),"غير معرّف")</f>
        <v>حاسوب محمول</v>
      </c>
      <c r="H178" s="83" t="str">
        <f aca="false">IFERROR(INDEX(p_Cat,MATCH($F178,p_ID,0)),"غير معرّف")</f>
        <v>إلكترونيات</v>
      </c>
      <c r="I178" s="81" t="s">
        <v>463</v>
      </c>
      <c r="J178" s="81" t="s">
        <v>91</v>
      </c>
      <c r="K178" s="81" t="n">
        <v>1</v>
      </c>
      <c r="L178" s="84" t="n">
        <f aca="false">IFERROR(INDEX(p_Price,MATCH($F178,p_ID,0)),0)</f>
        <v>3800</v>
      </c>
      <c r="M178" s="85" t="n">
        <v>0.15</v>
      </c>
      <c r="N178" s="81" t="s">
        <v>644</v>
      </c>
      <c r="O178" s="84" t="n">
        <f aca="false">IF($N178="مرتجع",0,K178*L178*(1-M178))</f>
        <v>3230</v>
      </c>
      <c r="P178" s="84" t="n">
        <f aca="false">IF($N178="مرتجع",0,K178*IFERROR(INDEX(p_Cost,MATCH($F178,p_ID,0)),0))</f>
        <v>2900</v>
      </c>
      <c r="Q178" s="84" t="n">
        <f aca="false">O178-P178</f>
        <v>330</v>
      </c>
      <c r="R178" s="86" t="n">
        <f aca="false">DATE(YEAR(B178),MONTH(B178),1)</f>
        <v>45962</v>
      </c>
      <c r="S178" s="83" t="str">
        <f aca="false">YEAR(B178)&amp;"-Q"&amp;ROUNDUP(MONTH(B178)/3,0)</f>
        <v>2025-Q4</v>
      </c>
      <c r="T178" s="87" t="n">
        <f aca="false">IF(O178&gt;0,Q178/O178,"")</f>
        <v>0.102167182662539</v>
      </c>
      <c r="U178" s="84" t="n">
        <f aca="false">IF(O178&gt;0,O178,"")</f>
        <v>3230</v>
      </c>
    </row>
    <row r="179" customFormat="false" ht="15" hidden="false" customHeight="false" outlineLevel="0" collapsed="false">
      <c r="A179" s="81" t="s">
        <v>822</v>
      </c>
      <c r="B179" s="82" t="n">
        <v>45972</v>
      </c>
      <c r="C179" s="81" t="s">
        <v>341</v>
      </c>
      <c r="D179" s="83" t="str">
        <f aca="false">IFERROR(INDEX(c_Name,MATCH($C179,c_ID,0)),"غير معرّف")</f>
        <v>منى الحسيني</v>
      </c>
      <c r="E179" s="83" t="str">
        <f aca="false">IFERROR(INDEX(c_Region,MATCH($C179,c_ID,0)),"غير معرّف")</f>
        <v>الجنوبية</v>
      </c>
      <c r="F179" s="81" t="s">
        <v>183</v>
      </c>
      <c r="G179" s="83" t="str">
        <f aca="false">IFERROR(INDEX(p_Name,MATCH($F179,p_ID,0)),"غير معرّف")</f>
        <v>سجادة يوغا</v>
      </c>
      <c r="H179" s="83" t="str">
        <f aca="false">IFERROR(INDEX(p_Cat,MATCH($F179,p_ID,0)),"غير معرّف")</f>
        <v>رياضة</v>
      </c>
      <c r="I179" s="81" t="s">
        <v>467</v>
      </c>
      <c r="J179" s="81" t="s">
        <v>93</v>
      </c>
      <c r="K179" s="81" t="n">
        <v>2</v>
      </c>
      <c r="L179" s="84" t="n">
        <f aca="false">IFERROR(INDEX(p_Price,MATCH($F179,p_ID,0)),0)</f>
        <v>120</v>
      </c>
      <c r="M179" s="85" t="n">
        <v>0.15</v>
      </c>
      <c r="N179" s="81" t="s">
        <v>644</v>
      </c>
      <c r="O179" s="84" t="n">
        <f aca="false">IF($N179="مرتجع",0,K179*L179*(1-M179))</f>
        <v>204</v>
      </c>
      <c r="P179" s="84" t="n">
        <f aca="false">IF($N179="مرتجع",0,K179*IFERROR(INDEX(p_Cost,MATCH($F179,p_ID,0)),0))</f>
        <v>100</v>
      </c>
      <c r="Q179" s="84" t="n">
        <f aca="false">O179-P179</f>
        <v>104</v>
      </c>
      <c r="R179" s="86" t="n">
        <f aca="false">DATE(YEAR(B179),MONTH(B179),1)</f>
        <v>45962</v>
      </c>
      <c r="S179" s="83" t="str">
        <f aca="false">YEAR(B179)&amp;"-Q"&amp;ROUNDUP(MONTH(B179)/3,0)</f>
        <v>2025-Q4</v>
      </c>
      <c r="T179" s="87" t="n">
        <f aca="false">IF(O179&gt;0,Q179/O179,"")</f>
        <v>0.509803921568627</v>
      </c>
      <c r="U179" s="84" t="n">
        <f aca="false">IF(O179&gt;0,O179,"")</f>
        <v>204</v>
      </c>
    </row>
    <row r="180" customFormat="false" ht="15" hidden="false" customHeight="false" outlineLevel="0" collapsed="false">
      <c r="A180" s="81" t="s">
        <v>823</v>
      </c>
      <c r="B180" s="82" t="n">
        <v>45972</v>
      </c>
      <c r="C180" s="81" t="s">
        <v>327</v>
      </c>
      <c r="D180" s="83" t="str">
        <f aca="false">IFERROR(INDEX(c_Name,MATCH($C180,c_ID,0)),"غير معرّف")</f>
        <v>ناصر التميمي</v>
      </c>
      <c r="E180" s="83" t="str">
        <f aca="false">IFERROR(INDEX(c_Region,MATCH($C180,c_ID,0)),"غير معرّف")</f>
        <v>الجنوبية</v>
      </c>
      <c r="F180" s="81" t="s">
        <v>167</v>
      </c>
      <c r="G180" s="83" t="str">
        <f aca="false">IFERROR(INDEX(p_Name,MATCH($F180,p_ID,0)),"غير معرّف")</f>
        <v>شاشة 27 بوصة</v>
      </c>
      <c r="H180" s="83" t="str">
        <f aca="false">IFERROR(INDEX(p_Cat,MATCH($F180,p_ID,0)),"غير معرّف")</f>
        <v>إلكترونيات</v>
      </c>
      <c r="I180" s="81" t="s">
        <v>465</v>
      </c>
      <c r="J180" s="81" t="s">
        <v>91</v>
      </c>
      <c r="K180" s="81" t="n">
        <v>1</v>
      </c>
      <c r="L180" s="84" t="n">
        <f aca="false">IFERROR(INDEX(p_Price,MATCH($F180,p_ID,0)),0)</f>
        <v>1100</v>
      </c>
      <c r="M180" s="85" t="n">
        <v>0.15</v>
      </c>
      <c r="N180" s="81" t="s">
        <v>644</v>
      </c>
      <c r="O180" s="84" t="n">
        <f aca="false">IF($N180="مرتجع",0,K180*L180*(1-M180))</f>
        <v>935</v>
      </c>
      <c r="P180" s="84" t="n">
        <f aca="false">IF($N180="مرتجع",0,K180*IFERROR(INDEX(p_Cost,MATCH($F180,p_ID,0)),0))</f>
        <v>780</v>
      </c>
      <c r="Q180" s="84" t="n">
        <f aca="false">O180-P180</f>
        <v>155</v>
      </c>
      <c r="R180" s="86" t="n">
        <f aca="false">DATE(YEAR(B180),MONTH(B180),1)</f>
        <v>45962</v>
      </c>
      <c r="S180" s="83" t="str">
        <f aca="false">YEAR(B180)&amp;"-Q"&amp;ROUNDUP(MONTH(B180)/3,0)</f>
        <v>2025-Q4</v>
      </c>
      <c r="T180" s="87" t="n">
        <f aca="false">IF(O180&gt;0,Q180/O180,"")</f>
        <v>0.165775401069519</v>
      </c>
      <c r="U180" s="84" t="n">
        <f aca="false">IF(O180&gt;0,O180,"")</f>
        <v>935</v>
      </c>
    </row>
    <row r="181" customFormat="false" ht="15" hidden="false" customHeight="false" outlineLevel="0" collapsed="false">
      <c r="A181" s="81" t="s">
        <v>824</v>
      </c>
      <c r="B181" s="82" t="n">
        <v>45972</v>
      </c>
      <c r="C181" s="81" t="s">
        <v>341</v>
      </c>
      <c r="D181" s="83" t="str">
        <f aca="false">IFERROR(INDEX(c_Name,MATCH($C181,c_ID,0)),"غير معرّف")</f>
        <v>منى الحسيني</v>
      </c>
      <c r="E181" s="83" t="str">
        <f aca="false">IFERROR(INDEX(c_Region,MATCH($C181,c_ID,0)),"غير معرّف")</f>
        <v>الجنوبية</v>
      </c>
      <c r="F181" s="81" t="s">
        <v>186</v>
      </c>
      <c r="G181" s="83" t="str">
        <f aca="false">IFERROR(INDEX(p_Name,MATCH($F181,p_ID,0)),"غير معرّف")</f>
        <v>مجفف شعر</v>
      </c>
      <c r="H181" s="83" t="str">
        <f aca="false">IFERROR(INDEX(p_Cat,MATCH($F181,p_ID,0)),"غير معرّف")</f>
        <v>عناية شخصية</v>
      </c>
      <c r="I181" s="81" t="s">
        <v>465</v>
      </c>
      <c r="J181" s="81" t="s">
        <v>91</v>
      </c>
      <c r="K181" s="81" t="n">
        <v>1</v>
      </c>
      <c r="L181" s="84" t="n">
        <f aca="false">IFERROR(INDEX(p_Price,MATCH($F181,p_ID,0)),0)</f>
        <v>280</v>
      </c>
      <c r="M181" s="85" t="n">
        <v>0</v>
      </c>
      <c r="N181" s="81" t="s">
        <v>644</v>
      </c>
      <c r="O181" s="84" t="n">
        <f aca="false">IF($N181="مرتجع",0,K181*L181*(1-M181))</f>
        <v>280</v>
      </c>
      <c r="P181" s="84" t="n">
        <f aca="false">IF($N181="مرتجع",0,K181*IFERROR(INDEX(p_Cost,MATCH($F181,p_ID,0)),0))</f>
        <v>140</v>
      </c>
      <c r="Q181" s="84" t="n">
        <f aca="false">O181-P181</f>
        <v>140</v>
      </c>
      <c r="R181" s="86" t="n">
        <f aca="false">DATE(YEAR(B181),MONTH(B181),1)</f>
        <v>45962</v>
      </c>
      <c r="S181" s="83" t="str">
        <f aca="false">YEAR(B181)&amp;"-Q"&amp;ROUNDUP(MONTH(B181)/3,0)</f>
        <v>2025-Q4</v>
      </c>
      <c r="T181" s="87" t="n">
        <f aca="false">IF(O181&gt;0,Q181/O181,"")</f>
        <v>0.5</v>
      </c>
      <c r="U181" s="84" t="n">
        <f aca="false">IF(O181&gt;0,O181,"")</f>
        <v>280</v>
      </c>
    </row>
    <row r="182" customFormat="false" ht="15" hidden="false" customHeight="false" outlineLevel="0" collapsed="false">
      <c r="A182" s="81" t="s">
        <v>825</v>
      </c>
      <c r="B182" s="82" t="n">
        <v>45972</v>
      </c>
      <c r="C182" s="81" t="s">
        <v>423</v>
      </c>
      <c r="D182" s="83" t="str">
        <f aca="false">IFERROR(INDEX(c_Name,MATCH($C182,c_ID,0)),"غير معرّف")</f>
        <v>ناصر المطيري</v>
      </c>
      <c r="E182" s="83" t="str">
        <f aca="false">IFERROR(INDEX(c_Region,MATCH($C182,c_ID,0)),"غير معرّف")</f>
        <v>الغربية</v>
      </c>
      <c r="F182" s="81" t="s">
        <v>186</v>
      </c>
      <c r="G182" s="83" t="str">
        <f aca="false">IFERROR(INDEX(p_Name,MATCH($F182,p_ID,0)),"غير معرّف")</f>
        <v>مجفف شعر</v>
      </c>
      <c r="H182" s="83" t="str">
        <f aca="false">IFERROR(INDEX(p_Cat,MATCH($F182,p_ID,0)),"غير معرّف")</f>
        <v>عناية شخصية</v>
      </c>
      <c r="I182" s="81" t="s">
        <v>455</v>
      </c>
      <c r="J182" s="81" t="s">
        <v>91</v>
      </c>
      <c r="K182" s="81" t="n">
        <v>1</v>
      </c>
      <c r="L182" s="84" t="n">
        <f aca="false">IFERROR(INDEX(p_Price,MATCH($F182,p_ID,0)),0)</f>
        <v>280</v>
      </c>
      <c r="M182" s="85" t="n">
        <v>0.15</v>
      </c>
      <c r="N182" s="81" t="s">
        <v>644</v>
      </c>
      <c r="O182" s="84" t="n">
        <f aca="false">IF($N182="مرتجع",0,K182*L182*(1-M182))</f>
        <v>238</v>
      </c>
      <c r="P182" s="84" t="n">
        <f aca="false">IF($N182="مرتجع",0,K182*IFERROR(INDEX(p_Cost,MATCH($F182,p_ID,0)),0))</f>
        <v>140</v>
      </c>
      <c r="Q182" s="84" t="n">
        <f aca="false">O182-P182</f>
        <v>98</v>
      </c>
      <c r="R182" s="86" t="n">
        <f aca="false">DATE(YEAR(B182),MONTH(B182),1)</f>
        <v>45962</v>
      </c>
      <c r="S182" s="83" t="str">
        <f aca="false">YEAR(B182)&amp;"-Q"&amp;ROUNDUP(MONTH(B182)/3,0)</f>
        <v>2025-Q4</v>
      </c>
      <c r="T182" s="87" t="n">
        <f aca="false">IF(O182&gt;0,Q182/O182,"")</f>
        <v>0.411764705882353</v>
      </c>
      <c r="U182" s="84" t="n">
        <f aca="false">IF(O182&gt;0,O182,"")</f>
        <v>238</v>
      </c>
    </row>
    <row r="183" customFormat="false" ht="15" hidden="false" customHeight="false" outlineLevel="0" collapsed="false">
      <c r="A183" s="81" t="s">
        <v>826</v>
      </c>
      <c r="B183" s="82" t="n">
        <v>45972</v>
      </c>
      <c r="C183" s="81" t="s">
        <v>406</v>
      </c>
      <c r="D183" s="83" t="str">
        <f aca="false">IFERROR(INDEX(c_Name,MATCH($C183,c_ID,0)),"غير معرّف")</f>
        <v>نورة الشهري</v>
      </c>
      <c r="E183" s="83" t="str">
        <f aca="false">IFERROR(INDEX(c_Region,MATCH($C183,c_ID,0)),"غير معرّف")</f>
        <v>الجنوبية</v>
      </c>
      <c r="F183" s="81" t="s">
        <v>179</v>
      </c>
      <c r="G183" s="83" t="str">
        <f aca="false">IFERROR(INDEX(p_Name,MATCH($F183,p_ID,0)),"غير معرّف")</f>
        <v>طقم أدوات مكتبية</v>
      </c>
      <c r="H183" s="83" t="str">
        <f aca="false">IFERROR(INDEX(p_Cat,MATCH($F183,p_ID,0)),"غير معرّف")</f>
        <v>مستلزمات مكتبية</v>
      </c>
      <c r="I183" s="81" t="s">
        <v>465</v>
      </c>
      <c r="J183" s="81" t="s">
        <v>95</v>
      </c>
      <c r="K183" s="81" t="n">
        <v>8</v>
      </c>
      <c r="L183" s="84" t="n">
        <f aca="false">IFERROR(INDEX(p_Price,MATCH($F183,p_ID,0)),0)</f>
        <v>90</v>
      </c>
      <c r="M183" s="85" t="n">
        <v>0.15</v>
      </c>
      <c r="N183" s="81" t="s">
        <v>644</v>
      </c>
      <c r="O183" s="84" t="n">
        <f aca="false">IF($N183="مرتجع",0,K183*L183*(1-M183))</f>
        <v>612</v>
      </c>
      <c r="P183" s="84" t="n">
        <f aca="false">IF($N183="مرتجع",0,K183*IFERROR(INDEX(p_Cost,MATCH($F183,p_ID,0)),0))</f>
        <v>360</v>
      </c>
      <c r="Q183" s="84" t="n">
        <f aca="false">O183-P183</f>
        <v>252</v>
      </c>
      <c r="R183" s="86" t="n">
        <f aca="false">DATE(YEAR(B183),MONTH(B183),1)</f>
        <v>45962</v>
      </c>
      <c r="S183" s="83" t="str">
        <f aca="false">YEAR(B183)&amp;"-Q"&amp;ROUNDUP(MONTH(B183)/3,0)</f>
        <v>2025-Q4</v>
      </c>
      <c r="T183" s="87" t="n">
        <f aca="false">IF(O183&gt;0,Q183/O183,"")</f>
        <v>0.411764705882353</v>
      </c>
      <c r="U183" s="84" t="n">
        <f aca="false">IF(O183&gt;0,O183,"")</f>
        <v>612</v>
      </c>
    </row>
    <row r="184" customFormat="false" ht="15" hidden="false" customHeight="false" outlineLevel="0" collapsed="false">
      <c r="A184" s="81" t="s">
        <v>827</v>
      </c>
      <c r="B184" s="82" t="n">
        <v>45973</v>
      </c>
      <c r="C184" s="81" t="s">
        <v>291</v>
      </c>
      <c r="D184" s="83" t="str">
        <f aca="false">IFERROR(INDEX(c_Name,MATCH($C184,c_ID,0)),"غير معرّف")</f>
        <v>ياسر الشمري</v>
      </c>
      <c r="E184" s="83" t="str">
        <f aca="false">IFERROR(INDEX(c_Region,MATCH($C184,c_ID,0)),"غير معرّف")</f>
        <v>الوسطى</v>
      </c>
      <c r="F184" s="81" t="s">
        <v>185</v>
      </c>
      <c r="G184" s="83" t="str">
        <f aca="false">IFERROR(INDEX(p_Name,MATCH($F184,p_ID,0)),"غير معرّف")</f>
        <v>ماكينة حلاقة</v>
      </c>
      <c r="H184" s="83" t="str">
        <f aca="false">IFERROR(INDEX(p_Cat,MATCH($F184,p_ID,0)),"غير معرّف")</f>
        <v>عناية شخصية</v>
      </c>
      <c r="I184" s="81" t="s">
        <v>446</v>
      </c>
      <c r="J184" s="81" t="s">
        <v>93</v>
      </c>
      <c r="K184" s="81" t="n">
        <v>1</v>
      </c>
      <c r="L184" s="84" t="n">
        <f aca="false">IFERROR(INDEX(p_Price,MATCH($F184,p_ID,0)),0)</f>
        <v>340</v>
      </c>
      <c r="M184" s="85" t="n">
        <v>0</v>
      </c>
      <c r="N184" s="81" t="s">
        <v>644</v>
      </c>
      <c r="O184" s="84" t="n">
        <f aca="false">IF($N184="مرتجع",0,K184*L184*(1-M184))</f>
        <v>340</v>
      </c>
      <c r="P184" s="84" t="n">
        <f aca="false">IF($N184="مرتجع",0,K184*IFERROR(INDEX(p_Cost,MATCH($F184,p_ID,0)),0))</f>
        <v>170</v>
      </c>
      <c r="Q184" s="84" t="n">
        <f aca="false">O184-P184</f>
        <v>170</v>
      </c>
      <c r="R184" s="86" t="n">
        <f aca="false">DATE(YEAR(B184),MONTH(B184),1)</f>
        <v>45962</v>
      </c>
      <c r="S184" s="83" t="str">
        <f aca="false">YEAR(B184)&amp;"-Q"&amp;ROUNDUP(MONTH(B184)/3,0)</f>
        <v>2025-Q4</v>
      </c>
      <c r="T184" s="87" t="n">
        <f aca="false">IF(O184&gt;0,Q184/O184,"")</f>
        <v>0.5</v>
      </c>
      <c r="U184" s="84" t="n">
        <f aca="false">IF(O184&gt;0,O184,"")</f>
        <v>340</v>
      </c>
    </row>
    <row r="185" customFormat="false" ht="15" hidden="false" customHeight="false" outlineLevel="0" collapsed="false">
      <c r="A185" s="81" t="s">
        <v>828</v>
      </c>
      <c r="B185" s="82" t="n">
        <v>45973</v>
      </c>
      <c r="C185" s="81" t="s">
        <v>302</v>
      </c>
      <c r="D185" s="83" t="str">
        <f aca="false">IFERROR(INDEX(c_Name,MATCH($C185,c_ID,0)),"غير معرّف")</f>
        <v>جود السبيعي</v>
      </c>
      <c r="E185" s="83" t="str">
        <f aca="false">IFERROR(INDEX(c_Region,MATCH($C185,c_ID,0)),"غير معرّف")</f>
        <v>الوسطى</v>
      </c>
      <c r="F185" s="81" t="s">
        <v>177</v>
      </c>
      <c r="G185" s="83" t="str">
        <f aca="false">IFERROR(INDEX(p_Name,MATCH($F185,p_ID,0)),"غير معرّف")</f>
        <v>ورق A4 (صندوق)</v>
      </c>
      <c r="H185" s="83" t="str">
        <f aca="false">IFERROR(INDEX(p_Cat,MATCH($F185,p_ID,0)),"غير معرّف")</f>
        <v>مستلزمات مكتبية</v>
      </c>
      <c r="I185" s="81" t="s">
        <v>443</v>
      </c>
      <c r="J185" s="81" t="s">
        <v>93</v>
      </c>
      <c r="K185" s="81" t="n">
        <v>5</v>
      </c>
      <c r="L185" s="84" t="n">
        <f aca="false">IFERROR(INDEX(p_Price,MATCH($F185,p_ID,0)),0)</f>
        <v>140</v>
      </c>
      <c r="M185" s="85" t="n">
        <v>0.15</v>
      </c>
      <c r="N185" s="81" t="s">
        <v>644</v>
      </c>
      <c r="O185" s="84" t="n">
        <f aca="false">IF($N185="مرتجع",0,K185*L185*(1-M185))</f>
        <v>595</v>
      </c>
      <c r="P185" s="84" t="n">
        <f aca="false">IF($N185="مرتجع",0,K185*IFERROR(INDEX(p_Cost,MATCH($F185,p_ID,0)),0))</f>
        <v>475</v>
      </c>
      <c r="Q185" s="84" t="n">
        <f aca="false">O185-P185</f>
        <v>120</v>
      </c>
      <c r="R185" s="86" t="n">
        <f aca="false">DATE(YEAR(B185),MONTH(B185),1)</f>
        <v>45962</v>
      </c>
      <c r="S185" s="83" t="str">
        <f aca="false">YEAR(B185)&amp;"-Q"&amp;ROUNDUP(MONTH(B185)/3,0)</f>
        <v>2025-Q4</v>
      </c>
      <c r="T185" s="87" t="n">
        <f aca="false">IF(O185&gt;0,Q185/O185,"")</f>
        <v>0.201680672268908</v>
      </c>
      <c r="U185" s="84" t="n">
        <f aca="false">IF(O185&gt;0,O185,"")</f>
        <v>595</v>
      </c>
    </row>
    <row r="186" customFormat="false" ht="15" hidden="false" customHeight="false" outlineLevel="0" collapsed="false">
      <c r="A186" s="81" t="s">
        <v>829</v>
      </c>
      <c r="B186" s="82" t="n">
        <v>45973</v>
      </c>
      <c r="C186" s="81" t="s">
        <v>369</v>
      </c>
      <c r="D186" s="83" t="str">
        <f aca="false">IFERROR(INDEX(c_Name,MATCH($C186,c_ID,0)),"غير معرّف")</f>
        <v>منى الغامدي</v>
      </c>
      <c r="E186" s="83" t="str">
        <f aca="false">IFERROR(INDEX(c_Region,MATCH($C186,c_ID,0)),"غير معرّف")</f>
        <v>الوسطى</v>
      </c>
      <c r="F186" s="81" t="s">
        <v>182</v>
      </c>
      <c r="G186" s="83" t="str">
        <f aca="false">IFERROR(INDEX(p_Name,MATCH($F186,p_ID,0)),"غير معرّف")</f>
        <v>طقم أوزان</v>
      </c>
      <c r="H186" s="83" t="str">
        <f aca="false">IFERROR(INDEX(p_Cat,MATCH($F186,p_ID,0)),"غير معرّف")</f>
        <v>رياضة</v>
      </c>
      <c r="I186" s="81" t="s">
        <v>446</v>
      </c>
      <c r="J186" s="81" t="s">
        <v>93</v>
      </c>
      <c r="K186" s="81" t="n">
        <v>4</v>
      </c>
      <c r="L186" s="84" t="n">
        <f aca="false">IFERROR(INDEX(p_Price,MATCH($F186,p_ID,0)),0)</f>
        <v>380</v>
      </c>
      <c r="M186" s="85" t="n">
        <v>0.2</v>
      </c>
      <c r="N186" s="81" t="s">
        <v>644</v>
      </c>
      <c r="O186" s="84" t="n">
        <f aca="false">IF($N186="مرتجع",0,K186*L186*(1-M186))</f>
        <v>1216</v>
      </c>
      <c r="P186" s="84" t="n">
        <f aca="false">IF($N186="مرتجع",0,K186*IFERROR(INDEX(p_Cost,MATCH($F186,p_ID,0)),0))</f>
        <v>840</v>
      </c>
      <c r="Q186" s="84" t="n">
        <f aca="false">O186-P186</f>
        <v>376</v>
      </c>
      <c r="R186" s="86" t="n">
        <f aca="false">DATE(YEAR(B186),MONTH(B186),1)</f>
        <v>45962</v>
      </c>
      <c r="S186" s="83" t="str">
        <f aca="false">YEAR(B186)&amp;"-Q"&amp;ROUNDUP(MONTH(B186)/3,0)</f>
        <v>2025-Q4</v>
      </c>
      <c r="T186" s="87" t="n">
        <f aca="false">IF(O186&gt;0,Q186/O186,"")</f>
        <v>0.30921052631579</v>
      </c>
      <c r="U186" s="84" t="n">
        <f aca="false">IF(O186&gt;0,O186,"")</f>
        <v>1216</v>
      </c>
    </row>
    <row r="187" customFormat="false" ht="15" hidden="false" customHeight="false" outlineLevel="0" collapsed="false">
      <c r="A187" s="81" t="s">
        <v>830</v>
      </c>
      <c r="B187" s="82" t="n">
        <v>45974</v>
      </c>
      <c r="C187" s="81" t="s">
        <v>334</v>
      </c>
      <c r="D187" s="83" t="str">
        <f aca="false">IFERROR(INDEX(c_Name,MATCH($C187,c_ID,0)),"غير معرّف")</f>
        <v>ناصر الغامدي</v>
      </c>
      <c r="E187" s="83" t="str">
        <f aca="false">IFERROR(INDEX(c_Region,MATCH($C187,c_ID,0)),"غير معرّف")</f>
        <v>الغربية</v>
      </c>
      <c r="F187" s="81" t="s">
        <v>183</v>
      </c>
      <c r="G187" s="83" t="str">
        <f aca="false">IFERROR(INDEX(p_Name,MATCH($F187,p_ID,0)),"غير معرّف")</f>
        <v>سجادة يوغا</v>
      </c>
      <c r="H187" s="83" t="str">
        <f aca="false">IFERROR(INDEX(p_Cat,MATCH($F187,p_ID,0)),"غير معرّف")</f>
        <v>رياضة</v>
      </c>
      <c r="I187" s="81" t="s">
        <v>458</v>
      </c>
      <c r="J187" s="81" t="s">
        <v>91</v>
      </c>
      <c r="K187" s="81" t="n">
        <v>2</v>
      </c>
      <c r="L187" s="84" t="n">
        <f aca="false">IFERROR(INDEX(p_Price,MATCH($F187,p_ID,0)),0)</f>
        <v>120</v>
      </c>
      <c r="M187" s="85" t="n">
        <v>0.2</v>
      </c>
      <c r="N187" s="81" t="s">
        <v>644</v>
      </c>
      <c r="O187" s="84" t="n">
        <f aca="false">IF($N187="مرتجع",0,K187*L187*(1-M187))</f>
        <v>192</v>
      </c>
      <c r="P187" s="84" t="n">
        <f aca="false">IF($N187="مرتجع",0,K187*IFERROR(INDEX(p_Cost,MATCH($F187,p_ID,0)),0))</f>
        <v>100</v>
      </c>
      <c r="Q187" s="84" t="n">
        <f aca="false">O187-P187</f>
        <v>92</v>
      </c>
      <c r="R187" s="86" t="n">
        <f aca="false">DATE(YEAR(B187),MONTH(B187),1)</f>
        <v>45962</v>
      </c>
      <c r="S187" s="83" t="str">
        <f aca="false">YEAR(B187)&amp;"-Q"&amp;ROUNDUP(MONTH(B187)/3,0)</f>
        <v>2025-Q4</v>
      </c>
      <c r="T187" s="87" t="n">
        <f aca="false">IF(O187&gt;0,Q187/O187,"")</f>
        <v>0.479166666666667</v>
      </c>
      <c r="U187" s="84" t="n">
        <f aca="false">IF(O187&gt;0,O187,"")</f>
        <v>192</v>
      </c>
    </row>
    <row r="188" customFormat="false" ht="15" hidden="false" customHeight="false" outlineLevel="0" collapsed="false">
      <c r="A188" s="81" t="s">
        <v>831</v>
      </c>
      <c r="B188" s="82" t="n">
        <v>45974</v>
      </c>
      <c r="C188" s="81" t="s">
        <v>261</v>
      </c>
      <c r="D188" s="83" t="str">
        <f aca="false">IFERROR(INDEX(c_Name,MATCH($C188,c_ID,0)),"غير معرّف")</f>
        <v>ياسر الدوسري</v>
      </c>
      <c r="E188" s="83" t="str">
        <f aca="false">IFERROR(INDEX(c_Region,MATCH($C188,c_ID,0)),"غير معرّف")</f>
        <v>الجنوبية</v>
      </c>
      <c r="F188" s="81" t="s">
        <v>178</v>
      </c>
      <c r="G188" s="83" t="str">
        <f aca="false">IFERROR(INDEX(p_Name,MATCH($F188,p_ID,0)),"غير معرّف")</f>
        <v>حقيبة لابتوب</v>
      </c>
      <c r="H188" s="83" t="str">
        <f aca="false">IFERROR(INDEX(p_Cat,MATCH($F188,p_ID,0)),"غير معرّف")</f>
        <v>مستلزمات مكتبية</v>
      </c>
      <c r="I188" s="81" t="s">
        <v>467</v>
      </c>
      <c r="J188" s="81" t="s">
        <v>93</v>
      </c>
      <c r="K188" s="81" t="n">
        <v>1</v>
      </c>
      <c r="L188" s="84" t="n">
        <f aca="false">IFERROR(INDEX(p_Price,MATCH($F188,p_ID,0)),0)</f>
        <v>260</v>
      </c>
      <c r="M188" s="85" t="n">
        <v>0.2</v>
      </c>
      <c r="N188" s="81" t="s">
        <v>644</v>
      </c>
      <c r="O188" s="84" t="n">
        <f aca="false">IF($N188="مرتجع",0,K188*L188*(1-M188))</f>
        <v>208</v>
      </c>
      <c r="P188" s="84" t="n">
        <f aca="false">IF($N188="مرتجع",0,K188*IFERROR(INDEX(p_Cost,MATCH($F188,p_ID,0)),0))</f>
        <v>120</v>
      </c>
      <c r="Q188" s="84" t="n">
        <f aca="false">O188-P188</f>
        <v>88</v>
      </c>
      <c r="R188" s="86" t="n">
        <f aca="false">DATE(YEAR(B188),MONTH(B188),1)</f>
        <v>45962</v>
      </c>
      <c r="S188" s="83" t="str">
        <f aca="false">YEAR(B188)&amp;"-Q"&amp;ROUNDUP(MONTH(B188)/3,0)</f>
        <v>2025-Q4</v>
      </c>
      <c r="T188" s="87" t="n">
        <f aca="false">IF(O188&gt;0,Q188/O188,"")</f>
        <v>0.423076923076923</v>
      </c>
      <c r="U188" s="84" t="n">
        <f aca="false">IF(O188&gt;0,O188,"")</f>
        <v>208</v>
      </c>
    </row>
    <row r="189" customFormat="false" ht="15" hidden="false" customHeight="false" outlineLevel="0" collapsed="false">
      <c r="A189" s="81" t="s">
        <v>832</v>
      </c>
      <c r="B189" s="82" t="n">
        <v>45974</v>
      </c>
      <c r="C189" s="81" t="s">
        <v>266</v>
      </c>
      <c r="D189" s="83" t="str">
        <f aca="false">IFERROR(INDEX(c_Name,MATCH($C189,c_ID,0)),"غير معرّف")</f>
        <v>ياسر الشهري</v>
      </c>
      <c r="E189" s="83" t="str">
        <f aca="false">IFERROR(INDEX(c_Region,MATCH($C189,c_ID,0)),"غير معرّف")</f>
        <v>الوسطى</v>
      </c>
      <c r="F189" s="81" t="s">
        <v>187</v>
      </c>
      <c r="G189" s="83" t="str">
        <f aca="false">IFERROR(INDEX(p_Name,MATCH($F189,p_ID,0)),"غير معرّف")</f>
        <v>جهاز تدليك</v>
      </c>
      <c r="H189" s="83" t="str">
        <f aca="false">IFERROR(INDEX(p_Cat,MATCH($F189,p_ID,0)),"غير معرّف")</f>
        <v>عناية شخصية</v>
      </c>
      <c r="I189" s="81" t="s">
        <v>443</v>
      </c>
      <c r="J189" s="81" t="s">
        <v>91</v>
      </c>
      <c r="K189" s="81" t="n">
        <v>1</v>
      </c>
      <c r="L189" s="84" t="n">
        <f aca="false">IFERROR(INDEX(p_Price,MATCH($F189,p_ID,0)),0)</f>
        <v>600</v>
      </c>
      <c r="M189" s="85" t="n">
        <v>0.2</v>
      </c>
      <c r="N189" s="81" t="s">
        <v>644</v>
      </c>
      <c r="O189" s="84" t="n">
        <f aca="false">IF($N189="مرتجع",0,K189*L189*(1-M189))</f>
        <v>480</v>
      </c>
      <c r="P189" s="84" t="n">
        <f aca="false">IF($N189="مرتجع",0,K189*IFERROR(INDEX(p_Cost,MATCH($F189,p_ID,0)),0))</f>
        <v>330</v>
      </c>
      <c r="Q189" s="84" t="n">
        <f aca="false">O189-P189</f>
        <v>150</v>
      </c>
      <c r="R189" s="86" t="n">
        <f aca="false">DATE(YEAR(B189),MONTH(B189),1)</f>
        <v>45962</v>
      </c>
      <c r="S189" s="83" t="str">
        <f aca="false">YEAR(B189)&amp;"-Q"&amp;ROUNDUP(MONTH(B189)/3,0)</f>
        <v>2025-Q4</v>
      </c>
      <c r="T189" s="87" t="n">
        <f aca="false">IF(O189&gt;0,Q189/O189,"")</f>
        <v>0.3125</v>
      </c>
      <c r="U189" s="84" t="n">
        <f aca="false">IF(O189&gt;0,O189,"")</f>
        <v>480</v>
      </c>
    </row>
    <row r="190" customFormat="false" ht="15" hidden="false" customHeight="false" outlineLevel="0" collapsed="false">
      <c r="A190" s="81" t="s">
        <v>833</v>
      </c>
      <c r="B190" s="82" t="n">
        <v>45974</v>
      </c>
      <c r="C190" s="81" t="s">
        <v>270</v>
      </c>
      <c r="D190" s="83" t="str">
        <f aca="false">IFERROR(INDEX(c_Name,MATCH($C190,c_ID,0)),"غير معرّف")</f>
        <v>ريم التميمي</v>
      </c>
      <c r="E190" s="83" t="str">
        <f aca="false">IFERROR(INDEX(c_Region,MATCH($C190,c_ID,0)),"غير معرّف")</f>
        <v>الشرقية</v>
      </c>
      <c r="F190" s="81" t="s">
        <v>171</v>
      </c>
      <c r="G190" s="83" t="str">
        <f aca="false">IFERROR(INDEX(p_Name,MATCH($F190,p_ID,0)),"غير معرّف")</f>
        <v>قلاية هوائية</v>
      </c>
      <c r="H190" s="83" t="str">
        <f aca="false">IFERROR(INDEX(p_Cat,MATCH($F190,p_ID,0)),"غير معرّف")</f>
        <v>أجهزة منزلية</v>
      </c>
      <c r="I190" s="81" t="s">
        <v>461</v>
      </c>
      <c r="J190" s="81" t="s">
        <v>93</v>
      </c>
      <c r="K190" s="81" t="n">
        <v>2</v>
      </c>
      <c r="L190" s="84" t="n">
        <f aca="false">IFERROR(INDEX(p_Price,MATCH($F190,p_ID,0)),0)</f>
        <v>520</v>
      </c>
      <c r="M190" s="85" t="n">
        <v>0.1</v>
      </c>
      <c r="N190" s="81" t="s">
        <v>644</v>
      </c>
      <c r="O190" s="84" t="n">
        <f aca="false">IF($N190="مرتجع",0,K190*L190*(1-M190))</f>
        <v>936</v>
      </c>
      <c r="P190" s="84" t="n">
        <f aca="false">IF($N190="مرتجع",0,K190*IFERROR(INDEX(p_Cost,MATCH($F190,p_ID,0)),0))</f>
        <v>600</v>
      </c>
      <c r="Q190" s="84" t="n">
        <f aca="false">O190-P190</f>
        <v>336</v>
      </c>
      <c r="R190" s="86" t="n">
        <f aca="false">DATE(YEAR(B190),MONTH(B190),1)</f>
        <v>45962</v>
      </c>
      <c r="S190" s="83" t="str">
        <f aca="false">YEAR(B190)&amp;"-Q"&amp;ROUNDUP(MONTH(B190)/3,0)</f>
        <v>2025-Q4</v>
      </c>
      <c r="T190" s="87" t="n">
        <f aca="false">IF(O190&gt;0,Q190/O190,"")</f>
        <v>0.358974358974359</v>
      </c>
      <c r="U190" s="84" t="n">
        <f aca="false">IF(O190&gt;0,O190,"")</f>
        <v>936</v>
      </c>
    </row>
    <row r="191" customFormat="false" ht="15" hidden="false" customHeight="false" outlineLevel="0" collapsed="false">
      <c r="A191" s="81" t="s">
        <v>834</v>
      </c>
      <c r="B191" s="82" t="n">
        <v>45974</v>
      </c>
      <c r="C191" s="81" t="s">
        <v>339</v>
      </c>
      <c r="D191" s="83" t="str">
        <f aca="false">IFERROR(INDEX(c_Name,MATCH($C191,c_ID,0)),"غير معرّف")</f>
        <v>خالد السبيعي</v>
      </c>
      <c r="E191" s="83" t="str">
        <f aca="false">IFERROR(INDEX(c_Region,MATCH($C191,c_ID,0)),"غير معرّف")</f>
        <v>الجنوبية</v>
      </c>
      <c r="F191" s="81" t="s">
        <v>177</v>
      </c>
      <c r="G191" s="83" t="str">
        <f aca="false">IFERROR(INDEX(p_Name,MATCH($F191,p_ID,0)),"غير معرّف")</f>
        <v>ورق A4 (صندوق)</v>
      </c>
      <c r="H191" s="83" t="str">
        <f aca="false">IFERROR(INDEX(p_Cat,MATCH($F191,p_ID,0)),"غير معرّف")</f>
        <v>مستلزمات مكتبية</v>
      </c>
      <c r="I191" s="81" t="s">
        <v>465</v>
      </c>
      <c r="J191" s="81" t="s">
        <v>95</v>
      </c>
      <c r="K191" s="81" t="n">
        <v>18</v>
      </c>
      <c r="L191" s="84" t="n">
        <f aca="false">IFERROR(INDEX(p_Price,MATCH($F191,p_ID,0)),0)</f>
        <v>140</v>
      </c>
      <c r="M191" s="85" t="n">
        <v>0.05</v>
      </c>
      <c r="N191" s="81" t="s">
        <v>644</v>
      </c>
      <c r="O191" s="84" t="n">
        <f aca="false">IF($N191="مرتجع",0,K191*L191*(1-M191))</f>
        <v>2394</v>
      </c>
      <c r="P191" s="84" t="n">
        <f aca="false">IF($N191="مرتجع",0,K191*IFERROR(INDEX(p_Cost,MATCH($F191,p_ID,0)),0))</f>
        <v>1710</v>
      </c>
      <c r="Q191" s="84" t="n">
        <f aca="false">O191-P191</f>
        <v>684</v>
      </c>
      <c r="R191" s="86" t="n">
        <f aca="false">DATE(YEAR(B191),MONTH(B191),1)</f>
        <v>45962</v>
      </c>
      <c r="S191" s="83" t="str">
        <f aca="false">YEAR(B191)&amp;"-Q"&amp;ROUNDUP(MONTH(B191)/3,0)</f>
        <v>2025-Q4</v>
      </c>
      <c r="T191" s="87" t="n">
        <f aca="false">IF(O191&gt;0,Q191/O191,"")</f>
        <v>0.285714285714286</v>
      </c>
      <c r="U191" s="84" t="n">
        <f aca="false">IF(O191&gt;0,O191,"")</f>
        <v>2394</v>
      </c>
    </row>
    <row r="192" customFormat="false" ht="15" hidden="false" customHeight="false" outlineLevel="0" collapsed="false">
      <c r="A192" s="81" t="s">
        <v>835</v>
      </c>
      <c r="B192" s="82" t="n">
        <v>45975</v>
      </c>
      <c r="C192" s="81" t="s">
        <v>238</v>
      </c>
      <c r="D192" s="83" t="str">
        <f aca="false">IFERROR(INDEX(c_Name,MATCH($C192,c_ID,0)),"غير معرّف")</f>
        <v>سارة البلوي</v>
      </c>
      <c r="E192" s="83" t="str">
        <f aca="false">IFERROR(INDEX(c_Region,MATCH($C192,c_ID,0)),"غير معرّف")</f>
        <v>الغربية</v>
      </c>
      <c r="F192" s="81" t="s">
        <v>175</v>
      </c>
      <c r="G192" s="83" t="str">
        <f aca="false">IFERROR(INDEX(p_Name,MATCH($F192,p_ID,0)),"غير معرّف")</f>
        <v>رف كتب</v>
      </c>
      <c r="H192" s="83" t="str">
        <f aca="false">IFERROR(INDEX(p_Cat,MATCH($F192,p_ID,0)),"غير معرّف")</f>
        <v>أثاث</v>
      </c>
      <c r="I192" s="81" t="s">
        <v>458</v>
      </c>
      <c r="J192" s="81" t="s">
        <v>91</v>
      </c>
      <c r="K192" s="81" t="n">
        <v>1</v>
      </c>
      <c r="L192" s="84" t="n">
        <f aca="false">IFERROR(INDEX(p_Price,MATCH($F192,p_ID,0)),0)</f>
        <v>400</v>
      </c>
      <c r="M192" s="85" t="n">
        <v>0.2</v>
      </c>
      <c r="N192" s="81" t="s">
        <v>644</v>
      </c>
      <c r="O192" s="84" t="n">
        <f aca="false">IF($N192="مرتجع",0,K192*L192*(1-M192))</f>
        <v>320</v>
      </c>
      <c r="P192" s="84" t="n">
        <f aca="false">IF($N192="مرتجع",0,K192*IFERROR(INDEX(p_Cost,MATCH($F192,p_ID,0)),0))</f>
        <v>220</v>
      </c>
      <c r="Q192" s="84" t="n">
        <f aca="false">O192-P192</f>
        <v>100</v>
      </c>
      <c r="R192" s="86" t="n">
        <f aca="false">DATE(YEAR(B192),MONTH(B192),1)</f>
        <v>45962</v>
      </c>
      <c r="S192" s="83" t="str">
        <f aca="false">YEAR(B192)&amp;"-Q"&amp;ROUNDUP(MONTH(B192)/3,0)</f>
        <v>2025-Q4</v>
      </c>
      <c r="T192" s="87" t="n">
        <f aca="false">IF(O192&gt;0,Q192/O192,"")</f>
        <v>0.3125</v>
      </c>
      <c r="U192" s="84" t="n">
        <f aca="false">IF(O192&gt;0,O192,"")</f>
        <v>320</v>
      </c>
    </row>
    <row r="193" customFormat="false" ht="15" hidden="false" customHeight="false" outlineLevel="0" collapsed="false">
      <c r="A193" s="81" t="s">
        <v>836</v>
      </c>
      <c r="B193" s="82" t="n">
        <v>45975</v>
      </c>
      <c r="C193" s="81" t="s">
        <v>270</v>
      </c>
      <c r="D193" s="83" t="str">
        <f aca="false">IFERROR(INDEX(c_Name,MATCH($C193,c_ID,0)),"غير معرّف")</f>
        <v>ريم التميمي</v>
      </c>
      <c r="E193" s="83" t="str">
        <f aca="false">IFERROR(INDEX(c_Region,MATCH($C193,c_ID,0)),"غير معرّف")</f>
        <v>الشرقية</v>
      </c>
      <c r="F193" s="81" t="s">
        <v>173</v>
      </c>
      <c r="G193" s="83" t="str">
        <f aca="false">IFERROR(INDEX(p_Name,MATCH($F193,p_ID,0)),"غير معرّف")</f>
        <v>كرسي مريح</v>
      </c>
      <c r="H193" s="83" t="str">
        <f aca="false">IFERROR(INDEX(p_Cat,MATCH($F193,p_ID,0)),"غير معرّف")</f>
        <v>أثاث</v>
      </c>
      <c r="I193" s="81" t="s">
        <v>461</v>
      </c>
      <c r="J193" s="81" t="s">
        <v>93</v>
      </c>
      <c r="K193" s="81" t="n">
        <v>1</v>
      </c>
      <c r="L193" s="84" t="n">
        <f aca="false">IFERROR(INDEX(p_Price,MATCH($F193,p_ID,0)),0)</f>
        <v>850</v>
      </c>
      <c r="M193" s="85" t="n">
        <v>0.05</v>
      </c>
      <c r="N193" s="81" t="s">
        <v>644</v>
      </c>
      <c r="O193" s="84" t="n">
        <f aca="false">IF($N193="مرتجع",0,K193*L193*(1-M193))</f>
        <v>807.5</v>
      </c>
      <c r="P193" s="84" t="n">
        <f aca="false">IF($N193="مرتجع",0,K193*IFERROR(INDEX(p_Cost,MATCH($F193,p_ID,0)),0))</f>
        <v>480</v>
      </c>
      <c r="Q193" s="84" t="n">
        <f aca="false">O193-P193</f>
        <v>327.5</v>
      </c>
      <c r="R193" s="86" t="n">
        <f aca="false">DATE(YEAR(B193),MONTH(B193),1)</f>
        <v>45962</v>
      </c>
      <c r="S193" s="83" t="str">
        <f aca="false">YEAR(B193)&amp;"-Q"&amp;ROUNDUP(MONTH(B193)/3,0)</f>
        <v>2025-Q4</v>
      </c>
      <c r="T193" s="87" t="n">
        <f aca="false">IF(O193&gt;0,Q193/O193,"")</f>
        <v>0.405572755417957</v>
      </c>
      <c r="U193" s="84" t="n">
        <f aca="false">IF(O193&gt;0,O193,"")</f>
        <v>807.5</v>
      </c>
    </row>
    <row r="194" customFormat="false" ht="15" hidden="false" customHeight="false" outlineLevel="0" collapsed="false">
      <c r="A194" s="81" t="s">
        <v>837</v>
      </c>
      <c r="B194" s="82" t="n">
        <v>45975</v>
      </c>
      <c r="C194" s="81" t="s">
        <v>405</v>
      </c>
      <c r="D194" s="83" t="str">
        <f aca="false">IFERROR(INDEX(c_Name,MATCH($C194,c_ID,0)),"غير معرّف")</f>
        <v>طارق التميمي</v>
      </c>
      <c r="E194" s="83" t="str">
        <f aca="false">IFERROR(INDEX(c_Region,MATCH($C194,c_ID,0)),"غير معرّف")</f>
        <v>الوسطى</v>
      </c>
      <c r="F194" s="81" t="s">
        <v>174</v>
      </c>
      <c r="G194" s="83" t="str">
        <f aca="false">IFERROR(INDEX(p_Name,MATCH($F194,p_ID,0)),"غير معرّف")</f>
        <v>خزانة ملفات</v>
      </c>
      <c r="H194" s="83" t="str">
        <f aca="false">IFERROR(INDEX(p_Cat,MATCH($F194,p_ID,0)),"غير معرّف")</f>
        <v>أثاث</v>
      </c>
      <c r="I194" s="81" t="s">
        <v>446</v>
      </c>
      <c r="J194" s="81" t="s">
        <v>93</v>
      </c>
      <c r="K194" s="81" t="n">
        <v>1</v>
      </c>
      <c r="L194" s="84" t="n">
        <f aca="false">IFERROR(INDEX(p_Price,MATCH($F194,p_ID,0)),0)</f>
        <v>700</v>
      </c>
      <c r="M194" s="85" t="n">
        <v>0.1</v>
      </c>
      <c r="N194" s="81" t="s">
        <v>644</v>
      </c>
      <c r="O194" s="84" t="n">
        <f aca="false">IF($N194="مرتجع",0,K194*L194*(1-M194))</f>
        <v>630</v>
      </c>
      <c r="P194" s="84" t="n">
        <f aca="false">IF($N194="مرتجع",0,K194*IFERROR(INDEX(p_Cost,MATCH($F194,p_ID,0)),0))</f>
        <v>410</v>
      </c>
      <c r="Q194" s="84" t="n">
        <f aca="false">O194-P194</f>
        <v>220</v>
      </c>
      <c r="R194" s="86" t="n">
        <f aca="false">DATE(YEAR(B194),MONTH(B194),1)</f>
        <v>45962</v>
      </c>
      <c r="S194" s="83" t="str">
        <f aca="false">YEAR(B194)&amp;"-Q"&amp;ROUNDUP(MONTH(B194)/3,0)</f>
        <v>2025-Q4</v>
      </c>
      <c r="T194" s="87" t="n">
        <f aca="false">IF(O194&gt;0,Q194/O194,"")</f>
        <v>0.349206349206349</v>
      </c>
      <c r="U194" s="84" t="n">
        <f aca="false">IF(O194&gt;0,O194,"")</f>
        <v>630</v>
      </c>
    </row>
    <row r="195" customFormat="false" ht="15" hidden="false" customHeight="false" outlineLevel="0" collapsed="false">
      <c r="A195" s="81" t="s">
        <v>838</v>
      </c>
      <c r="B195" s="82" t="n">
        <v>45975</v>
      </c>
      <c r="C195" s="81" t="s">
        <v>394</v>
      </c>
      <c r="D195" s="83" t="str">
        <f aca="false">IFERROR(INDEX(c_Name,MATCH($C195,c_ID,0)),"غير معرّف")</f>
        <v>طارق الغامدي</v>
      </c>
      <c r="E195" s="83" t="str">
        <f aca="false">IFERROR(INDEX(c_Region,MATCH($C195,c_ID,0)),"غير معرّف")</f>
        <v>الشرقية</v>
      </c>
      <c r="F195" s="81" t="s">
        <v>170</v>
      </c>
      <c r="G195" s="83" t="str">
        <f aca="false">IFERROR(INDEX(p_Name,MATCH($F195,p_ID,0)),"غير معرّف")</f>
        <v>مكيف نقال</v>
      </c>
      <c r="H195" s="83" t="str">
        <f aca="false">IFERROR(INDEX(p_Cat,MATCH($F195,p_ID,0)),"غير معرّف")</f>
        <v>أجهزة منزلية</v>
      </c>
      <c r="I195" s="81" t="s">
        <v>463</v>
      </c>
      <c r="J195" s="81" t="s">
        <v>91</v>
      </c>
      <c r="K195" s="81" t="n">
        <v>1</v>
      </c>
      <c r="L195" s="84" t="n">
        <f aca="false">IFERROR(INDEX(p_Price,MATCH($F195,p_ID,0)),0)</f>
        <v>1900</v>
      </c>
      <c r="M195" s="85" t="n">
        <v>0.15</v>
      </c>
      <c r="N195" s="81" t="s">
        <v>644</v>
      </c>
      <c r="O195" s="84" t="n">
        <f aca="false">IF($N195="مرتجع",0,K195*L195*(1-M195))</f>
        <v>1615</v>
      </c>
      <c r="P195" s="84" t="n">
        <f aca="false">IF($N195="مرتجع",0,K195*IFERROR(INDEX(p_Cost,MATCH($F195,p_ID,0)),0))</f>
        <v>1350</v>
      </c>
      <c r="Q195" s="84" t="n">
        <f aca="false">O195-P195</f>
        <v>265</v>
      </c>
      <c r="R195" s="86" t="n">
        <f aca="false">DATE(YEAR(B195),MONTH(B195),1)</f>
        <v>45962</v>
      </c>
      <c r="S195" s="83" t="str">
        <f aca="false">YEAR(B195)&amp;"-Q"&amp;ROUNDUP(MONTH(B195)/3,0)</f>
        <v>2025-Q4</v>
      </c>
      <c r="T195" s="87" t="n">
        <f aca="false">IF(O195&gt;0,Q195/O195,"")</f>
        <v>0.164086687306502</v>
      </c>
      <c r="U195" s="84" t="n">
        <f aca="false">IF(O195&gt;0,O195,"")</f>
        <v>1615</v>
      </c>
    </row>
    <row r="196" customFormat="false" ht="15" hidden="false" customHeight="false" outlineLevel="0" collapsed="false">
      <c r="A196" s="81" t="s">
        <v>839</v>
      </c>
      <c r="B196" s="82" t="n">
        <v>45975</v>
      </c>
      <c r="C196" s="81" t="s">
        <v>404</v>
      </c>
      <c r="D196" s="83" t="str">
        <f aca="false">IFERROR(INDEX(c_Name,MATCH($C196,c_ID,0)),"غير معرّف")</f>
        <v>عبدالله الحسيني</v>
      </c>
      <c r="E196" s="83" t="str">
        <f aca="false">IFERROR(INDEX(c_Region,MATCH($C196,c_ID,0)),"غير معرّف")</f>
        <v>الشرقية</v>
      </c>
      <c r="F196" s="81" t="s">
        <v>178</v>
      </c>
      <c r="G196" s="83" t="str">
        <f aca="false">IFERROR(INDEX(p_Name,MATCH($F196,p_ID,0)),"غير معرّف")</f>
        <v>حقيبة لابتوب</v>
      </c>
      <c r="H196" s="83" t="str">
        <f aca="false">IFERROR(INDEX(p_Cat,MATCH($F196,p_ID,0)),"غير معرّف")</f>
        <v>مستلزمات مكتبية</v>
      </c>
      <c r="I196" s="81" t="s">
        <v>463</v>
      </c>
      <c r="J196" s="81" t="s">
        <v>91</v>
      </c>
      <c r="K196" s="81" t="n">
        <v>1</v>
      </c>
      <c r="L196" s="84" t="n">
        <f aca="false">IFERROR(INDEX(p_Price,MATCH($F196,p_ID,0)),0)</f>
        <v>260</v>
      </c>
      <c r="M196" s="85" t="n">
        <v>0.05</v>
      </c>
      <c r="N196" s="81" t="s">
        <v>644</v>
      </c>
      <c r="O196" s="84" t="n">
        <f aca="false">IF($N196="مرتجع",0,K196*L196*(1-M196))</f>
        <v>247</v>
      </c>
      <c r="P196" s="84" t="n">
        <f aca="false">IF($N196="مرتجع",0,K196*IFERROR(INDEX(p_Cost,MATCH($F196,p_ID,0)),0))</f>
        <v>120</v>
      </c>
      <c r="Q196" s="84" t="n">
        <f aca="false">O196-P196</f>
        <v>127</v>
      </c>
      <c r="R196" s="86" t="n">
        <f aca="false">DATE(YEAR(B196),MONTH(B196),1)</f>
        <v>45962</v>
      </c>
      <c r="S196" s="83" t="str">
        <f aca="false">YEAR(B196)&amp;"-Q"&amp;ROUNDUP(MONTH(B196)/3,0)</f>
        <v>2025-Q4</v>
      </c>
      <c r="T196" s="87" t="n">
        <f aca="false">IF(O196&gt;0,Q196/O196,"")</f>
        <v>0.51417004048583</v>
      </c>
      <c r="U196" s="84" t="n">
        <f aca="false">IF(O196&gt;0,O196,"")</f>
        <v>247</v>
      </c>
    </row>
    <row r="197" customFormat="false" ht="15" hidden="false" customHeight="false" outlineLevel="0" collapsed="false">
      <c r="A197" s="81" t="s">
        <v>840</v>
      </c>
      <c r="B197" s="82" t="n">
        <v>45975</v>
      </c>
      <c r="C197" s="81" t="s">
        <v>357</v>
      </c>
      <c r="D197" s="83" t="str">
        <f aca="false">IFERROR(INDEX(c_Name,MATCH($C197,c_ID,0)),"غير معرّف")</f>
        <v>منى الحربي</v>
      </c>
      <c r="E197" s="83" t="str">
        <f aca="false">IFERROR(INDEX(c_Region,MATCH($C197,c_ID,0)),"غير معرّف")</f>
        <v>الوسطى</v>
      </c>
      <c r="F197" s="81" t="s">
        <v>181</v>
      </c>
      <c r="G197" s="83" t="str">
        <f aca="false">IFERROR(INDEX(p_Name,MATCH($F197,p_ID,0)),"غير معرّف")</f>
        <v>دراجة ثابتة</v>
      </c>
      <c r="H197" s="83" t="str">
        <f aca="false">IFERROR(INDEX(p_Cat,MATCH($F197,p_ID,0)),"غير معرّف")</f>
        <v>رياضة</v>
      </c>
      <c r="I197" s="81" t="s">
        <v>443</v>
      </c>
      <c r="J197" s="81" t="s">
        <v>93</v>
      </c>
      <c r="K197" s="81" t="n">
        <v>1</v>
      </c>
      <c r="L197" s="84" t="n">
        <f aca="false">IFERROR(INDEX(p_Price,MATCH($F197,p_ID,0)),0)</f>
        <v>1800</v>
      </c>
      <c r="M197" s="85" t="n">
        <v>0.15</v>
      </c>
      <c r="N197" s="81" t="s">
        <v>644</v>
      </c>
      <c r="O197" s="84" t="n">
        <f aca="false">IF($N197="مرتجع",0,K197*L197*(1-M197))</f>
        <v>1530</v>
      </c>
      <c r="P197" s="84" t="n">
        <f aca="false">IF($N197="مرتجع",0,K197*IFERROR(INDEX(p_Cost,MATCH($F197,p_ID,0)),0))</f>
        <v>1200</v>
      </c>
      <c r="Q197" s="84" t="n">
        <f aca="false">O197-P197</f>
        <v>330</v>
      </c>
      <c r="R197" s="86" t="n">
        <f aca="false">DATE(YEAR(B197),MONTH(B197),1)</f>
        <v>45962</v>
      </c>
      <c r="S197" s="83" t="str">
        <f aca="false">YEAR(B197)&amp;"-Q"&amp;ROUNDUP(MONTH(B197)/3,0)</f>
        <v>2025-Q4</v>
      </c>
      <c r="T197" s="87" t="n">
        <f aca="false">IF(O197&gt;0,Q197/O197,"")</f>
        <v>0.215686274509804</v>
      </c>
      <c r="U197" s="84" t="n">
        <f aca="false">IF(O197&gt;0,O197,"")</f>
        <v>1530</v>
      </c>
    </row>
    <row r="198" customFormat="false" ht="15" hidden="false" customHeight="false" outlineLevel="0" collapsed="false">
      <c r="A198" s="81" t="s">
        <v>841</v>
      </c>
      <c r="B198" s="82" t="n">
        <v>45975</v>
      </c>
      <c r="C198" s="81" t="s">
        <v>364</v>
      </c>
      <c r="D198" s="83" t="str">
        <f aca="false">IFERROR(INDEX(c_Name,MATCH($C198,c_ID,0)),"غير معرّف")</f>
        <v>عبير الدوسري</v>
      </c>
      <c r="E198" s="83" t="str">
        <f aca="false">IFERROR(INDEX(c_Region,MATCH($C198,c_ID,0)),"غير معرّف")</f>
        <v>الشرقية</v>
      </c>
      <c r="F198" s="81" t="s">
        <v>187</v>
      </c>
      <c r="G198" s="83" t="str">
        <f aca="false">IFERROR(INDEX(p_Name,MATCH($F198,p_ID,0)),"غير معرّف")</f>
        <v>جهاز تدليك</v>
      </c>
      <c r="H198" s="83" t="str">
        <f aca="false">IFERROR(INDEX(p_Cat,MATCH($F198,p_ID,0)),"غير معرّف")</f>
        <v>عناية شخصية</v>
      </c>
      <c r="I198" s="81" t="s">
        <v>461</v>
      </c>
      <c r="J198" s="81" t="s">
        <v>91</v>
      </c>
      <c r="K198" s="81" t="n">
        <v>1</v>
      </c>
      <c r="L198" s="84" t="n">
        <f aca="false">IFERROR(INDEX(p_Price,MATCH($F198,p_ID,0)),0)</f>
        <v>600</v>
      </c>
      <c r="M198" s="85" t="n">
        <v>0</v>
      </c>
      <c r="N198" s="81" t="s">
        <v>644</v>
      </c>
      <c r="O198" s="84" t="n">
        <f aca="false">IF($N198="مرتجع",0,K198*L198*(1-M198))</f>
        <v>600</v>
      </c>
      <c r="P198" s="84" t="n">
        <f aca="false">IF($N198="مرتجع",0,K198*IFERROR(INDEX(p_Cost,MATCH($F198,p_ID,0)),0))</f>
        <v>330</v>
      </c>
      <c r="Q198" s="84" t="n">
        <f aca="false">O198-P198</f>
        <v>270</v>
      </c>
      <c r="R198" s="86" t="n">
        <f aca="false">DATE(YEAR(B198),MONTH(B198),1)</f>
        <v>45962</v>
      </c>
      <c r="S198" s="83" t="str">
        <f aca="false">YEAR(B198)&amp;"-Q"&amp;ROUNDUP(MONTH(B198)/3,0)</f>
        <v>2025-Q4</v>
      </c>
      <c r="T198" s="87" t="n">
        <f aca="false">IF(O198&gt;0,Q198/O198,"")</f>
        <v>0.45</v>
      </c>
      <c r="U198" s="84" t="n">
        <f aca="false">IF(O198&gt;0,O198,"")</f>
        <v>600</v>
      </c>
    </row>
    <row r="199" customFormat="false" ht="15" hidden="false" customHeight="false" outlineLevel="0" collapsed="false">
      <c r="A199" s="81" t="s">
        <v>842</v>
      </c>
      <c r="B199" s="82" t="n">
        <v>45976</v>
      </c>
      <c r="C199" s="81" t="s">
        <v>295</v>
      </c>
      <c r="D199" s="83" t="str">
        <f aca="false">IFERROR(INDEX(c_Name,MATCH($C199,c_ID,0)),"غير معرّف")</f>
        <v>عبير الزهراني</v>
      </c>
      <c r="E199" s="83" t="str">
        <f aca="false">IFERROR(INDEX(c_Region,MATCH($C199,c_ID,0)),"غير معرّف")</f>
        <v>الوسطى</v>
      </c>
      <c r="F199" s="81" t="s">
        <v>177</v>
      </c>
      <c r="G199" s="83" t="str">
        <f aca="false">IFERROR(INDEX(p_Name,MATCH($F199,p_ID,0)),"غير معرّف")</f>
        <v>ورق A4 (صندوق)</v>
      </c>
      <c r="H199" s="83" t="str">
        <f aca="false">IFERROR(INDEX(p_Cat,MATCH($F199,p_ID,0)),"غير معرّف")</f>
        <v>مستلزمات مكتبية</v>
      </c>
      <c r="I199" s="81" t="s">
        <v>449</v>
      </c>
      <c r="J199" s="81" t="s">
        <v>93</v>
      </c>
      <c r="K199" s="81" t="n">
        <v>6</v>
      </c>
      <c r="L199" s="84" t="n">
        <f aca="false">IFERROR(INDEX(p_Price,MATCH($F199,p_ID,0)),0)</f>
        <v>140</v>
      </c>
      <c r="M199" s="85" t="n">
        <v>0.1</v>
      </c>
      <c r="N199" s="81" t="s">
        <v>644</v>
      </c>
      <c r="O199" s="84" t="n">
        <f aca="false">IF($N199="مرتجع",0,K199*L199*(1-M199))</f>
        <v>756</v>
      </c>
      <c r="P199" s="84" t="n">
        <f aca="false">IF($N199="مرتجع",0,K199*IFERROR(INDEX(p_Cost,MATCH($F199,p_ID,0)),0))</f>
        <v>570</v>
      </c>
      <c r="Q199" s="84" t="n">
        <f aca="false">O199-P199</f>
        <v>186</v>
      </c>
      <c r="R199" s="86" t="n">
        <f aca="false">DATE(YEAR(B199),MONTH(B199),1)</f>
        <v>45962</v>
      </c>
      <c r="S199" s="83" t="str">
        <f aca="false">YEAR(B199)&amp;"-Q"&amp;ROUNDUP(MONTH(B199)/3,0)</f>
        <v>2025-Q4</v>
      </c>
      <c r="T199" s="87" t="n">
        <f aca="false">IF(O199&gt;0,Q199/O199,"")</f>
        <v>0.246031746031746</v>
      </c>
      <c r="U199" s="84" t="n">
        <f aca="false">IF(O199&gt;0,O199,"")</f>
        <v>756</v>
      </c>
    </row>
    <row r="200" customFormat="false" ht="15" hidden="false" customHeight="false" outlineLevel="0" collapsed="false">
      <c r="A200" s="81" t="s">
        <v>843</v>
      </c>
      <c r="B200" s="82" t="n">
        <v>45976</v>
      </c>
      <c r="C200" s="81" t="s">
        <v>403</v>
      </c>
      <c r="D200" s="83" t="str">
        <f aca="false">IFERROR(INDEX(c_Name,MATCH($C200,c_ID,0)),"غير معرّف")</f>
        <v>ياسر المطيري</v>
      </c>
      <c r="E200" s="83" t="str">
        <f aca="false">IFERROR(INDEX(c_Region,MATCH($C200,c_ID,0)),"غير معرّف")</f>
        <v>الجنوبية</v>
      </c>
      <c r="F200" s="81" t="s">
        <v>179</v>
      </c>
      <c r="G200" s="83" t="str">
        <f aca="false">IFERROR(INDEX(p_Name,MATCH($F200,p_ID,0)),"غير معرّف")</f>
        <v>طقم أدوات مكتبية</v>
      </c>
      <c r="H200" s="83" t="str">
        <f aca="false">IFERROR(INDEX(p_Cat,MATCH($F200,p_ID,0)),"غير معرّف")</f>
        <v>مستلزمات مكتبية</v>
      </c>
      <c r="I200" s="81" t="s">
        <v>465</v>
      </c>
      <c r="J200" s="81" t="s">
        <v>91</v>
      </c>
      <c r="K200" s="81" t="n">
        <v>1</v>
      </c>
      <c r="L200" s="84" t="n">
        <f aca="false">IFERROR(INDEX(p_Price,MATCH($F200,p_ID,0)),0)</f>
        <v>90</v>
      </c>
      <c r="M200" s="85" t="n">
        <v>0.1</v>
      </c>
      <c r="N200" s="81" t="s">
        <v>644</v>
      </c>
      <c r="O200" s="84" t="n">
        <f aca="false">IF($N200="مرتجع",0,K200*L200*(1-M200))</f>
        <v>81</v>
      </c>
      <c r="P200" s="84" t="n">
        <f aca="false">IF($N200="مرتجع",0,K200*IFERROR(INDEX(p_Cost,MATCH($F200,p_ID,0)),0))</f>
        <v>45</v>
      </c>
      <c r="Q200" s="84" t="n">
        <f aca="false">O200-P200</f>
        <v>36</v>
      </c>
      <c r="R200" s="86" t="n">
        <f aca="false">DATE(YEAR(B200),MONTH(B200),1)</f>
        <v>45962</v>
      </c>
      <c r="S200" s="83" t="str">
        <f aca="false">YEAR(B200)&amp;"-Q"&amp;ROUNDUP(MONTH(B200)/3,0)</f>
        <v>2025-Q4</v>
      </c>
      <c r="T200" s="87" t="n">
        <f aca="false">IF(O200&gt;0,Q200/O200,"")</f>
        <v>0.444444444444444</v>
      </c>
      <c r="U200" s="84" t="n">
        <f aca="false">IF(O200&gt;0,O200,"")</f>
        <v>81</v>
      </c>
    </row>
    <row r="201" customFormat="false" ht="15" hidden="false" customHeight="false" outlineLevel="0" collapsed="false">
      <c r="A201" s="81" t="s">
        <v>844</v>
      </c>
      <c r="B201" s="82" t="n">
        <v>45976</v>
      </c>
      <c r="C201" s="81" t="s">
        <v>260</v>
      </c>
      <c r="D201" s="83" t="str">
        <f aca="false">IFERROR(INDEX(c_Name,MATCH($C201,c_ID,0)),"غير معرّف")</f>
        <v>منى العتيبي</v>
      </c>
      <c r="E201" s="83" t="str">
        <f aca="false">IFERROR(INDEX(c_Region,MATCH($C201,c_ID,0)),"غير معرّف")</f>
        <v>الشرقية</v>
      </c>
      <c r="F201" s="81" t="s">
        <v>178</v>
      </c>
      <c r="G201" s="83" t="str">
        <f aca="false">IFERROR(INDEX(p_Name,MATCH($F201,p_ID,0)),"غير معرّف")</f>
        <v>حقيبة لابتوب</v>
      </c>
      <c r="H201" s="83" t="str">
        <f aca="false">IFERROR(INDEX(p_Cat,MATCH($F201,p_ID,0)),"غير معرّف")</f>
        <v>مستلزمات مكتبية</v>
      </c>
      <c r="I201" s="81" t="s">
        <v>461</v>
      </c>
      <c r="J201" s="81" t="s">
        <v>91</v>
      </c>
      <c r="K201" s="81" t="n">
        <v>6</v>
      </c>
      <c r="L201" s="84" t="n">
        <f aca="false">IFERROR(INDEX(p_Price,MATCH($F201,p_ID,0)),0)</f>
        <v>260</v>
      </c>
      <c r="M201" s="85" t="n">
        <v>0</v>
      </c>
      <c r="N201" s="81" t="s">
        <v>644</v>
      </c>
      <c r="O201" s="84" t="n">
        <f aca="false">IF($N201="مرتجع",0,K201*L201*(1-M201))</f>
        <v>1560</v>
      </c>
      <c r="P201" s="84" t="n">
        <f aca="false">IF($N201="مرتجع",0,K201*IFERROR(INDEX(p_Cost,MATCH($F201,p_ID,0)),0))</f>
        <v>720</v>
      </c>
      <c r="Q201" s="84" t="n">
        <f aca="false">O201-P201</f>
        <v>840</v>
      </c>
      <c r="R201" s="86" t="n">
        <f aca="false">DATE(YEAR(B201),MONTH(B201),1)</f>
        <v>45962</v>
      </c>
      <c r="S201" s="83" t="str">
        <f aca="false">YEAR(B201)&amp;"-Q"&amp;ROUNDUP(MONTH(B201)/3,0)</f>
        <v>2025-Q4</v>
      </c>
      <c r="T201" s="87" t="n">
        <f aca="false">IF(O201&gt;0,Q201/O201,"")</f>
        <v>0.538461538461538</v>
      </c>
      <c r="U201" s="84" t="n">
        <f aca="false">IF(O201&gt;0,O201,"")</f>
        <v>1560</v>
      </c>
    </row>
    <row r="202" customFormat="false" ht="15" hidden="false" customHeight="false" outlineLevel="0" collapsed="false">
      <c r="A202" s="81" t="s">
        <v>845</v>
      </c>
      <c r="B202" s="82" t="n">
        <v>45976</v>
      </c>
      <c r="C202" s="81" t="s">
        <v>423</v>
      </c>
      <c r="D202" s="83" t="str">
        <f aca="false">IFERROR(INDEX(c_Name,MATCH($C202,c_ID,0)),"غير معرّف")</f>
        <v>ناصر المطيري</v>
      </c>
      <c r="E202" s="83" t="str">
        <f aca="false">IFERROR(INDEX(c_Region,MATCH($C202,c_ID,0)),"غير معرّف")</f>
        <v>الغربية</v>
      </c>
      <c r="F202" s="81" t="s">
        <v>164</v>
      </c>
      <c r="G202" s="83" t="str">
        <f aca="false">IFERROR(INDEX(p_Name,MATCH($F202,p_ID,0)),"غير معرّف")</f>
        <v>هاتف ذكي</v>
      </c>
      <c r="H202" s="83" t="str">
        <f aca="false">IFERROR(INDEX(p_Cat,MATCH($F202,p_ID,0)),"غير معرّف")</f>
        <v>إلكترونيات</v>
      </c>
      <c r="I202" s="81" t="s">
        <v>455</v>
      </c>
      <c r="J202" s="81" t="s">
        <v>93</v>
      </c>
      <c r="K202" s="81" t="n">
        <v>2</v>
      </c>
      <c r="L202" s="84" t="n">
        <f aca="false">IFERROR(INDEX(p_Price,MATCH($F202,p_ID,0)),0)</f>
        <v>2400</v>
      </c>
      <c r="M202" s="85" t="n">
        <v>0.15</v>
      </c>
      <c r="N202" s="81" t="s">
        <v>644</v>
      </c>
      <c r="O202" s="84" t="n">
        <f aca="false">IF($N202="مرتجع",0,K202*L202*(1-M202))</f>
        <v>4080</v>
      </c>
      <c r="P202" s="84" t="n">
        <f aca="false">IF($N202="مرتجع",0,K202*IFERROR(INDEX(p_Cost,MATCH($F202,p_ID,0)),0))</f>
        <v>3500</v>
      </c>
      <c r="Q202" s="84" t="n">
        <f aca="false">O202-P202</f>
        <v>580</v>
      </c>
      <c r="R202" s="86" t="n">
        <f aca="false">DATE(YEAR(B202),MONTH(B202),1)</f>
        <v>45962</v>
      </c>
      <c r="S202" s="83" t="str">
        <f aca="false">YEAR(B202)&amp;"-Q"&amp;ROUNDUP(MONTH(B202)/3,0)</f>
        <v>2025-Q4</v>
      </c>
      <c r="T202" s="87" t="n">
        <f aca="false">IF(O202&gt;0,Q202/O202,"")</f>
        <v>0.142156862745098</v>
      </c>
      <c r="U202" s="84" t="n">
        <f aca="false">IF(O202&gt;0,O202,"")</f>
        <v>4080</v>
      </c>
    </row>
    <row r="203" customFormat="false" ht="15" hidden="false" customHeight="false" outlineLevel="0" collapsed="false">
      <c r="A203" s="81" t="s">
        <v>846</v>
      </c>
      <c r="B203" s="82" t="n">
        <v>45976</v>
      </c>
      <c r="C203" s="81" t="s">
        <v>273</v>
      </c>
      <c r="D203" s="83" t="str">
        <f aca="false">IFERROR(INDEX(c_Name,MATCH($C203,c_ID,0)),"غير معرّف")</f>
        <v>سلمان التميمي</v>
      </c>
      <c r="E203" s="83" t="str">
        <f aca="false">IFERROR(INDEX(c_Region,MATCH($C203,c_ID,0)),"غير معرّف")</f>
        <v>الشرقية</v>
      </c>
      <c r="F203" s="81" t="s">
        <v>184</v>
      </c>
      <c r="G203" s="83" t="str">
        <f aca="false">IFERROR(INDEX(p_Name,MATCH($F203,p_ID,0)),"غير معرّف")</f>
        <v>عطر فاخر</v>
      </c>
      <c r="H203" s="83" t="str">
        <f aca="false">IFERROR(INDEX(p_Cat,MATCH($F203,p_ID,0)),"غير معرّف")</f>
        <v>عناية شخصية</v>
      </c>
      <c r="I203" s="81" t="s">
        <v>463</v>
      </c>
      <c r="J203" s="81" t="s">
        <v>93</v>
      </c>
      <c r="K203" s="81" t="n">
        <v>3</v>
      </c>
      <c r="L203" s="84" t="n">
        <f aca="false">IFERROR(INDEX(p_Price,MATCH($F203,p_ID,0)),0)</f>
        <v>520</v>
      </c>
      <c r="M203" s="85" t="n">
        <v>0.05</v>
      </c>
      <c r="N203" s="81" t="s">
        <v>644</v>
      </c>
      <c r="O203" s="84" t="n">
        <f aca="false">IF($N203="مرتجع",0,K203*L203*(1-M203))</f>
        <v>1482</v>
      </c>
      <c r="P203" s="84" t="n">
        <f aca="false">IF($N203="مرتجع",0,K203*IFERROR(INDEX(p_Cost,MATCH($F203,p_ID,0)),0))</f>
        <v>630</v>
      </c>
      <c r="Q203" s="84" t="n">
        <f aca="false">O203-P203</f>
        <v>852</v>
      </c>
      <c r="R203" s="86" t="n">
        <f aca="false">DATE(YEAR(B203),MONTH(B203),1)</f>
        <v>45962</v>
      </c>
      <c r="S203" s="83" t="str">
        <f aca="false">YEAR(B203)&amp;"-Q"&amp;ROUNDUP(MONTH(B203)/3,0)</f>
        <v>2025-Q4</v>
      </c>
      <c r="T203" s="87" t="n">
        <f aca="false">IF(O203&gt;0,Q203/O203,"")</f>
        <v>0.574898785425101</v>
      </c>
      <c r="U203" s="84" t="n">
        <f aca="false">IF(O203&gt;0,O203,"")</f>
        <v>1482</v>
      </c>
    </row>
    <row r="204" customFormat="false" ht="15" hidden="false" customHeight="false" outlineLevel="0" collapsed="false">
      <c r="A204" s="81" t="s">
        <v>847</v>
      </c>
      <c r="B204" s="82" t="n">
        <v>45976</v>
      </c>
      <c r="C204" s="81" t="s">
        <v>363</v>
      </c>
      <c r="D204" s="83" t="str">
        <f aca="false">IFERROR(INDEX(c_Name,MATCH($C204,c_ID,0)),"غير معرّف")</f>
        <v>سلمان البلوي</v>
      </c>
      <c r="E204" s="83" t="str">
        <f aca="false">IFERROR(INDEX(c_Region,MATCH($C204,c_ID,0)),"غير معرّف")</f>
        <v>الوسطى</v>
      </c>
      <c r="F204" s="81" t="s">
        <v>169</v>
      </c>
      <c r="G204" s="83" t="str">
        <f aca="false">IFERROR(INDEX(p_Name,MATCH($F204,p_ID,0)),"غير معرّف")</f>
        <v>خلاط</v>
      </c>
      <c r="H204" s="83" t="str">
        <f aca="false">IFERROR(INDEX(p_Cat,MATCH($F204,p_ID,0)),"غير معرّف")</f>
        <v>أجهزة منزلية</v>
      </c>
      <c r="I204" s="81" t="s">
        <v>446</v>
      </c>
      <c r="J204" s="81" t="s">
        <v>93</v>
      </c>
      <c r="K204" s="81" t="n">
        <v>1</v>
      </c>
      <c r="L204" s="84" t="n">
        <f aca="false">IFERROR(INDEX(p_Price,MATCH($F204,p_ID,0)),0)</f>
        <v>300</v>
      </c>
      <c r="M204" s="85" t="n">
        <v>0.15</v>
      </c>
      <c r="N204" s="81" t="s">
        <v>644</v>
      </c>
      <c r="O204" s="84" t="n">
        <f aca="false">IF($N204="مرتجع",0,K204*L204*(1-M204))</f>
        <v>255</v>
      </c>
      <c r="P204" s="84" t="n">
        <f aca="false">IF($N204="مرتجع",0,K204*IFERROR(INDEX(p_Cost,MATCH($F204,p_ID,0)),0))</f>
        <v>175</v>
      </c>
      <c r="Q204" s="84" t="n">
        <f aca="false">O204-P204</f>
        <v>80</v>
      </c>
      <c r="R204" s="86" t="n">
        <f aca="false">DATE(YEAR(B204),MONTH(B204),1)</f>
        <v>45962</v>
      </c>
      <c r="S204" s="83" t="str">
        <f aca="false">YEAR(B204)&amp;"-Q"&amp;ROUNDUP(MONTH(B204)/3,0)</f>
        <v>2025-Q4</v>
      </c>
      <c r="T204" s="87" t="n">
        <f aca="false">IF(O204&gt;0,Q204/O204,"")</f>
        <v>0.313725490196078</v>
      </c>
      <c r="U204" s="84" t="n">
        <f aca="false">IF(O204&gt;0,O204,"")</f>
        <v>255</v>
      </c>
    </row>
    <row r="205" customFormat="false" ht="15" hidden="false" customHeight="false" outlineLevel="0" collapsed="false">
      <c r="A205" s="81" t="s">
        <v>848</v>
      </c>
      <c r="B205" s="82" t="n">
        <v>45977</v>
      </c>
      <c r="C205" s="81" t="s">
        <v>431</v>
      </c>
      <c r="D205" s="83" t="str">
        <f aca="false">IFERROR(INDEX(c_Name,MATCH($C205,c_ID,0)),"غير معرّف")</f>
        <v>ياسر السبيعي</v>
      </c>
      <c r="E205" s="83" t="str">
        <f aca="false">IFERROR(INDEX(c_Region,MATCH($C205,c_ID,0)),"غير معرّف")</f>
        <v>الشرقية</v>
      </c>
      <c r="F205" s="81" t="s">
        <v>166</v>
      </c>
      <c r="G205" s="83" t="str">
        <f aca="false">IFERROR(INDEX(p_Name,MATCH($F205,p_ID,0)),"غير معرّف")</f>
        <v>سماعات لاسلكية</v>
      </c>
      <c r="H205" s="83" t="str">
        <f aca="false">IFERROR(INDEX(p_Cat,MATCH($F205,p_ID,0)),"غير معرّف")</f>
        <v>إلكترونيات</v>
      </c>
      <c r="I205" s="81" t="s">
        <v>461</v>
      </c>
      <c r="J205" s="81" t="s">
        <v>93</v>
      </c>
      <c r="K205" s="81" t="n">
        <v>5</v>
      </c>
      <c r="L205" s="84" t="n">
        <f aca="false">IFERROR(INDEX(p_Price,MATCH($F205,p_ID,0)),0)</f>
        <v>450</v>
      </c>
      <c r="M205" s="85" t="n">
        <v>0</v>
      </c>
      <c r="N205" s="81" t="s">
        <v>644</v>
      </c>
      <c r="O205" s="84" t="n">
        <f aca="false">IF($N205="مرتجع",0,K205*L205*(1-M205))</f>
        <v>2250</v>
      </c>
      <c r="P205" s="84" t="n">
        <f aca="false">IF($N205="مرتجع",0,K205*IFERROR(INDEX(p_Cost,MATCH($F205,p_ID,0)),0))</f>
        <v>1300</v>
      </c>
      <c r="Q205" s="84" t="n">
        <f aca="false">O205-P205</f>
        <v>950</v>
      </c>
      <c r="R205" s="86" t="n">
        <f aca="false">DATE(YEAR(B205),MONTH(B205),1)</f>
        <v>45962</v>
      </c>
      <c r="S205" s="83" t="str">
        <f aca="false">YEAR(B205)&amp;"-Q"&amp;ROUNDUP(MONTH(B205)/3,0)</f>
        <v>2025-Q4</v>
      </c>
      <c r="T205" s="87" t="n">
        <f aca="false">IF(O205&gt;0,Q205/O205,"")</f>
        <v>0.422222222222222</v>
      </c>
      <c r="U205" s="84" t="n">
        <f aca="false">IF(O205&gt;0,O205,"")</f>
        <v>2250</v>
      </c>
    </row>
    <row r="206" customFormat="false" ht="15" hidden="false" customHeight="false" outlineLevel="0" collapsed="false">
      <c r="A206" s="81" t="s">
        <v>849</v>
      </c>
      <c r="B206" s="82" t="n">
        <v>45977</v>
      </c>
      <c r="C206" s="81" t="s">
        <v>359</v>
      </c>
      <c r="D206" s="83" t="str">
        <f aca="false">IFERROR(INDEX(c_Name,MATCH($C206,c_ID,0)),"غير معرّف")</f>
        <v>ريم البلوي</v>
      </c>
      <c r="E206" s="83" t="str">
        <f aca="false">IFERROR(INDEX(c_Region,MATCH($C206,c_ID,0)),"غير معرّف")</f>
        <v>الوسطى</v>
      </c>
      <c r="F206" s="81" t="s">
        <v>179</v>
      </c>
      <c r="G206" s="83" t="str">
        <f aca="false">IFERROR(INDEX(p_Name,MATCH($F206,p_ID,0)),"غير معرّف")</f>
        <v>طقم أدوات مكتبية</v>
      </c>
      <c r="H206" s="83" t="str">
        <f aca="false">IFERROR(INDEX(p_Cat,MATCH($F206,p_ID,0)),"غير معرّف")</f>
        <v>مستلزمات مكتبية</v>
      </c>
      <c r="I206" s="81" t="s">
        <v>443</v>
      </c>
      <c r="J206" s="81" t="s">
        <v>91</v>
      </c>
      <c r="K206" s="81" t="n">
        <v>1</v>
      </c>
      <c r="L206" s="84" t="n">
        <f aca="false">IFERROR(INDEX(p_Price,MATCH($F206,p_ID,0)),0)</f>
        <v>90</v>
      </c>
      <c r="M206" s="85" t="n">
        <v>0.15</v>
      </c>
      <c r="N206" s="81" t="s">
        <v>644</v>
      </c>
      <c r="O206" s="84" t="n">
        <f aca="false">IF($N206="مرتجع",0,K206*L206*(1-M206))</f>
        <v>76.5</v>
      </c>
      <c r="P206" s="84" t="n">
        <f aca="false">IF($N206="مرتجع",0,K206*IFERROR(INDEX(p_Cost,MATCH($F206,p_ID,0)),0))</f>
        <v>45</v>
      </c>
      <c r="Q206" s="84" t="n">
        <f aca="false">O206-P206</f>
        <v>31.5</v>
      </c>
      <c r="R206" s="86" t="n">
        <f aca="false">DATE(YEAR(B206),MONTH(B206),1)</f>
        <v>45962</v>
      </c>
      <c r="S206" s="83" t="str">
        <f aca="false">YEAR(B206)&amp;"-Q"&amp;ROUNDUP(MONTH(B206)/3,0)</f>
        <v>2025-Q4</v>
      </c>
      <c r="T206" s="87" t="n">
        <f aca="false">IF(O206&gt;0,Q206/O206,"")</f>
        <v>0.411764705882353</v>
      </c>
      <c r="U206" s="84" t="n">
        <f aca="false">IF(O206&gt;0,O206,"")</f>
        <v>76.5</v>
      </c>
    </row>
    <row r="207" customFormat="false" ht="15" hidden="false" customHeight="false" outlineLevel="0" collapsed="false">
      <c r="A207" s="81" t="s">
        <v>850</v>
      </c>
      <c r="B207" s="82" t="n">
        <v>45977</v>
      </c>
      <c r="C207" s="81" t="s">
        <v>290</v>
      </c>
      <c r="D207" s="83" t="str">
        <f aca="false">IFERROR(INDEX(c_Name,MATCH($C207,c_ID,0)),"غير معرّف")</f>
        <v>لمى العتيبي</v>
      </c>
      <c r="E207" s="83" t="str">
        <f aca="false">IFERROR(INDEX(c_Region,MATCH($C207,c_ID,0)),"غير معرّف")</f>
        <v>الجنوبية</v>
      </c>
      <c r="F207" s="81" t="s">
        <v>178</v>
      </c>
      <c r="G207" s="83" t="str">
        <f aca="false">IFERROR(INDEX(p_Name,MATCH($F207,p_ID,0)),"غير معرّف")</f>
        <v>حقيبة لابتوب</v>
      </c>
      <c r="H207" s="83" t="str">
        <f aca="false">IFERROR(INDEX(p_Cat,MATCH($F207,p_ID,0)),"غير معرّف")</f>
        <v>مستلزمات مكتبية</v>
      </c>
      <c r="I207" s="81" t="s">
        <v>467</v>
      </c>
      <c r="J207" s="81" t="s">
        <v>91</v>
      </c>
      <c r="K207" s="81" t="n">
        <v>2</v>
      </c>
      <c r="L207" s="84" t="n">
        <f aca="false">IFERROR(INDEX(p_Price,MATCH($F207,p_ID,0)),0)</f>
        <v>260</v>
      </c>
      <c r="M207" s="85" t="n">
        <v>0.15</v>
      </c>
      <c r="N207" s="81" t="s">
        <v>644</v>
      </c>
      <c r="O207" s="84" t="n">
        <f aca="false">IF($N207="مرتجع",0,K207*L207*(1-M207))</f>
        <v>442</v>
      </c>
      <c r="P207" s="84" t="n">
        <f aca="false">IF($N207="مرتجع",0,K207*IFERROR(INDEX(p_Cost,MATCH($F207,p_ID,0)),0))</f>
        <v>240</v>
      </c>
      <c r="Q207" s="84" t="n">
        <f aca="false">O207-P207</f>
        <v>202</v>
      </c>
      <c r="R207" s="86" t="n">
        <f aca="false">DATE(YEAR(B207),MONTH(B207),1)</f>
        <v>45962</v>
      </c>
      <c r="S207" s="83" t="str">
        <f aca="false">YEAR(B207)&amp;"-Q"&amp;ROUNDUP(MONTH(B207)/3,0)</f>
        <v>2025-Q4</v>
      </c>
      <c r="T207" s="87" t="n">
        <f aca="false">IF(O207&gt;0,Q207/O207,"")</f>
        <v>0.457013574660633</v>
      </c>
      <c r="U207" s="84" t="n">
        <f aca="false">IF(O207&gt;0,O207,"")</f>
        <v>442</v>
      </c>
    </row>
    <row r="208" customFormat="false" ht="15" hidden="false" customHeight="false" outlineLevel="0" collapsed="false">
      <c r="A208" s="81" t="s">
        <v>851</v>
      </c>
      <c r="B208" s="82" t="n">
        <v>45977</v>
      </c>
      <c r="C208" s="81" t="s">
        <v>415</v>
      </c>
      <c r="D208" s="83" t="str">
        <f aca="false">IFERROR(INDEX(c_Name,MATCH($C208,c_ID,0)),"غير معرّف")</f>
        <v>سارة القحطاني</v>
      </c>
      <c r="E208" s="83" t="str">
        <f aca="false">IFERROR(INDEX(c_Region,MATCH($C208,c_ID,0)),"غير معرّف")</f>
        <v>الشرقية</v>
      </c>
      <c r="F208" s="81" t="s">
        <v>175</v>
      </c>
      <c r="G208" s="83" t="str">
        <f aca="false">IFERROR(INDEX(p_Name,MATCH($F208,p_ID,0)),"غير معرّف")</f>
        <v>رف كتب</v>
      </c>
      <c r="H208" s="83" t="str">
        <f aca="false">IFERROR(INDEX(p_Cat,MATCH($F208,p_ID,0)),"غير معرّف")</f>
        <v>أثاث</v>
      </c>
      <c r="I208" s="81" t="s">
        <v>461</v>
      </c>
      <c r="J208" s="81" t="s">
        <v>93</v>
      </c>
      <c r="K208" s="81" t="n">
        <v>1</v>
      </c>
      <c r="L208" s="84" t="n">
        <f aca="false">IFERROR(INDEX(p_Price,MATCH($F208,p_ID,0)),0)</f>
        <v>400</v>
      </c>
      <c r="M208" s="85" t="n">
        <v>0.05</v>
      </c>
      <c r="N208" s="81" t="s">
        <v>644</v>
      </c>
      <c r="O208" s="84" t="n">
        <f aca="false">IF($N208="مرتجع",0,K208*L208*(1-M208))</f>
        <v>380</v>
      </c>
      <c r="P208" s="84" t="n">
        <f aca="false">IF($N208="مرتجع",0,K208*IFERROR(INDEX(p_Cost,MATCH($F208,p_ID,0)),0))</f>
        <v>220</v>
      </c>
      <c r="Q208" s="84" t="n">
        <f aca="false">O208-P208</f>
        <v>160</v>
      </c>
      <c r="R208" s="86" t="n">
        <f aca="false">DATE(YEAR(B208),MONTH(B208),1)</f>
        <v>45962</v>
      </c>
      <c r="S208" s="83" t="str">
        <f aca="false">YEAR(B208)&amp;"-Q"&amp;ROUNDUP(MONTH(B208)/3,0)</f>
        <v>2025-Q4</v>
      </c>
      <c r="T208" s="87" t="n">
        <f aca="false">IF(O208&gt;0,Q208/O208,"")</f>
        <v>0.421052631578947</v>
      </c>
      <c r="U208" s="84" t="n">
        <f aca="false">IF(O208&gt;0,O208,"")</f>
        <v>380</v>
      </c>
    </row>
    <row r="209" customFormat="false" ht="15" hidden="false" customHeight="false" outlineLevel="0" collapsed="false">
      <c r="A209" s="81" t="s">
        <v>852</v>
      </c>
      <c r="B209" s="82" t="n">
        <v>45977</v>
      </c>
      <c r="C209" s="81" t="s">
        <v>410</v>
      </c>
      <c r="D209" s="83" t="str">
        <f aca="false">IFERROR(INDEX(c_Name,MATCH($C209,c_ID,0)),"غير معرّف")</f>
        <v>لمى الحربي</v>
      </c>
      <c r="E209" s="83" t="str">
        <f aca="false">IFERROR(INDEX(c_Region,MATCH($C209,c_ID,0)),"غير معرّف")</f>
        <v>الوسطى</v>
      </c>
      <c r="F209" s="81" t="s">
        <v>171</v>
      </c>
      <c r="G209" s="83" t="str">
        <f aca="false">IFERROR(INDEX(p_Name,MATCH($F209,p_ID,0)),"غير معرّف")</f>
        <v>قلاية هوائية</v>
      </c>
      <c r="H209" s="83" t="str">
        <f aca="false">IFERROR(INDEX(p_Cat,MATCH($F209,p_ID,0)),"غير معرّف")</f>
        <v>أجهزة منزلية</v>
      </c>
      <c r="I209" s="81" t="s">
        <v>449</v>
      </c>
      <c r="J209" s="81" t="s">
        <v>91</v>
      </c>
      <c r="K209" s="81" t="n">
        <v>1</v>
      </c>
      <c r="L209" s="84" t="n">
        <f aca="false">IFERROR(INDEX(p_Price,MATCH($F209,p_ID,0)),0)</f>
        <v>520</v>
      </c>
      <c r="M209" s="85" t="n">
        <v>0.2</v>
      </c>
      <c r="N209" s="81" t="s">
        <v>644</v>
      </c>
      <c r="O209" s="84" t="n">
        <f aca="false">IF($N209="مرتجع",0,K209*L209*(1-M209))</f>
        <v>416</v>
      </c>
      <c r="P209" s="84" t="n">
        <f aca="false">IF($N209="مرتجع",0,K209*IFERROR(INDEX(p_Cost,MATCH($F209,p_ID,0)),0))</f>
        <v>300</v>
      </c>
      <c r="Q209" s="84" t="n">
        <f aca="false">O209-P209</f>
        <v>116</v>
      </c>
      <c r="R209" s="86" t="n">
        <f aca="false">DATE(YEAR(B209),MONTH(B209),1)</f>
        <v>45962</v>
      </c>
      <c r="S209" s="83" t="str">
        <f aca="false">YEAR(B209)&amp;"-Q"&amp;ROUNDUP(MONTH(B209)/3,0)</f>
        <v>2025-Q4</v>
      </c>
      <c r="T209" s="87" t="n">
        <f aca="false">IF(O209&gt;0,Q209/O209,"")</f>
        <v>0.278846153846154</v>
      </c>
      <c r="U209" s="84" t="n">
        <f aca="false">IF(O209&gt;0,O209,"")</f>
        <v>416</v>
      </c>
    </row>
    <row r="210" customFormat="false" ht="15" hidden="false" customHeight="false" outlineLevel="0" collapsed="false">
      <c r="A210" s="81" t="s">
        <v>853</v>
      </c>
      <c r="B210" s="82" t="n">
        <v>45977</v>
      </c>
      <c r="C210" s="81" t="s">
        <v>347</v>
      </c>
      <c r="D210" s="83" t="str">
        <f aca="false">IFERROR(INDEX(c_Name,MATCH($C210,c_ID,0)),"غير معرّف")</f>
        <v>محمد الشمري</v>
      </c>
      <c r="E210" s="83" t="str">
        <f aca="false">IFERROR(INDEX(c_Region,MATCH($C210,c_ID,0)),"غير معرّف")</f>
        <v>الغربية</v>
      </c>
      <c r="F210" s="81" t="s">
        <v>180</v>
      </c>
      <c r="G210" s="83" t="str">
        <f aca="false">IFERROR(INDEX(p_Name,MATCH($F210,p_ID,0)),"غير معرّف")</f>
        <v>جهاز مشي</v>
      </c>
      <c r="H210" s="83" t="str">
        <f aca="false">IFERROR(INDEX(p_Cat,MATCH($F210,p_ID,0)),"غير معرّف")</f>
        <v>رياضة</v>
      </c>
      <c r="I210" s="81" t="s">
        <v>458</v>
      </c>
      <c r="J210" s="81" t="s">
        <v>93</v>
      </c>
      <c r="K210" s="81" t="n">
        <v>1</v>
      </c>
      <c r="L210" s="84" t="n">
        <f aca="false">IFERROR(INDEX(p_Price,MATCH($F210,p_ID,0)),0)</f>
        <v>3200</v>
      </c>
      <c r="M210" s="85" t="n">
        <v>0.15</v>
      </c>
      <c r="N210" s="81" t="s">
        <v>644</v>
      </c>
      <c r="O210" s="84" t="n">
        <f aca="false">IF($N210="مرتجع",0,K210*L210*(1-M210))</f>
        <v>2720</v>
      </c>
      <c r="P210" s="84" t="n">
        <f aca="false">IF($N210="مرتجع",0,K210*IFERROR(INDEX(p_Cost,MATCH($F210,p_ID,0)),0))</f>
        <v>2200</v>
      </c>
      <c r="Q210" s="84" t="n">
        <f aca="false">O210-P210</f>
        <v>520</v>
      </c>
      <c r="R210" s="86" t="n">
        <f aca="false">DATE(YEAR(B210),MONTH(B210),1)</f>
        <v>45962</v>
      </c>
      <c r="S210" s="83" t="str">
        <f aca="false">YEAR(B210)&amp;"-Q"&amp;ROUNDUP(MONTH(B210)/3,0)</f>
        <v>2025-Q4</v>
      </c>
      <c r="T210" s="87" t="n">
        <f aca="false">IF(O210&gt;0,Q210/O210,"")</f>
        <v>0.191176470588235</v>
      </c>
      <c r="U210" s="84" t="n">
        <f aca="false">IF(O210&gt;0,O210,"")</f>
        <v>2720</v>
      </c>
    </row>
    <row r="211" customFormat="false" ht="15" hidden="false" customHeight="false" outlineLevel="0" collapsed="false">
      <c r="A211" s="81" t="s">
        <v>854</v>
      </c>
      <c r="B211" s="82" t="n">
        <v>45978</v>
      </c>
      <c r="C211" s="81" t="s">
        <v>326</v>
      </c>
      <c r="D211" s="83" t="str">
        <f aca="false">IFERROR(INDEX(c_Name,MATCH($C211,c_ID,0)),"غير معرّف")</f>
        <v>دانة القحطاني</v>
      </c>
      <c r="E211" s="83" t="str">
        <f aca="false">IFERROR(INDEX(c_Region,MATCH($C211,c_ID,0)),"غير معرّف")</f>
        <v>الوسطى</v>
      </c>
      <c r="F211" s="81" t="s">
        <v>186</v>
      </c>
      <c r="G211" s="83" t="str">
        <f aca="false">IFERROR(INDEX(p_Name,MATCH($F211,p_ID,0)),"غير معرّف")</f>
        <v>مجفف شعر</v>
      </c>
      <c r="H211" s="83" t="str">
        <f aca="false">IFERROR(INDEX(p_Cat,MATCH($F211,p_ID,0)),"غير معرّف")</f>
        <v>عناية شخصية</v>
      </c>
      <c r="I211" s="81" t="s">
        <v>443</v>
      </c>
      <c r="J211" s="81" t="s">
        <v>91</v>
      </c>
      <c r="K211" s="81" t="n">
        <v>2</v>
      </c>
      <c r="L211" s="84" t="n">
        <f aca="false">IFERROR(INDEX(p_Price,MATCH($F211,p_ID,0)),0)</f>
        <v>280</v>
      </c>
      <c r="M211" s="85" t="n">
        <v>0.05</v>
      </c>
      <c r="N211" s="81" t="s">
        <v>644</v>
      </c>
      <c r="O211" s="84" t="n">
        <f aca="false">IF($N211="مرتجع",0,K211*L211*(1-M211))</f>
        <v>532</v>
      </c>
      <c r="P211" s="84" t="n">
        <f aca="false">IF($N211="مرتجع",0,K211*IFERROR(INDEX(p_Cost,MATCH($F211,p_ID,0)),0))</f>
        <v>280</v>
      </c>
      <c r="Q211" s="84" t="n">
        <f aca="false">O211-P211</f>
        <v>252</v>
      </c>
      <c r="R211" s="86" t="n">
        <f aca="false">DATE(YEAR(B211),MONTH(B211),1)</f>
        <v>45962</v>
      </c>
      <c r="S211" s="83" t="str">
        <f aca="false">YEAR(B211)&amp;"-Q"&amp;ROUNDUP(MONTH(B211)/3,0)</f>
        <v>2025-Q4</v>
      </c>
      <c r="T211" s="87" t="n">
        <f aca="false">IF(O211&gt;0,Q211/O211,"")</f>
        <v>0.473684210526316</v>
      </c>
      <c r="U211" s="84" t="n">
        <f aca="false">IF(O211&gt;0,O211,"")</f>
        <v>532</v>
      </c>
    </row>
    <row r="212" customFormat="false" ht="15" hidden="false" customHeight="false" outlineLevel="0" collapsed="false">
      <c r="A212" s="81" t="s">
        <v>855</v>
      </c>
      <c r="B212" s="82" t="n">
        <v>45978</v>
      </c>
      <c r="C212" s="81" t="s">
        <v>414</v>
      </c>
      <c r="D212" s="83" t="str">
        <f aca="false">IFERROR(INDEX(c_Name,MATCH($C212,c_ID,0)),"غير معرّف")</f>
        <v>هند المطيري</v>
      </c>
      <c r="E212" s="83" t="str">
        <f aca="false">IFERROR(INDEX(c_Region,MATCH($C212,c_ID,0)),"غير معرّف")</f>
        <v>الشرقية</v>
      </c>
      <c r="F212" s="81" t="s">
        <v>174</v>
      </c>
      <c r="G212" s="83" t="str">
        <f aca="false">IFERROR(INDEX(p_Name,MATCH($F212,p_ID,0)),"غير معرّف")</f>
        <v>خزانة ملفات</v>
      </c>
      <c r="H212" s="83" t="str">
        <f aca="false">IFERROR(INDEX(p_Cat,MATCH($F212,p_ID,0)),"غير معرّف")</f>
        <v>أثاث</v>
      </c>
      <c r="I212" s="81" t="s">
        <v>463</v>
      </c>
      <c r="J212" s="81" t="s">
        <v>91</v>
      </c>
      <c r="K212" s="81" t="n">
        <v>1</v>
      </c>
      <c r="L212" s="84" t="n">
        <f aca="false">IFERROR(INDEX(p_Price,MATCH($F212,p_ID,0)),0)</f>
        <v>700</v>
      </c>
      <c r="M212" s="85" t="n">
        <v>0.2</v>
      </c>
      <c r="N212" s="81" t="s">
        <v>644</v>
      </c>
      <c r="O212" s="84" t="n">
        <f aca="false">IF($N212="مرتجع",0,K212*L212*(1-M212))</f>
        <v>560</v>
      </c>
      <c r="P212" s="84" t="n">
        <f aca="false">IF($N212="مرتجع",0,K212*IFERROR(INDEX(p_Cost,MATCH($F212,p_ID,0)),0))</f>
        <v>410</v>
      </c>
      <c r="Q212" s="84" t="n">
        <f aca="false">O212-P212</f>
        <v>150</v>
      </c>
      <c r="R212" s="86" t="n">
        <f aca="false">DATE(YEAR(B212),MONTH(B212),1)</f>
        <v>45962</v>
      </c>
      <c r="S212" s="83" t="str">
        <f aca="false">YEAR(B212)&amp;"-Q"&amp;ROUNDUP(MONTH(B212)/3,0)</f>
        <v>2025-Q4</v>
      </c>
      <c r="T212" s="87" t="n">
        <f aca="false">IF(O212&gt;0,Q212/O212,"")</f>
        <v>0.267857142857143</v>
      </c>
      <c r="U212" s="84" t="n">
        <f aca="false">IF(O212&gt;0,O212,"")</f>
        <v>560</v>
      </c>
    </row>
    <row r="213" customFormat="false" ht="15" hidden="false" customHeight="false" outlineLevel="0" collapsed="false">
      <c r="A213" s="81" t="s">
        <v>856</v>
      </c>
      <c r="B213" s="82" t="n">
        <v>45978</v>
      </c>
      <c r="C213" s="81" t="s">
        <v>364</v>
      </c>
      <c r="D213" s="83" t="str">
        <f aca="false">IFERROR(INDEX(c_Name,MATCH($C213,c_ID,0)),"غير معرّف")</f>
        <v>عبير الدوسري</v>
      </c>
      <c r="E213" s="83" t="str">
        <f aca="false">IFERROR(INDEX(c_Region,MATCH($C213,c_ID,0)),"غير معرّف")</f>
        <v>الشرقية</v>
      </c>
      <c r="F213" s="81" t="s">
        <v>182</v>
      </c>
      <c r="G213" s="83" t="str">
        <f aca="false">IFERROR(INDEX(p_Name,MATCH($F213,p_ID,0)),"غير معرّف")</f>
        <v>طقم أوزان</v>
      </c>
      <c r="H213" s="83" t="str">
        <f aca="false">IFERROR(INDEX(p_Cat,MATCH($F213,p_ID,0)),"غير معرّف")</f>
        <v>رياضة</v>
      </c>
      <c r="I213" s="81" t="s">
        <v>461</v>
      </c>
      <c r="J213" s="81" t="s">
        <v>93</v>
      </c>
      <c r="K213" s="81" t="n">
        <v>1</v>
      </c>
      <c r="L213" s="84" t="n">
        <f aca="false">IFERROR(INDEX(p_Price,MATCH($F213,p_ID,0)),0)</f>
        <v>380</v>
      </c>
      <c r="M213" s="85" t="n">
        <v>0.05</v>
      </c>
      <c r="N213" s="81" t="s">
        <v>644</v>
      </c>
      <c r="O213" s="84" t="n">
        <f aca="false">IF($N213="مرتجع",0,K213*L213*(1-M213))</f>
        <v>361</v>
      </c>
      <c r="P213" s="84" t="n">
        <f aca="false">IF($N213="مرتجع",0,K213*IFERROR(INDEX(p_Cost,MATCH($F213,p_ID,0)),0))</f>
        <v>210</v>
      </c>
      <c r="Q213" s="84" t="n">
        <f aca="false">O213-P213</f>
        <v>151</v>
      </c>
      <c r="R213" s="86" t="n">
        <f aca="false">DATE(YEAR(B213),MONTH(B213),1)</f>
        <v>45962</v>
      </c>
      <c r="S213" s="83" t="str">
        <f aca="false">YEAR(B213)&amp;"-Q"&amp;ROUNDUP(MONTH(B213)/3,0)</f>
        <v>2025-Q4</v>
      </c>
      <c r="T213" s="87" t="n">
        <f aca="false">IF(O213&gt;0,Q213/O213,"")</f>
        <v>0.418282548476454</v>
      </c>
      <c r="U213" s="84" t="n">
        <f aca="false">IF(O213&gt;0,O213,"")</f>
        <v>361</v>
      </c>
    </row>
    <row r="214" customFormat="false" ht="15" hidden="false" customHeight="false" outlineLevel="0" collapsed="false">
      <c r="A214" s="81" t="s">
        <v>857</v>
      </c>
      <c r="B214" s="82" t="n">
        <v>45978</v>
      </c>
      <c r="C214" s="81" t="s">
        <v>304</v>
      </c>
      <c r="D214" s="83" t="str">
        <f aca="false">IFERROR(INDEX(c_Name,MATCH($C214,c_ID,0)),"غير معرّف")</f>
        <v>سلمان السبيعي</v>
      </c>
      <c r="E214" s="83" t="str">
        <f aca="false">IFERROR(INDEX(c_Region,MATCH($C214,c_ID,0)),"غير معرّف")</f>
        <v>الشرقية</v>
      </c>
      <c r="F214" s="81" t="s">
        <v>171</v>
      </c>
      <c r="G214" s="83" t="str">
        <f aca="false">IFERROR(INDEX(p_Name,MATCH($F214,p_ID,0)),"غير معرّف")</f>
        <v>قلاية هوائية</v>
      </c>
      <c r="H214" s="83" t="str">
        <f aca="false">IFERROR(INDEX(p_Cat,MATCH($F214,p_ID,0)),"غير معرّف")</f>
        <v>أجهزة منزلية</v>
      </c>
      <c r="I214" s="81" t="s">
        <v>463</v>
      </c>
      <c r="J214" s="81" t="s">
        <v>91</v>
      </c>
      <c r="K214" s="81" t="n">
        <v>3</v>
      </c>
      <c r="L214" s="84" t="n">
        <f aca="false">IFERROR(INDEX(p_Price,MATCH($F214,p_ID,0)),0)</f>
        <v>520</v>
      </c>
      <c r="M214" s="85" t="n">
        <v>0.15</v>
      </c>
      <c r="N214" s="81" t="s">
        <v>644</v>
      </c>
      <c r="O214" s="84" t="n">
        <f aca="false">IF($N214="مرتجع",0,K214*L214*(1-M214))</f>
        <v>1326</v>
      </c>
      <c r="P214" s="84" t="n">
        <f aca="false">IF($N214="مرتجع",0,K214*IFERROR(INDEX(p_Cost,MATCH($F214,p_ID,0)),0))</f>
        <v>900</v>
      </c>
      <c r="Q214" s="84" t="n">
        <f aca="false">O214-P214</f>
        <v>426</v>
      </c>
      <c r="R214" s="86" t="n">
        <f aca="false">DATE(YEAR(B214),MONTH(B214),1)</f>
        <v>45962</v>
      </c>
      <c r="S214" s="83" t="str">
        <f aca="false">YEAR(B214)&amp;"-Q"&amp;ROUNDUP(MONTH(B214)/3,0)</f>
        <v>2025-Q4</v>
      </c>
      <c r="T214" s="87" t="n">
        <f aca="false">IF(O214&gt;0,Q214/O214,"")</f>
        <v>0.321266968325792</v>
      </c>
      <c r="U214" s="84" t="n">
        <f aca="false">IF(O214&gt;0,O214,"")</f>
        <v>1326</v>
      </c>
    </row>
    <row r="215" customFormat="false" ht="15" hidden="false" customHeight="false" outlineLevel="0" collapsed="false">
      <c r="A215" s="81" t="s">
        <v>858</v>
      </c>
      <c r="B215" s="82" t="n">
        <v>45978</v>
      </c>
      <c r="C215" s="81" t="s">
        <v>404</v>
      </c>
      <c r="D215" s="83" t="str">
        <f aca="false">IFERROR(INDEX(c_Name,MATCH($C215,c_ID,0)),"غير معرّف")</f>
        <v>عبدالله الحسيني</v>
      </c>
      <c r="E215" s="83" t="str">
        <f aca="false">IFERROR(INDEX(c_Region,MATCH($C215,c_ID,0)),"غير معرّف")</f>
        <v>الشرقية</v>
      </c>
      <c r="F215" s="81" t="s">
        <v>165</v>
      </c>
      <c r="G215" s="83" t="str">
        <f aca="false">IFERROR(INDEX(p_Name,MATCH($F215,p_ID,0)),"غير معرّف")</f>
        <v>حاسوب محمول</v>
      </c>
      <c r="H215" s="83" t="str">
        <f aca="false">IFERROR(INDEX(p_Cat,MATCH($F215,p_ID,0)),"غير معرّف")</f>
        <v>إلكترونيات</v>
      </c>
      <c r="I215" s="81" t="s">
        <v>463</v>
      </c>
      <c r="J215" s="81" t="s">
        <v>93</v>
      </c>
      <c r="K215" s="81" t="n">
        <v>1</v>
      </c>
      <c r="L215" s="84" t="n">
        <f aca="false">IFERROR(INDEX(p_Price,MATCH($F215,p_ID,0)),0)</f>
        <v>3800</v>
      </c>
      <c r="M215" s="85" t="n">
        <v>0.15</v>
      </c>
      <c r="N215" s="81" t="s">
        <v>644</v>
      </c>
      <c r="O215" s="84" t="n">
        <f aca="false">IF($N215="مرتجع",0,K215*L215*(1-M215))</f>
        <v>3230</v>
      </c>
      <c r="P215" s="84" t="n">
        <f aca="false">IF($N215="مرتجع",0,K215*IFERROR(INDEX(p_Cost,MATCH($F215,p_ID,0)),0))</f>
        <v>2900</v>
      </c>
      <c r="Q215" s="84" t="n">
        <f aca="false">O215-P215</f>
        <v>330</v>
      </c>
      <c r="R215" s="86" t="n">
        <f aca="false">DATE(YEAR(B215),MONTH(B215),1)</f>
        <v>45962</v>
      </c>
      <c r="S215" s="83" t="str">
        <f aca="false">YEAR(B215)&amp;"-Q"&amp;ROUNDUP(MONTH(B215)/3,0)</f>
        <v>2025-Q4</v>
      </c>
      <c r="T215" s="87" t="n">
        <f aca="false">IF(O215&gt;0,Q215/O215,"")</f>
        <v>0.102167182662539</v>
      </c>
      <c r="U215" s="84" t="n">
        <f aca="false">IF(O215&gt;0,O215,"")</f>
        <v>3230</v>
      </c>
    </row>
    <row r="216" customFormat="false" ht="15" hidden="false" customHeight="false" outlineLevel="0" collapsed="false">
      <c r="A216" s="81" t="s">
        <v>859</v>
      </c>
      <c r="B216" s="82" t="n">
        <v>45978</v>
      </c>
      <c r="C216" s="81" t="s">
        <v>376</v>
      </c>
      <c r="D216" s="83" t="str">
        <f aca="false">IFERROR(INDEX(c_Name,MATCH($C216,c_ID,0)),"غير معرّف")</f>
        <v>لمى السبيعي</v>
      </c>
      <c r="E216" s="83" t="str">
        <f aca="false">IFERROR(INDEX(c_Region,MATCH($C216,c_ID,0)),"غير معرّف")</f>
        <v>الشرقية</v>
      </c>
      <c r="F216" s="81" t="s">
        <v>168</v>
      </c>
      <c r="G216" s="83" t="str">
        <f aca="false">IFERROR(INDEX(p_Name,MATCH($F216,p_ID,0)),"غير معرّف")</f>
        <v>مكنسة كهربائية</v>
      </c>
      <c r="H216" s="83" t="str">
        <f aca="false">IFERROR(INDEX(p_Cat,MATCH($F216,p_ID,0)),"غير معرّف")</f>
        <v>أجهزة منزلية</v>
      </c>
      <c r="I216" s="81" t="s">
        <v>463</v>
      </c>
      <c r="J216" s="81" t="s">
        <v>91</v>
      </c>
      <c r="K216" s="81" t="n">
        <v>1</v>
      </c>
      <c r="L216" s="84" t="n">
        <f aca="false">IFERROR(INDEX(p_Price,MATCH($F216,p_ID,0)),0)</f>
        <v>650</v>
      </c>
      <c r="M216" s="85" t="n">
        <v>0.1</v>
      </c>
      <c r="N216" s="81" t="s">
        <v>644</v>
      </c>
      <c r="O216" s="84" t="n">
        <f aca="false">IF($N216="مرتجع",0,K216*L216*(1-M216))</f>
        <v>585</v>
      </c>
      <c r="P216" s="84" t="n">
        <f aca="false">IF($N216="مرتجع",0,K216*IFERROR(INDEX(p_Cost,MATCH($F216,p_ID,0)),0))</f>
        <v>420</v>
      </c>
      <c r="Q216" s="84" t="n">
        <f aca="false">O216-P216</f>
        <v>165</v>
      </c>
      <c r="R216" s="86" t="n">
        <f aca="false">DATE(YEAR(B216),MONTH(B216),1)</f>
        <v>45962</v>
      </c>
      <c r="S216" s="83" t="str">
        <f aca="false">YEAR(B216)&amp;"-Q"&amp;ROUNDUP(MONTH(B216)/3,0)</f>
        <v>2025-Q4</v>
      </c>
      <c r="T216" s="87" t="n">
        <f aca="false">IF(O216&gt;0,Q216/O216,"")</f>
        <v>0.282051282051282</v>
      </c>
      <c r="U216" s="84" t="n">
        <f aca="false">IF(O216&gt;0,O216,"")</f>
        <v>585</v>
      </c>
    </row>
    <row r="217" customFormat="false" ht="15" hidden="false" customHeight="false" outlineLevel="0" collapsed="false">
      <c r="A217" s="81" t="s">
        <v>860</v>
      </c>
      <c r="B217" s="82" t="n">
        <v>45978</v>
      </c>
      <c r="C217" s="81" t="s">
        <v>361</v>
      </c>
      <c r="D217" s="83" t="str">
        <f aca="false">IFERROR(INDEX(c_Name,MATCH($C217,c_ID,0)),"غير معرّف")</f>
        <v>دانة المطيري</v>
      </c>
      <c r="E217" s="83" t="str">
        <f aca="false">IFERROR(INDEX(c_Region,MATCH($C217,c_ID,0)),"غير معرّف")</f>
        <v>الشرقية</v>
      </c>
      <c r="F217" s="81" t="s">
        <v>183</v>
      </c>
      <c r="G217" s="83" t="str">
        <f aca="false">IFERROR(INDEX(p_Name,MATCH($F217,p_ID,0)),"غير معرّف")</f>
        <v>سجادة يوغا</v>
      </c>
      <c r="H217" s="83" t="str">
        <f aca="false">IFERROR(INDEX(p_Cat,MATCH($F217,p_ID,0)),"غير معرّف")</f>
        <v>رياضة</v>
      </c>
      <c r="I217" s="81" t="s">
        <v>461</v>
      </c>
      <c r="J217" s="81" t="s">
        <v>91</v>
      </c>
      <c r="K217" s="81" t="n">
        <v>1</v>
      </c>
      <c r="L217" s="84" t="n">
        <f aca="false">IFERROR(INDEX(p_Price,MATCH($F217,p_ID,0)),0)</f>
        <v>120</v>
      </c>
      <c r="M217" s="85" t="n">
        <v>0</v>
      </c>
      <c r="N217" s="81" t="s">
        <v>644</v>
      </c>
      <c r="O217" s="84" t="n">
        <f aca="false">IF($N217="مرتجع",0,K217*L217*(1-M217))</f>
        <v>120</v>
      </c>
      <c r="P217" s="84" t="n">
        <f aca="false">IF($N217="مرتجع",0,K217*IFERROR(INDEX(p_Cost,MATCH($F217,p_ID,0)),0))</f>
        <v>50</v>
      </c>
      <c r="Q217" s="84" t="n">
        <f aca="false">O217-P217</f>
        <v>70</v>
      </c>
      <c r="R217" s="86" t="n">
        <f aca="false">DATE(YEAR(B217),MONTH(B217),1)</f>
        <v>45962</v>
      </c>
      <c r="S217" s="83" t="str">
        <f aca="false">YEAR(B217)&amp;"-Q"&amp;ROUNDUP(MONTH(B217)/3,0)</f>
        <v>2025-Q4</v>
      </c>
      <c r="T217" s="87" t="n">
        <f aca="false">IF(O217&gt;0,Q217/O217,"")</f>
        <v>0.583333333333333</v>
      </c>
      <c r="U217" s="84" t="n">
        <f aca="false">IF(O217&gt;0,O217,"")</f>
        <v>120</v>
      </c>
    </row>
    <row r="218" customFormat="false" ht="15" hidden="false" customHeight="false" outlineLevel="0" collapsed="false">
      <c r="A218" s="81" t="s">
        <v>861</v>
      </c>
      <c r="B218" s="82" t="n">
        <v>45979</v>
      </c>
      <c r="C218" s="81" t="s">
        <v>291</v>
      </c>
      <c r="D218" s="83" t="str">
        <f aca="false">IFERROR(INDEX(c_Name,MATCH($C218,c_ID,0)),"غير معرّف")</f>
        <v>ياسر الشمري</v>
      </c>
      <c r="E218" s="83" t="str">
        <f aca="false">IFERROR(INDEX(c_Region,MATCH($C218,c_ID,0)),"غير معرّف")</f>
        <v>الوسطى</v>
      </c>
      <c r="F218" s="81" t="s">
        <v>173</v>
      </c>
      <c r="G218" s="83" t="str">
        <f aca="false">IFERROR(INDEX(p_Name,MATCH($F218,p_ID,0)),"غير معرّف")</f>
        <v>كرسي مريح</v>
      </c>
      <c r="H218" s="83" t="str">
        <f aca="false">IFERROR(INDEX(p_Cat,MATCH($F218,p_ID,0)),"غير معرّف")</f>
        <v>أثاث</v>
      </c>
      <c r="I218" s="81" t="s">
        <v>446</v>
      </c>
      <c r="J218" s="81" t="s">
        <v>91</v>
      </c>
      <c r="K218" s="81" t="n">
        <v>2</v>
      </c>
      <c r="L218" s="84" t="n">
        <f aca="false">IFERROR(INDEX(p_Price,MATCH($F218,p_ID,0)),0)</f>
        <v>850</v>
      </c>
      <c r="M218" s="85" t="n">
        <v>0.05</v>
      </c>
      <c r="N218" s="81" t="s">
        <v>644</v>
      </c>
      <c r="O218" s="84" t="n">
        <f aca="false">IF($N218="مرتجع",0,K218*L218*(1-M218))</f>
        <v>1615</v>
      </c>
      <c r="P218" s="84" t="n">
        <f aca="false">IF($N218="مرتجع",0,K218*IFERROR(INDEX(p_Cost,MATCH($F218,p_ID,0)),0))</f>
        <v>960</v>
      </c>
      <c r="Q218" s="84" t="n">
        <f aca="false">O218-P218</f>
        <v>655</v>
      </c>
      <c r="R218" s="86" t="n">
        <f aca="false">DATE(YEAR(B218),MONTH(B218),1)</f>
        <v>45962</v>
      </c>
      <c r="S218" s="83" t="str">
        <f aca="false">YEAR(B218)&amp;"-Q"&amp;ROUNDUP(MONTH(B218)/3,0)</f>
        <v>2025-Q4</v>
      </c>
      <c r="T218" s="87" t="n">
        <f aca="false">IF(O218&gt;0,Q218/O218,"")</f>
        <v>0.405572755417957</v>
      </c>
      <c r="U218" s="84" t="n">
        <f aca="false">IF(O218&gt;0,O218,"")</f>
        <v>1615</v>
      </c>
    </row>
    <row r="219" customFormat="false" ht="15" hidden="false" customHeight="false" outlineLevel="0" collapsed="false">
      <c r="A219" s="81" t="s">
        <v>862</v>
      </c>
      <c r="B219" s="82" t="n">
        <v>45979</v>
      </c>
      <c r="C219" s="81" t="s">
        <v>368</v>
      </c>
      <c r="D219" s="83" t="str">
        <f aca="false">IFERROR(INDEX(c_Name,MATCH($C219,c_ID,0)),"غير معرّف")</f>
        <v>خالد الحربي</v>
      </c>
      <c r="E219" s="83" t="str">
        <f aca="false">IFERROR(INDEX(c_Region,MATCH($C219,c_ID,0)),"غير معرّف")</f>
        <v>الغربية</v>
      </c>
      <c r="F219" s="81" t="s">
        <v>186</v>
      </c>
      <c r="G219" s="83" t="str">
        <f aca="false">IFERROR(INDEX(p_Name,MATCH($F219,p_ID,0)),"غير معرّف")</f>
        <v>مجفف شعر</v>
      </c>
      <c r="H219" s="83" t="str">
        <f aca="false">IFERROR(INDEX(p_Cat,MATCH($F219,p_ID,0)),"غير معرّف")</f>
        <v>عناية شخصية</v>
      </c>
      <c r="I219" s="81" t="s">
        <v>455</v>
      </c>
      <c r="J219" s="81" t="s">
        <v>91</v>
      </c>
      <c r="K219" s="81" t="n">
        <v>3</v>
      </c>
      <c r="L219" s="84" t="n">
        <f aca="false">IFERROR(INDEX(p_Price,MATCH($F219,p_ID,0)),0)</f>
        <v>280</v>
      </c>
      <c r="M219" s="85" t="n">
        <v>0</v>
      </c>
      <c r="N219" s="81" t="s">
        <v>644</v>
      </c>
      <c r="O219" s="84" t="n">
        <f aca="false">IF($N219="مرتجع",0,K219*L219*(1-M219))</f>
        <v>840</v>
      </c>
      <c r="P219" s="84" t="n">
        <f aca="false">IF($N219="مرتجع",0,K219*IFERROR(INDEX(p_Cost,MATCH($F219,p_ID,0)),0))</f>
        <v>420</v>
      </c>
      <c r="Q219" s="84" t="n">
        <f aca="false">O219-P219</f>
        <v>420</v>
      </c>
      <c r="R219" s="86" t="n">
        <f aca="false">DATE(YEAR(B219),MONTH(B219),1)</f>
        <v>45962</v>
      </c>
      <c r="S219" s="83" t="str">
        <f aca="false">YEAR(B219)&amp;"-Q"&amp;ROUNDUP(MONTH(B219)/3,0)</f>
        <v>2025-Q4</v>
      </c>
      <c r="T219" s="87" t="n">
        <f aca="false">IF(O219&gt;0,Q219/O219,"")</f>
        <v>0.5</v>
      </c>
      <c r="U219" s="84" t="n">
        <f aca="false">IF(O219&gt;0,O219,"")</f>
        <v>840</v>
      </c>
    </row>
    <row r="220" customFormat="false" ht="15" hidden="false" customHeight="false" outlineLevel="0" collapsed="false">
      <c r="A220" s="81" t="s">
        <v>863</v>
      </c>
      <c r="B220" s="82" t="n">
        <v>45979</v>
      </c>
      <c r="C220" s="81" t="s">
        <v>404</v>
      </c>
      <c r="D220" s="83" t="str">
        <f aca="false">IFERROR(INDEX(c_Name,MATCH($C220,c_ID,0)),"غير معرّف")</f>
        <v>عبدالله الحسيني</v>
      </c>
      <c r="E220" s="83" t="str">
        <f aca="false">IFERROR(INDEX(c_Region,MATCH($C220,c_ID,0)),"غير معرّف")</f>
        <v>الشرقية</v>
      </c>
      <c r="F220" s="81" t="s">
        <v>178</v>
      </c>
      <c r="G220" s="83" t="str">
        <f aca="false">IFERROR(INDEX(p_Name,MATCH($F220,p_ID,0)),"غير معرّف")</f>
        <v>حقيبة لابتوب</v>
      </c>
      <c r="H220" s="83" t="str">
        <f aca="false">IFERROR(INDEX(p_Cat,MATCH($F220,p_ID,0)),"غير معرّف")</f>
        <v>مستلزمات مكتبية</v>
      </c>
      <c r="I220" s="81" t="s">
        <v>461</v>
      </c>
      <c r="J220" s="81" t="s">
        <v>93</v>
      </c>
      <c r="K220" s="81" t="n">
        <v>1</v>
      </c>
      <c r="L220" s="84" t="n">
        <f aca="false">IFERROR(INDEX(p_Price,MATCH($F220,p_ID,0)),0)</f>
        <v>260</v>
      </c>
      <c r="M220" s="85" t="n">
        <v>0.15</v>
      </c>
      <c r="N220" s="81" t="s">
        <v>644</v>
      </c>
      <c r="O220" s="84" t="n">
        <f aca="false">IF($N220="مرتجع",0,K220*L220*(1-M220))</f>
        <v>221</v>
      </c>
      <c r="P220" s="84" t="n">
        <f aca="false">IF($N220="مرتجع",0,K220*IFERROR(INDEX(p_Cost,MATCH($F220,p_ID,0)),0))</f>
        <v>120</v>
      </c>
      <c r="Q220" s="84" t="n">
        <f aca="false">O220-P220</f>
        <v>101</v>
      </c>
      <c r="R220" s="86" t="n">
        <f aca="false">DATE(YEAR(B220),MONTH(B220),1)</f>
        <v>45962</v>
      </c>
      <c r="S220" s="83" t="str">
        <f aca="false">YEAR(B220)&amp;"-Q"&amp;ROUNDUP(MONTH(B220)/3,0)</f>
        <v>2025-Q4</v>
      </c>
      <c r="T220" s="87" t="n">
        <f aca="false">IF(O220&gt;0,Q220/O220,"")</f>
        <v>0.457013574660633</v>
      </c>
      <c r="U220" s="84" t="n">
        <f aca="false">IF(O220&gt;0,O220,"")</f>
        <v>221</v>
      </c>
    </row>
    <row r="221" customFormat="false" ht="15" hidden="false" customHeight="false" outlineLevel="0" collapsed="false">
      <c r="A221" s="81" t="s">
        <v>864</v>
      </c>
      <c r="B221" s="82" t="n">
        <v>45979</v>
      </c>
      <c r="C221" s="81" t="s">
        <v>269</v>
      </c>
      <c r="D221" s="83" t="str">
        <f aca="false">IFERROR(INDEX(c_Name,MATCH($C221,c_ID,0)),"غير معرّف")</f>
        <v>أحمد السبيعي</v>
      </c>
      <c r="E221" s="83" t="str">
        <f aca="false">IFERROR(INDEX(c_Region,MATCH($C221,c_ID,0)),"غير معرّف")</f>
        <v>الشرقية</v>
      </c>
      <c r="F221" s="81" t="s">
        <v>173</v>
      </c>
      <c r="G221" s="83" t="str">
        <f aca="false">IFERROR(INDEX(p_Name,MATCH($F221,p_ID,0)),"غير معرّف")</f>
        <v>كرسي مريح</v>
      </c>
      <c r="H221" s="83" t="str">
        <f aca="false">IFERROR(INDEX(p_Cat,MATCH($F221,p_ID,0)),"غير معرّف")</f>
        <v>أثاث</v>
      </c>
      <c r="I221" s="81" t="s">
        <v>461</v>
      </c>
      <c r="J221" s="81" t="s">
        <v>93</v>
      </c>
      <c r="K221" s="81" t="n">
        <v>1</v>
      </c>
      <c r="L221" s="84" t="n">
        <f aca="false">IFERROR(INDEX(p_Price,MATCH($F221,p_ID,0)),0)</f>
        <v>850</v>
      </c>
      <c r="M221" s="85" t="n">
        <v>0.1</v>
      </c>
      <c r="N221" s="81" t="s">
        <v>644</v>
      </c>
      <c r="O221" s="84" t="n">
        <f aca="false">IF($N221="مرتجع",0,K221*L221*(1-M221))</f>
        <v>765</v>
      </c>
      <c r="P221" s="84" t="n">
        <f aca="false">IF($N221="مرتجع",0,K221*IFERROR(INDEX(p_Cost,MATCH($F221,p_ID,0)),0))</f>
        <v>480</v>
      </c>
      <c r="Q221" s="84" t="n">
        <f aca="false">O221-P221</f>
        <v>285</v>
      </c>
      <c r="R221" s="86" t="n">
        <f aca="false">DATE(YEAR(B221),MONTH(B221),1)</f>
        <v>45962</v>
      </c>
      <c r="S221" s="83" t="str">
        <f aca="false">YEAR(B221)&amp;"-Q"&amp;ROUNDUP(MONTH(B221)/3,0)</f>
        <v>2025-Q4</v>
      </c>
      <c r="T221" s="87" t="n">
        <f aca="false">IF(O221&gt;0,Q221/O221,"")</f>
        <v>0.372549019607843</v>
      </c>
      <c r="U221" s="84" t="n">
        <f aca="false">IF(O221&gt;0,O221,"")</f>
        <v>765</v>
      </c>
    </row>
    <row r="222" customFormat="false" ht="15" hidden="false" customHeight="false" outlineLevel="0" collapsed="false">
      <c r="A222" s="81" t="s">
        <v>865</v>
      </c>
      <c r="B222" s="82" t="n">
        <v>45979</v>
      </c>
      <c r="C222" s="81" t="s">
        <v>274</v>
      </c>
      <c r="D222" s="83" t="str">
        <f aca="false">IFERROR(INDEX(c_Name,MATCH($C222,c_ID,0)),"غير معرّف")</f>
        <v>سلمان الغامدي</v>
      </c>
      <c r="E222" s="83" t="str">
        <f aca="false">IFERROR(INDEX(c_Region,MATCH($C222,c_ID,0)),"غير معرّف")</f>
        <v>الوسطى</v>
      </c>
      <c r="F222" s="81" t="s">
        <v>177</v>
      </c>
      <c r="G222" s="83" t="str">
        <f aca="false">IFERROR(INDEX(p_Name,MATCH($F222,p_ID,0)),"غير معرّف")</f>
        <v>ورق A4 (صندوق)</v>
      </c>
      <c r="H222" s="83" t="str">
        <f aca="false">IFERROR(INDEX(p_Cat,MATCH($F222,p_ID,0)),"غير معرّف")</f>
        <v>مستلزمات مكتبية</v>
      </c>
      <c r="I222" s="81" t="s">
        <v>446</v>
      </c>
      <c r="J222" s="81" t="s">
        <v>91</v>
      </c>
      <c r="K222" s="81" t="n">
        <v>1</v>
      </c>
      <c r="L222" s="84" t="n">
        <f aca="false">IFERROR(INDEX(p_Price,MATCH($F222,p_ID,0)),0)</f>
        <v>140</v>
      </c>
      <c r="M222" s="85" t="n">
        <v>0.15</v>
      </c>
      <c r="N222" s="81" t="s">
        <v>644</v>
      </c>
      <c r="O222" s="84" t="n">
        <f aca="false">IF($N222="مرتجع",0,K222*L222*(1-M222))</f>
        <v>119</v>
      </c>
      <c r="P222" s="84" t="n">
        <f aca="false">IF($N222="مرتجع",0,K222*IFERROR(INDEX(p_Cost,MATCH($F222,p_ID,0)),0))</f>
        <v>95</v>
      </c>
      <c r="Q222" s="84" t="n">
        <f aca="false">O222-P222</f>
        <v>24</v>
      </c>
      <c r="R222" s="86" t="n">
        <f aca="false">DATE(YEAR(B222),MONTH(B222),1)</f>
        <v>45962</v>
      </c>
      <c r="S222" s="83" t="str">
        <f aca="false">YEAR(B222)&amp;"-Q"&amp;ROUNDUP(MONTH(B222)/3,0)</f>
        <v>2025-Q4</v>
      </c>
      <c r="T222" s="87" t="n">
        <f aca="false">IF(O222&gt;0,Q222/O222,"")</f>
        <v>0.201680672268908</v>
      </c>
      <c r="U222" s="84" t="n">
        <f aca="false">IF(O222&gt;0,O222,"")</f>
        <v>119</v>
      </c>
    </row>
    <row r="223" customFormat="false" ht="15" hidden="false" customHeight="false" outlineLevel="0" collapsed="false">
      <c r="A223" s="81" t="s">
        <v>866</v>
      </c>
      <c r="B223" s="82" t="n">
        <v>45979</v>
      </c>
      <c r="C223" s="81" t="s">
        <v>404</v>
      </c>
      <c r="D223" s="83" t="str">
        <f aca="false">IFERROR(INDEX(c_Name,MATCH($C223,c_ID,0)),"غير معرّف")</f>
        <v>عبدالله الحسيني</v>
      </c>
      <c r="E223" s="83" t="str">
        <f aca="false">IFERROR(INDEX(c_Region,MATCH($C223,c_ID,0)),"غير معرّف")</f>
        <v>الشرقية</v>
      </c>
      <c r="F223" s="81" t="s">
        <v>178</v>
      </c>
      <c r="G223" s="83" t="str">
        <f aca="false">IFERROR(INDEX(p_Name,MATCH($F223,p_ID,0)),"غير معرّف")</f>
        <v>حقيبة لابتوب</v>
      </c>
      <c r="H223" s="83" t="str">
        <f aca="false">IFERROR(INDEX(p_Cat,MATCH($F223,p_ID,0)),"غير معرّف")</f>
        <v>مستلزمات مكتبية</v>
      </c>
      <c r="I223" s="81" t="s">
        <v>461</v>
      </c>
      <c r="J223" s="81" t="s">
        <v>93</v>
      </c>
      <c r="K223" s="81" t="n">
        <v>1</v>
      </c>
      <c r="L223" s="84" t="n">
        <f aca="false">IFERROR(INDEX(p_Price,MATCH($F223,p_ID,0)),0)</f>
        <v>260</v>
      </c>
      <c r="M223" s="85" t="n">
        <v>0.2</v>
      </c>
      <c r="N223" s="81" t="s">
        <v>644</v>
      </c>
      <c r="O223" s="84" t="n">
        <f aca="false">IF($N223="مرتجع",0,K223*L223*(1-M223))</f>
        <v>208</v>
      </c>
      <c r="P223" s="84" t="n">
        <f aca="false">IF($N223="مرتجع",0,K223*IFERROR(INDEX(p_Cost,MATCH($F223,p_ID,0)),0))</f>
        <v>120</v>
      </c>
      <c r="Q223" s="84" t="n">
        <f aca="false">O223-P223</f>
        <v>88</v>
      </c>
      <c r="R223" s="86" t="n">
        <f aca="false">DATE(YEAR(B223),MONTH(B223),1)</f>
        <v>45962</v>
      </c>
      <c r="S223" s="83" t="str">
        <f aca="false">YEAR(B223)&amp;"-Q"&amp;ROUNDUP(MONTH(B223)/3,0)</f>
        <v>2025-Q4</v>
      </c>
      <c r="T223" s="87" t="n">
        <f aca="false">IF(O223&gt;0,Q223/O223,"")</f>
        <v>0.423076923076923</v>
      </c>
      <c r="U223" s="84" t="n">
        <f aca="false">IF(O223&gt;0,O223,"")</f>
        <v>208</v>
      </c>
    </row>
    <row r="224" customFormat="false" ht="15" hidden="false" customHeight="false" outlineLevel="0" collapsed="false">
      <c r="A224" s="81" t="s">
        <v>867</v>
      </c>
      <c r="B224" s="82" t="n">
        <v>45980</v>
      </c>
      <c r="C224" s="81" t="s">
        <v>382</v>
      </c>
      <c r="D224" s="83" t="str">
        <f aca="false">IFERROR(INDEX(c_Name,MATCH($C224,c_ID,0)),"غير معرّف")</f>
        <v>دانة العتيبي</v>
      </c>
      <c r="E224" s="83" t="str">
        <f aca="false">IFERROR(INDEX(c_Region,MATCH($C224,c_ID,0)),"غير معرّف")</f>
        <v>الشرقية</v>
      </c>
      <c r="F224" s="81" t="s">
        <v>179</v>
      </c>
      <c r="G224" s="83" t="str">
        <f aca="false">IFERROR(INDEX(p_Name,MATCH($F224,p_ID,0)),"غير معرّف")</f>
        <v>طقم أدوات مكتبية</v>
      </c>
      <c r="H224" s="83" t="str">
        <f aca="false">IFERROR(INDEX(p_Cat,MATCH($F224,p_ID,0)),"غير معرّف")</f>
        <v>مستلزمات مكتبية</v>
      </c>
      <c r="I224" s="81" t="s">
        <v>461</v>
      </c>
      <c r="J224" s="81" t="s">
        <v>95</v>
      </c>
      <c r="K224" s="81" t="n">
        <v>21</v>
      </c>
      <c r="L224" s="84" t="n">
        <f aca="false">IFERROR(INDEX(p_Price,MATCH($F224,p_ID,0)),0)</f>
        <v>90</v>
      </c>
      <c r="M224" s="85" t="n">
        <v>0.15</v>
      </c>
      <c r="N224" s="81" t="s">
        <v>644</v>
      </c>
      <c r="O224" s="84" t="n">
        <f aca="false">IF($N224="مرتجع",0,K224*L224*(1-M224))</f>
        <v>1606.5</v>
      </c>
      <c r="P224" s="84" t="n">
        <f aca="false">IF($N224="مرتجع",0,K224*IFERROR(INDEX(p_Cost,MATCH($F224,p_ID,0)),0))</f>
        <v>945</v>
      </c>
      <c r="Q224" s="84" t="n">
        <f aca="false">O224-P224</f>
        <v>661.5</v>
      </c>
      <c r="R224" s="86" t="n">
        <f aca="false">DATE(YEAR(B224),MONTH(B224),1)</f>
        <v>45962</v>
      </c>
      <c r="S224" s="83" t="str">
        <f aca="false">YEAR(B224)&amp;"-Q"&amp;ROUNDUP(MONTH(B224)/3,0)</f>
        <v>2025-Q4</v>
      </c>
      <c r="T224" s="87" t="n">
        <f aca="false">IF(O224&gt;0,Q224/O224,"")</f>
        <v>0.411764705882353</v>
      </c>
      <c r="U224" s="84" t="n">
        <f aca="false">IF(O224&gt;0,O224,"")</f>
        <v>1606.5</v>
      </c>
    </row>
    <row r="225" customFormat="false" ht="15" hidden="false" customHeight="false" outlineLevel="0" collapsed="false">
      <c r="A225" s="81" t="s">
        <v>868</v>
      </c>
      <c r="B225" s="82" t="n">
        <v>45980</v>
      </c>
      <c r="C225" s="81" t="s">
        <v>295</v>
      </c>
      <c r="D225" s="83" t="str">
        <f aca="false">IFERROR(INDEX(c_Name,MATCH($C225,c_ID,0)),"غير معرّف")</f>
        <v>عبير الزهراني</v>
      </c>
      <c r="E225" s="83" t="str">
        <f aca="false">IFERROR(INDEX(c_Region,MATCH($C225,c_ID,0)),"غير معرّف")</f>
        <v>الوسطى</v>
      </c>
      <c r="F225" s="81" t="s">
        <v>167</v>
      </c>
      <c r="G225" s="83" t="str">
        <f aca="false">IFERROR(INDEX(p_Name,MATCH($F225,p_ID,0)),"غير معرّف")</f>
        <v>شاشة 27 بوصة</v>
      </c>
      <c r="H225" s="83" t="str">
        <f aca="false">IFERROR(INDEX(p_Cat,MATCH($F225,p_ID,0)),"غير معرّف")</f>
        <v>إلكترونيات</v>
      </c>
      <c r="I225" s="81" t="s">
        <v>443</v>
      </c>
      <c r="J225" s="81" t="s">
        <v>91</v>
      </c>
      <c r="K225" s="81" t="n">
        <v>3</v>
      </c>
      <c r="L225" s="84" t="n">
        <f aca="false">IFERROR(INDEX(p_Price,MATCH($F225,p_ID,0)),0)</f>
        <v>1100</v>
      </c>
      <c r="M225" s="85" t="n">
        <v>0.05</v>
      </c>
      <c r="N225" s="81" t="s">
        <v>644</v>
      </c>
      <c r="O225" s="84" t="n">
        <f aca="false">IF($N225="مرتجع",0,K225*L225*(1-M225))</f>
        <v>3135</v>
      </c>
      <c r="P225" s="84" t="n">
        <f aca="false">IF($N225="مرتجع",0,K225*IFERROR(INDEX(p_Cost,MATCH($F225,p_ID,0)),0))</f>
        <v>2340</v>
      </c>
      <c r="Q225" s="84" t="n">
        <f aca="false">O225-P225</f>
        <v>795</v>
      </c>
      <c r="R225" s="86" t="n">
        <f aca="false">DATE(YEAR(B225),MONTH(B225),1)</f>
        <v>45962</v>
      </c>
      <c r="S225" s="83" t="str">
        <f aca="false">YEAR(B225)&amp;"-Q"&amp;ROUNDUP(MONTH(B225)/3,0)</f>
        <v>2025-Q4</v>
      </c>
      <c r="T225" s="87" t="n">
        <f aca="false">IF(O225&gt;0,Q225/O225,"")</f>
        <v>0.253588516746412</v>
      </c>
      <c r="U225" s="84" t="n">
        <f aca="false">IF(O225&gt;0,O225,"")</f>
        <v>3135</v>
      </c>
    </row>
    <row r="226" customFormat="false" ht="15" hidden="false" customHeight="false" outlineLevel="0" collapsed="false">
      <c r="A226" s="81" t="s">
        <v>869</v>
      </c>
      <c r="B226" s="82" t="n">
        <v>45980</v>
      </c>
      <c r="C226" s="81" t="s">
        <v>260</v>
      </c>
      <c r="D226" s="83" t="str">
        <f aca="false">IFERROR(INDEX(c_Name,MATCH($C226,c_ID,0)),"غير معرّف")</f>
        <v>منى العتيبي</v>
      </c>
      <c r="E226" s="83" t="str">
        <f aca="false">IFERROR(INDEX(c_Region,MATCH($C226,c_ID,0)),"غير معرّف")</f>
        <v>الشرقية</v>
      </c>
      <c r="F226" s="81" t="s">
        <v>177</v>
      </c>
      <c r="G226" s="83" t="str">
        <f aca="false">IFERROR(INDEX(p_Name,MATCH($F226,p_ID,0)),"غير معرّف")</f>
        <v>ورق A4 (صندوق)</v>
      </c>
      <c r="H226" s="83" t="str">
        <f aca="false">IFERROR(INDEX(p_Cat,MATCH($F226,p_ID,0)),"غير معرّف")</f>
        <v>مستلزمات مكتبية</v>
      </c>
      <c r="I226" s="81" t="s">
        <v>461</v>
      </c>
      <c r="J226" s="81" t="s">
        <v>95</v>
      </c>
      <c r="K226" s="81" t="n">
        <v>3</v>
      </c>
      <c r="L226" s="84" t="n">
        <f aca="false">IFERROR(INDEX(p_Price,MATCH($F226,p_ID,0)),0)</f>
        <v>140</v>
      </c>
      <c r="M226" s="85" t="n">
        <v>0.15</v>
      </c>
      <c r="N226" s="81" t="s">
        <v>644</v>
      </c>
      <c r="O226" s="84" t="n">
        <f aca="false">IF($N226="مرتجع",0,K226*L226*(1-M226))</f>
        <v>357</v>
      </c>
      <c r="P226" s="84" t="n">
        <f aca="false">IF($N226="مرتجع",0,K226*IFERROR(INDEX(p_Cost,MATCH($F226,p_ID,0)),0))</f>
        <v>285</v>
      </c>
      <c r="Q226" s="84" t="n">
        <f aca="false">O226-P226</f>
        <v>72</v>
      </c>
      <c r="R226" s="86" t="n">
        <f aca="false">DATE(YEAR(B226),MONTH(B226),1)</f>
        <v>45962</v>
      </c>
      <c r="S226" s="83" t="str">
        <f aca="false">YEAR(B226)&amp;"-Q"&amp;ROUNDUP(MONTH(B226)/3,0)</f>
        <v>2025-Q4</v>
      </c>
      <c r="T226" s="87" t="n">
        <f aca="false">IF(O226&gt;0,Q226/O226,"")</f>
        <v>0.201680672268908</v>
      </c>
      <c r="U226" s="84" t="n">
        <f aca="false">IF(O226&gt;0,O226,"")</f>
        <v>357</v>
      </c>
    </row>
    <row r="227" customFormat="false" ht="15" hidden="false" customHeight="false" outlineLevel="0" collapsed="false">
      <c r="A227" s="81" t="s">
        <v>870</v>
      </c>
      <c r="B227" s="82" t="n">
        <v>45980</v>
      </c>
      <c r="C227" s="81" t="s">
        <v>374</v>
      </c>
      <c r="D227" s="83" t="str">
        <f aca="false">IFERROR(INDEX(c_Name,MATCH($C227,c_ID,0)),"غير معرّف")</f>
        <v>منى التميمي</v>
      </c>
      <c r="E227" s="83" t="str">
        <f aca="false">IFERROR(INDEX(c_Region,MATCH($C227,c_ID,0)),"غير معرّف")</f>
        <v>الوسطى</v>
      </c>
      <c r="F227" s="81" t="s">
        <v>178</v>
      </c>
      <c r="G227" s="83" t="str">
        <f aca="false">IFERROR(INDEX(p_Name,MATCH($F227,p_ID,0)),"غير معرّف")</f>
        <v>حقيبة لابتوب</v>
      </c>
      <c r="H227" s="83" t="str">
        <f aca="false">IFERROR(INDEX(p_Cat,MATCH($F227,p_ID,0)),"غير معرّف")</f>
        <v>مستلزمات مكتبية</v>
      </c>
      <c r="I227" s="81" t="s">
        <v>443</v>
      </c>
      <c r="J227" s="81" t="s">
        <v>91</v>
      </c>
      <c r="K227" s="81" t="n">
        <v>2</v>
      </c>
      <c r="L227" s="84" t="n">
        <f aca="false">IFERROR(INDEX(p_Price,MATCH($F227,p_ID,0)),0)</f>
        <v>260</v>
      </c>
      <c r="M227" s="85" t="n">
        <v>0.15</v>
      </c>
      <c r="N227" s="81" t="s">
        <v>644</v>
      </c>
      <c r="O227" s="84" t="n">
        <f aca="false">IF($N227="مرتجع",0,K227*L227*(1-M227))</f>
        <v>442</v>
      </c>
      <c r="P227" s="84" t="n">
        <f aca="false">IF($N227="مرتجع",0,K227*IFERROR(INDEX(p_Cost,MATCH($F227,p_ID,0)),0))</f>
        <v>240</v>
      </c>
      <c r="Q227" s="84" t="n">
        <f aca="false">O227-P227</f>
        <v>202</v>
      </c>
      <c r="R227" s="86" t="n">
        <f aca="false">DATE(YEAR(B227),MONTH(B227),1)</f>
        <v>45962</v>
      </c>
      <c r="S227" s="83" t="str">
        <f aca="false">YEAR(B227)&amp;"-Q"&amp;ROUNDUP(MONTH(B227)/3,0)</f>
        <v>2025-Q4</v>
      </c>
      <c r="T227" s="87" t="n">
        <f aca="false">IF(O227&gt;0,Q227/O227,"")</f>
        <v>0.457013574660633</v>
      </c>
      <c r="U227" s="84" t="n">
        <f aca="false">IF(O227&gt;0,O227,"")</f>
        <v>442</v>
      </c>
    </row>
    <row r="228" customFormat="false" ht="15" hidden="false" customHeight="false" outlineLevel="0" collapsed="false">
      <c r="A228" s="81" t="s">
        <v>871</v>
      </c>
      <c r="B228" s="82" t="n">
        <v>45980</v>
      </c>
      <c r="C228" s="81" t="s">
        <v>399</v>
      </c>
      <c r="D228" s="83" t="str">
        <f aca="false">IFERROR(INDEX(c_Name,MATCH($C228,c_ID,0)),"غير معرّف")</f>
        <v>سارة الشمري</v>
      </c>
      <c r="E228" s="83" t="str">
        <f aca="false">IFERROR(INDEX(c_Region,MATCH($C228,c_ID,0)),"غير معرّف")</f>
        <v>الوسطى</v>
      </c>
      <c r="F228" s="81" t="s">
        <v>177</v>
      </c>
      <c r="G228" s="83" t="str">
        <f aca="false">IFERROR(INDEX(p_Name,MATCH($F228,p_ID,0)),"غير معرّف")</f>
        <v>ورق A4 (صندوق)</v>
      </c>
      <c r="H228" s="83" t="str">
        <f aca="false">IFERROR(INDEX(p_Cat,MATCH($F228,p_ID,0)),"غير معرّف")</f>
        <v>مستلزمات مكتبية</v>
      </c>
      <c r="I228" s="81" t="s">
        <v>446</v>
      </c>
      <c r="J228" s="81" t="s">
        <v>91</v>
      </c>
      <c r="K228" s="81" t="n">
        <v>22</v>
      </c>
      <c r="L228" s="84" t="n">
        <f aca="false">IFERROR(INDEX(p_Price,MATCH($F228,p_ID,0)),0)</f>
        <v>140</v>
      </c>
      <c r="M228" s="85" t="n">
        <v>0.1</v>
      </c>
      <c r="N228" s="81" t="s">
        <v>644</v>
      </c>
      <c r="O228" s="84" t="n">
        <f aca="false">IF($N228="مرتجع",0,K228*L228*(1-M228))</f>
        <v>2772</v>
      </c>
      <c r="P228" s="84" t="n">
        <f aca="false">IF($N228="مرتجع",0,K228*IFERROR(INDEX(p_Cost,MATCH($F228,p_ID,0)),0))</f>
        <v>2090</v>
      </c>
      <c r="Q228" s="84" t="n">
        <f aca="false">O228-P228</f>
        <v>682</v>
      </c>
      <c r="R228" s="86" t="n">
        <f aca="false">DATE(YEAR(B228),MONTH(B228),1)</f>
        <v>45962</v>
      </c>
      <c r="S228" s="83" t="str">
        <f aca="false">YEAR(B228)&amp;"-Q"&amp;ROUNDUP(MONTH(B228)/3,0)</f>
        <v>2025-Q4</v>
      </c>
      <c r="T228" s="87" t="n">
        <f aca="false">IF(O228&gt;0,Q228/O228,"")</f>
        <v>0.246031746031746</v>
      </c>
      <c r="U228" s="84" t="n">
        <f aca="false">IF(O228&gt;0,O228,"")</f>
        <v>2772</v>
      </c>
    </row>
    <row r="229" customFormat="false" ht="15" hidden="false" customHeight="false" outlineLevel="0" collapsed="false">
      <c r="A229" s="81" t="s">
        <v>872</v>
      </c>
      <c r="B229" s="82" t="n">
        <v>45980</v>
      </c>
      <c r="C229" s="81" t="s">
        <v>361</v>
      </c>
      <c r="D229" s="83" t="str">
        <f aca="false">IFERROR(INDEX(c_Name,MATCH($C229,c_ID,0)),"غير معرّف")</f>
        <v>دانة المطيري</v>
      </c>
      <c r="E229" s="83" t="str">
        <f aca="false">IFERROR(INDEX(c_Region,MATCH($C229,c_ID,0)),"غير معرّف")</f>
        <v>الشرقية</v>
      </c>
      <c r="F229" s="81" t="s">
        <v>174</v>
      </c>
      <c r="G229" s="83" t="str">
        <f aca="false">IFERROR(INDEX(p_Name,MATCH($F229,p_ID,0)),"غير معرّف")</f>
        <v>خزانة ملفات</v>
      </c>
      <c r="H229" s="83" t="str">
        <f aca="false">IFERROR(INDEX(p_Cat,MATCH($F229,p_ID,0)),"غير معرّف")</f>
        <v>أثاث</v>
      </c>
      <c r="I229" s="81" t="s">
        <v>461</v>
      </c>
      <c r="J229" s="81" t="s">
        <v>93</v>
      </c>
      <c r="K229" s="81" t="n">
        <v>2</v>
      </c>
      <c r="L229" s="84" t="n">
        <f aca="false">IFERROR(INDEX(p_Price,MATCH($F229,p_ID,0)),0)</f>
        <v>700</v>
      </c>
      <c r="M229" s="85" t="n">
        <v>0.2</v>
      </c>
      <c r="N229" s="81" t="s">
        <v>644</v>
      </c>
      <c r="O229" s="84" t="n">
        <f aca="false">IF($N229="مرتجع",0,K229*L229*(1-M229))</f>
        <v>1120</v>
      </c>
      <c r="P229" s="84" t="n">
        <f aca="false">IF($N229="مرتجع",0,K229*IFERROR(INDEX(p_Cost,MATCH($F229,p_ID,0)),0))</f>
        <v>820</v>
      </c>
      <c r="Q229" s="84" t="n">
        <f aca="false">O229-P229</f>
        <v>300</v>
      </c>
      <c r="R229" s="86" t="n">
        <f aca="false">DATE(YEAR(B229),MONTH(B229),1)</f>
        <v>45962</v>
      </c>
      <c r="S229" s="83" t="str">
        <f aca="false">YEAR(B229)&amp;"-Q"&amp;ROUNDUP(MONTH(B229)/3,0)</f>
        <v>2025-Q4</v>
      </c>
      <c r="T229" s="87" t="n">
        <f aca="false">IF(O229&gt;0,Q229/O229,"")</f>
        <v>0.267857142857143</v>
      </c>
      <c r="U229" s="84" t="n">
        <f aca="false">IF(O229&gt;0,O229,"")</f>
        <v>1120</v>
      </c>
    </row>
    <row r="230" customFormat="false" ht="15" hidden="false" customHeight="false" outlineLevel="0" collapsed="false">
      <c r="A230" s="81" t="s">
        <v>873</v>
      </c>
      <c r="B230" s="82" t="n">
        <v>45980</v>
      </c>
      <c r="C230" s="81" t="s">
        <v>348</v>
      </c>
      <c r="D230" s="83" t="str">
        <f aca="false">IFERROR(INDEX(c_Name,MATCH($C230,c_ID,0)),"غير معرّف")</f>
        <v>عبير القحطاني</v>
      </c>
      <c r="E230" s="83" t="str">
        <f aca="false">IFERROR(INDEX(c_Region,MATCH($C230,c_ID,0)),"غير معرّف")</f>
        <v>الغربية</v>
      </c>
      <c r="F230" s="81" t="s">
        <v>174</v>
      </c>
      <c r="G230" s="83" t="str">
        <f aca="false">IFERROR(INDEX(p_Name,MATCH($F230,p_ID,0)),"غير معرّف")</f>
        <v>خزانة ملفات</v>
      </c>
      <c r="H230" s="83" t="str">
        <f aca="false">IFERROR(INDEX(p_Cat,MATCH($F230,p_ID,0)),"غير معرّف")</f>
        <v>أثاث</v>
      </c>
      <c r="I230" s="81" t="s">
        <v>452</v>
      </c>
      <c r="J230" s="81" t="s">
        <v>93</v>
      </c>
      <c r="K230" s="81" t="n">
        <v>8</v>
      </c>
      <c r="L230" s="84" t="n">
        <f aca="false">IFERROR(INDEX(p_Price,MATCH($F230,p_ID,0)),0)</f>
        <v>700</v>
      </c>
      <c r="M230" s="85" t="n">
        <v>0.2</v>
      </c>
      <c r="N230" s="81" t="s">
        <v>644</v>
      </c>
      <c r="O230" s="84" t="n">
        <f aca="false">IF($N230="مرتجع",0,K230*L230*(1-M230))</f>
        <v>4480</v>
      </c>
      <c r="P230" s="84" t="n">
        <f aca="false">IF($N230="مرتجع",0,K230*IFERROR(INDEX(p_Cost,MATCH($F230,p_ID,0)),0))</f>
        <v>3280</v>
      </c>
      <c r="Q230" s="84" t="n">
        <f aca="false">O230-P230</f>
        <v>1200</v>
      </c>
      <c r="R230" s="86" t="n">
        <f aca="false">DATE(YEAR(B230),MONTH(B230),1)</f>
        <v>45962</v>
      </c>
      <c r="S230" s="83" t="str">
        <f aca="false">YEAR(B230)&amp;"-Q"&amp;ROUNDUP(MONTH(B230)/3,0)</f>
        <v>2025-Q4</v>
      </c>
      <c r="T230" s="87" t="n">
        <f aca="false">IF(O230&gt;0,Q230/O230,"")</f>
        <v>0.267857142857143</v>
      </c>
      <c r="U230" s="84" t="n">
        <f aca="false">IF(O230&gt;0,O230,"")</f>
        <v>4480</v>
      </c>
    </row>
    <row r="231" customFormat="false" ht="15" hidden="false" customHeight="false" outlineLevel="0" collapsed="false">
      <c r="A231" s="81" t="s">
        <v>874</v>
      </c>
      <c r="B231" s="82" t="n">
        <v>45980</v>
      </c>
      <c r="C231" s="81" t="s">
        <v>266</v>
      </c>
      <c r="D231" s="83" t="str">
        <f aca="false">IFERROR(INDEX(c_Name,MATCH($C231,c_ID,0)),"غير معرّف")</f>
        <v>ياسر الشهري</v>
      </c>
      <c r="E231" s="83" t="str">
        <f aca="false">IFERROR(INDEX(c_Region,MATCH($C231,c_ID,0)),"غير معرّف")</f>
        <v>الوسطى</v>
      </c>
      <c r="F231" s="81" t="s">
        <v>183</v>
      </c>
      <c r="G231" s="83" t="str">
        <f aca="false">IFERROR(INDEX(p_Name,MATCH($F231,p_ID,0)),"غير معرّف")</f>
        <v>سجادة يوغا</v>
      </c>
      <c r="H231" s="83" t="str">
        <f aca="false">IFERROR(INDEX(p_Cat,MATCH($F231,p_ID,0)),"غير معرّف")</f>
        <v>رياضة</v>
      </c>
      <c r="I231" s="81" t="s">
        <v>446</v>
      </c>
      <c r="J231" s="81" t="s">
        <v>91</v>
      </c>
      <c r="K231" s="81" t="n">
        <v>3</v>
      </c>
      <c r="L231" s="84" t="n">
        <f aca="false">IFERROR(INDEX(p_Price,MATCH($F231,p_ID,0)),0)</f>
        <v>120</v>
      </c>
      <c r="M231" s="85" t="n">
        <v>0.1</v>
      </c>
      <c r="N231" s="81" t="s">
        <v>644</v>
      </c>
      <c r="O231" s="84" t="n">
        <f aca="false">IF($N231="مرتجع",0,K231*L231*(1-M231))</f>
        <v>324</v>
      </c>
      <c r="P231" s="84" t="n">
        <f aca="false">IF($N231="مرتجع",0,K231*IFERROR(INDEX(p_Cost,MATCH($F231,p_ID,0)),0))</f>
        <v>150</v>
      </c>
      <c r="Q231" s="84" t="n">
        <f aca="false">O231-P231</f>
        <v>174</v>
      </c>
      <c r="R231" s="86" t="n">
        <f aca="false">DATE(YEAR(B231),MONTH(B231),1)</f>
        <v>45962</v>
      </c>
      <c r="S231" s="83" t="str">
        <f aca="false">YEAR(B231)&amp;"-Q"&amp;ROUNDUP(MONTH(B231)/3,0)</f>
        <v>2025-Q4</v>
      </c>
      <c r="T231" s="87" t="n">
        <f aca="false">IF(O231&gt;0,Q231/O231,"")</f>
        <v>0.537037037037037</v>
      </c>
      <c r="U231" s="84" t="n">
        <f aca="false">IF(O231&gt;0,O231,"")</f>
        <v>324</v>
      </c>
    </row>
    <row r="232" customFormat="false" ht="15" hidden="false" customHeight="false" outlineLevel="0" collapsed="false">
      <c r="A232" s="81" t="s">
        <v>875</v>
      </c>
      <c r="B232" s="82" t="n">
        <v>45980</v>
      </c>
      <c r="C232" s="81" t="s">
        <v>234</v>
      </c>
      <c r="D232" s="83" t="str">
        <f aca="false">IFERROR(INDEX(c_Name,MATCH($C232,c_ID,0)),"غير معرّف")</f>
        <v>هند الخالدي</v>
      </c>
      <c r="E232" s="83" t="str">
        <f aca="false">IFERROR(INDEX(c_Region,MATCH($C232,c_ID,0)),"غير معرّف")</f>
        <v>الوسطى</v>
      </c>
      <c r="F232" s="81" t="s">
        <v>177</v>
      </c>
      <c r="G232" s="83" t="str">
        <f aca="false">IFERROR(INDEX(p_Name,MATCH($F232,p_ID,0)),"غير معرّف")</f>
        <v>ورق A4 (صندوق)</v>
      </c>
      <c r="H232" s="83" t="str">
        <f aca="false">IFERROR(INDEX(p_Cat,MATCH($F232,p_ID,0)),"غير معرّف")</f>
        <v>مستلزمات مكتبية</v>
      </c>
      <c r="I232" s="81" t="s">
        <v>443</v>
      </c>
      <c r="J232" s="81" t="s">
        <v>91</v>
      </c>
      <c r="K232" s="81" t="n">
        <v>1</v>
      </c>
      <c r="L232" s="84" t="n">
        <f aca="false">IFERROR(INDEX(p_Price,MATCH($F232,p_ID,0)),0)</f>
        <v>140</v>
      </c>
      <c r="M232" s="85" t="n">
        <v>0.15</v>
      </c>
      <c r="N232" s="81" t="s">
        <v>644</v>
      </c>
      <c r="O232" s="84" t="n">
        <f aca="false">IF($N232="مرتجع",0,K232*L232*(1-M232))</f>
        <v>119</v>
      </c>
      <c r="P232" s="84" t="n">
        <f aca="false">IF($N232="مرتجع",0,K232*IFERROR(INDEX(p_Cost,MATCH($F232,p_ID,0)),0))</f>
        <v>95</v>
      </c>
      <c r="Q232" s="84" t="n">
        <f aca="false">O232-P232</f>
        <v>24</v>
      </c>
      <c r="R232" s="86" t="n">
        <f aca="false">DATE(YEAR(B232),MONTH(B232),1)</f>
        <v>45962</v>
      </c>
      <c r="S232" s="83" t="str">
        <f aca="false">YEAR(B232)&amp;"-Q"&amp;ROUNDUP(MONTH(B232)/3,0)</f>
        <v>2025-Q4</v>
      </c>
      <c r="T232" s="87" t="n">
        <f aca="false">IF(O232&gt;0,Q232/O232,"")</f>
        <v>0.201680672268908</v>
      </c>
      <c r="U232" s="84" t="n">
        <f aca="false">IF(O232&gt;0,O232,"")</f>
        <v>119</v>
      </c>
    </row>
    <row r="233" customFormat="false" ht="15" hidden="false" customHeight="false" outlineLevel="0" collapsed="false">
      <c r="A233" s="81" t="s">
        <v>876</v>
      </c>
      <c r="B233" s="82" t="n">
        <v>45980</v>
      </c>
      <c r="C233" s="81" t="s">
        <v>300</v>
      </c>
      <c r="D233" s="83" t="str">
        <f aca="false">IFERROR(INDEX(c_Name,MATCH($C233,c_ID,0)),"غير معرّف")</f>
        <v>فهد التميمي</v>
      </c>
      <c r="E233" s="83" t="str">
        <f aca="false">IFERROR(INDEX(c_Region,MATCH($C233,c_ID,0)),"غير معرّف")</f>
        <v>الوسطى</v>
      </c>
      <c r="F233" s="81" t="s">
        <v>169</v>
      </c>
      <c r="G233" s="83" t="str">
        <f aca="false">IFERROR(INDEX(p_Name,MATCH($F233,p_ID,0)),"غير معرّف")</f>
        <v>خلاط</v>
      </c>
      <c r="H233" s="83" t="str">
        <f aca="false">IFERROR(INDEX(p_Cat,MATCH($F233,p_ID,0)),"غير معرّف")</f>
        <v>أجهزة منزلية</v>
      </c>
      <c r="I233" s="81" t="s">
        <v>443</v>
      </c>
      <c r="J233" s="81" t="s">
        <v>93</v>
      </c>
      <c r="K233" s="81" t="n">
        <v>3</v>
      </c>
      <c r="L233" s="84" t="n">
        <f aca="false">IFERROR(INDEX(p_Price,MATCH($F233,p_ID,0)),0)</f>
        <v>300</v>
      </c>
      <c r="M233" s="85" t="n">
        <v>0.15</v>
      </c>
      <c r="N233" s="81" t="s">
        <v>644</v>
      </c>
      <c r="O233" s="84" t="n">
        <f aca="false">IF($N233="مرتجع",0,K233*L233*(1-M233))</f>
        <v>765</v>
      </c>
      <c r="P233" s="84" t="n">
        <f aca="false">IF($N233="مرتجع",0,K233*IFERROR(INDEX(p_Cost,MATCH($F233,p_ID,0)),0))</f>
        <v>525</v>
      </c>
      <c r="Q233" s="84" t="n">
        <f aca="false">O233-P233</f>
        <v>240</v>
      </c>
      <c r="R233" s="86" t="n">
        <f aca="false">DATE(YEAR(B233),MONTH(B233),1)</f>
        <v>45962</v>
      </c>
      <c r="S233" s="83" t="str">
        <f aca="false">YEAR(B233)&amp;"-Q"&amp;ROUNDUP(MONTH(B233)/3,0)</f>
        <v>2025-Q4</v>
      </c>
      <c r="T233" s="87" t="n">
        <f aca="false">IF(O233&gt;0,Q233/O233,"")</f>
        <v>0.313725490196078</v>
      </c>
      <c r="U233" s="84" t="n">
        <f aca="false">IF(O233&gt;0,O233,"")</f>
        <v>765</v>
      </c>
    </row>
    <row r="234" customFormat="false" ht="15" hidden="false" customHeight="false" outlineLevel="0" collapsed="false">
      <c r="A234" s="81" t="s">
        <v>877</v>
      </c>
      <c r="B234" s="82" t="n">
        <v>45980</v>
      </c>
      <c r="C234" s="81" t="s">
        <v>402</v>
      </c>
      <c r="D234" s="83" t="str">
        <f aca="false">IFERROR(INDEX(c_Name,MATCH($C234,c_ID,0)),"غير معرّف")</f>
        <v>أحمد القحطاني</v>
      </c>
      <c r="E234" s="83" t="str">
        <f aca="false">IFERROR(INDEX(c_Region,MATCH($C234,c_ID,0)),"غير معرّف")</f>
        <v>الوسطى</v>
      </c>
      <c r="F234" s="81" t="s">
        <v>186</v>
      </c>
      <c r="G234" s="83" t="str">
        <f aca="false">IFERROR(INDEX(p_Name,MATCH($F234,p_ID,0)),"غير معرّف")</f>
        <v>مجفف شعر</v>
      </c>
      <c r="H234" s="83" t="str">
        <f aca="false">IFERROR(INDEX(p_Cat,MATCH($F234,p_ID,0)),"غير معرّف")</f>
        <v>عناية شخصية</v>
      </c>
      <c r="I234" s="81" t="s">
        <v>443</v>
      </c>
      <c r="J234" s="81" t="s">
        <v>95</v>
      </c>
      <c r="K234" s="81" t="n">
        <v>17</v>
      </c>
      <c r="L234" s="84" t="n">
        <f aca="false">IFERROR(INDEX(p_Price,MATCH($F234,p_ID,0)),0)</f>
        <v>280</v>
      </c>
      <c r="M234" s="85" t="n">
        <v>0.1</v>
      </c>
      <c r="N234" s="81" t="s">
        <v>644</v>
      </c>
      <c r="O234" s="84" t="n">
        <f aca="false">IF($N234="مرتجع",0,K234*L234*(1-M234))</f>
        <v>4284</v>
      </c>
      <c r="P234" s="84" t="n">
        <f aca="false">IF($N234="مرتجع",0,K234*IFERROR(INDEX(p_Cost,MATCH($F234,p_ID,0)),0))</f>
        <v>2380</v>
      </c>
      <c r="Q234" s="84" t="n">
        <f aca="false">O234-P234</f>
        <v>1904</v>
      </c>
      <c r="R234" s="86" t="n">
        <f aca="false">DATE(YEAR(B234),MONTH(B234),1)</f>
        <v>45962</v>
      </c>
      <c r="S234" s="83" t="str">
        <f aca="false">YEAR(B234)&amp;"-Q"&amp;ROUNDUP(MONTH(B234)/3,0)</f>
        <v>2025-Q4</v>
      </c>
      <c r="T234" s="87" t="n">
        <f aca="false">IF(O234&gt;0,Q234/O234,"")</f>
        <v>0.444444444444444</v>
      </c>
      <c r="U234" s="84" t="n">
        <f aca="false">IF(O234&gt;0,O234,"")</f>
        <v>4284</v>
      </c>
    </row>
    <row r="235" customFormat="false" ht="15" hidden="false" customHeight="false" outlineLevel="0" collapsed="false">
      <c r="A235" s="81" t="s">
        <v>878</v>
      </c>
      <c r="B235" s="82" t="n">
        <v>45981</v>
      </c>
      <c r="C235" s="81" t="s">
        <v>334</v>
      </c>
      <c r="D235" s="83" t="str">
        <f aca="false">IFERROR(INDEX(c_Name,MATCH($C235,c_ID,0)),"غير معرّف")</f>
        <v>ناصر الغامدي</v>
      </c>
      <c r="E235" s="83" t="str">
        <f aca="false">IFERROR(INDEX(c_Region,MATCH($C235,c_ID,0)),"غير معرّف")</f>
        <v>الغربية</v>
      </c>
      <c r="F235" s="81" t="s">
        <v>164</v>
      </c>
      <c r="G235" s="83" t="str">
        <f aca="false">IFERROR(INDEX(p_Name,MATCH($F235,p_ID,0)),"غير معرّف")</f>
        <v>هاتف ذكي</v>
      </c>
      <c r="H235" s="83" t="str">
        <f aca="false">IFERROR(INDEX(p_Cat,MATCH($F235,p_ID,0)),"غير معرّف")</f>
        <v>إلكترونيات</v>
      </c>
      <c r="I235" s="81" t="s">
        <v>452</v>
      </c>
      <c r="J235" s="81" t="s">
        <v>93</v>
      </c>
      <c r="K235" s="81" t="n">
        <v>1</v>
      </c>
      <c r="L235" s="84" t="n">
        <f aca="false">IFERROR(INDEX(p_Price,MATCH($F235,p_ID,0)),0)</f>
        <v>2400</v>
      </c>
      <c r="M235" s="85" t="n">
        <v>0.2</v>
      </c>
      <c r="N235" s="81" t="s">
        <v>644</v>
      </c>
      <c r="O235" s="84" t="n">
        <f aca="false">IF($N235="مرتجع",0,K235*L235*(1-M235))</f>
        <v>1920</v>
      </c>
      <c r="P235" s="84" t="n">
        <f aca="false">IF($N235="مرتجع",0,K235*IFERROR(INDEX(p_Cost,MATCH($F235,p_ID,0)),0))</f>
        <v>1750</v>
      </c>
      <c r="Q235" s="84" t="n">
        <f aca="false">O235-P235</f>
        <v>170</v>
      </c>
      <c r="R235" s="86" t="n">
        <f aca="false">DATE(YEAR(B235),MONTH(B235),1)</f>
        <v>45962</v>
      </c>
      <c r="S235" s="83" t="str">
        <f aca="false">YEAR(B235)&amp;"-Q"&amp;ROUNDUP(MONTH(B235)/3,0)</f>
        <v>2025-Q4</v>
      </c>
      <c r="T235" s="87" t="n">
        <f aca="false">IF(O235&gt;0,Q235/O235,"")</f>
        <v>0.0885416666666667</v>
      </c>
      <c r="U235" s="84" t="n">
        <f aca="false">IF(O235&gt;0,O235,"")</f>
        <v>1920</v>
      </c>
    </row>
    <row r="236" customFormat="false" ht="15" hidden="false" customHeight="false" outlineLevel="0" collapsed="false">
      <c r="A236" s="81" t="s">
        <v>879</v>
      </c>
      <c r="B236" s="82" t="n">
        <v>45981</v>
      </c>
      <c r="C236" s="81" t="s">
        <v>349</v>
      </c>
      <c r="D236" s="83" t="str">
        <f aca="false">IFERROR(INDEX(c_Name,MATCH($C236,c_ID,0)),"غير معرّف")</f>
        <v>خالد الزهراني</v>
      </c>
      <c r="E236" s="83" t="str">
        <f aca="false">IFERROR(INDEX(c_Region,MATCH($C236,c_ID,0)),"غير معرّف")</f>
        <v>الوسطى</v>
      </c>
      <c r="F236" s="81" t="s">
        <v>184</v>
      </c>
      <c r="G236" s="83" t="str">
        <f aca="false">IFERROR(INDEX(p_Name,MATCH($F236,p_ID,0)),"غير معرّف")</f>
        <v>عطر فاخر</v>
      </c>
      <c r="H236" s="83" t="str">
        <f aca="false">IFERROR(INDEX(p_Cat,MATCH($F236,p_ID,0)),"غير معرّف")</f>
        <v>عناية شخصية</v>
      </c>
      <c r="I236" s="81" t="s">
        <v>449</v>
      </c>
      <c r="J236" s="81" t="s">
        <v>93</v>
      </c>
      <c r="K236" s="81" t="n">
        <v>1</v>
      </c>
      <c r="L236" s="84" t="n">
        <f aca="false">IFERROR(INDEX(p_Price,MATCH($F236,p_ID,0)),0)</f>
        <v>520</v>
      </c>
      <c r="M236" s="85" t="n">
        <v>0.1</v>
      </c>
      <c r="N236" s="81" t="s">
        <v>644</v>
      </c>
      <c r="O236" s="84" t="n">
        <f aca="false">IF($N236="مرتجع",0,K236*L236*(1-M236))</f>
        <v>468</v>
      </c>
      <c r="P236" s="84" t="n">
        <f aca="false">IF($N236="مرتجع",0,K236*IFERROR(INDEX(p_Cost,MATCH($F236,p_ID,0)),0))</f>
        <v>210</v>
      </c>
      <c r="Q236" s="84" t="n">
        <f aca="false">O236-P236</f>
        <v>258</v>
      </c>
      <c r="R236" s="86" t="n">
        <f aca="false">DATE(YEAR(B236),MONTH(B236),1)</f>
        <v>45962</v>
      </c>
      <c r="S236" s="83" t="str">
        <f aca="false">YEAR(B236)&amp;"-Q"&amp;ROUNDUP(MONTH(B236)/3,0)</f>
        <v>2025-Q4</v>
      </c>
      <c r="T236" s="87" t="n">
        <f aca="false">IF(O236&gt;0,Q236/O236,"")</f>
        <v>0.551282051282051</v>
      </c>
      <c r="U236" s="84" t="n">
        <f aca="false">IF(O236&gt;0,O236,"")</f>
        <v>468</v>
      </c>
    </row>
    <row r="237" customFormat="false" ht="15" hidden="false" customHeight="false" outlineLevel="0" collapsed="false">
      <c r="A237" s="81" t="s">
        <v>880</v>
      </c>
      <c r="B237" s="82" t="n">
        <v>45981</v>
      </c>
      <c r="C237" s="81" t="s">
        <v>339</v>
      </c>
      <c r="D237" s="83" t="str">
        <f aca="false">IFERROR(INDEX(c_Name,MATCH($C237,c_ID,0)),"غير معرّف")</f>
        <v>خالد السبيعي</v>
      </c>
      <c r="E237" s="83" t="str">
        <f aca="false">IFERROR(INDEX(c_Region,MATCH($C237,c_ID,0)),"غير معرّف")</f>
        <v>الجنوبية</v>
      </c>
      <c r="F237" s="81" t="s">
        <v>166</v>
      </c>
      <c r="G237" s="83" t="str">
        <f aca="false">IFERROR(INDEX(p_Name,MATCH($F237,p_ID,0)),"غير معرّف")</f>
        <v>سماعات لاسلكية</v>
      </c>
      <c r="H237" s="83" t="str">
        <f aca="false">IFERROR(INDEX(p_Cat,MATCH($F237,p_ID,0)),"غير معرّف")</f>
        <v>إلكترونيات</v>
      </c>
      <c r="I237" s="81" t="s">
        <v>465</v>
      </c>
      <c r="J237" s="81" t="s">
        <v>95</v>
      </c>
      <c r="K237" s="81" t="n">
        <v>7</v>
      </c>
      <c r="L237" s="84" t="n">
        <f aca="false">IFERROR(INDEX(p_Price,MATCH($F237,p_ID,0)),0)</f>
        <v>450</v>
      </c>
      <c r="M237" s="85" t="n">
        <v>0.05</v>
      </c>
      <c r="N237" s="81" t="s">
        <v>644</v>
      </c>
      <c r="O237" s="84" t="n">
        <f aca="false">IF($N237="مرتجع",0,K237*L237*(1-M237))</f>
        <v>2992.5</v>
      </c>
      <c r="P237" s="84" t="n">
        <f aca="false">IF($N237="مرتجع",0,K237*IFERROR(INDEX(p_Cost,MATCH($F237,p_ID,0)),0))</f>
        <v>1820</v>
      </c>
      <c r="Q237" s="84" t="n">
        <f aca="false">O237-P237</f>
        <v>1172.5</v>
      </c>
      <c r="R237" s="86" t="n">
        <f aca="false">DATE(YEAR(B237),MONTH(B237),1)</f>
        <v>45962</v>
      </c>
      <c r="S237" s="83" t="str">
        <f aca="false">YEAR(B237)&amp;"-Q"&amp;ROUNDUP(MONTH(B237)/3,0)</f>
        <v>2025-Q4</v>
      </c>
      <c r="T237" s="87" t="n">
        <f aca="false">IF(O237&gt;0,Q237/O237,"")</f>
        <v>0.391812865497076</v>
      </c>
      <c r="U237" s="84" t="n">
        <f aca="false">IF(O237&gt;0,O237,"")</f>
        <v>2992.5</v>
      </c>
    </row>
    <row r="238" customFormat="false" ht="15" hidden="false" customHeight="false" outlineLevel="0" collapsed="false">
      <c r="A238" s="81" t="s">
        <v>881</v>
      </c>
      <c r="B238" s="82" t="n">
        <v>45981</v>
      </c>
      <c r="C238" s="81" t="s">
        <v>261</v>
      </c>
      <c r="D238" s="83" t="str">
        <f aca="false">IFERROR(INDEX(c_Name,MATCH($C238,c_ID,0)),"غير معرّف")</f>
        <v>ياسر الدوسري</v>
      </c>
      <c r="E238" s="83" t="str">
        <f aca="false">IFERROR(INDEX(c_Region,MATCH($C238,c_ID,0)),"غير معرّف")</f>
        <v>الجنوبية</v>
      </c>
      <c r="F238" s="81" t="s">
        <v>185</v>
      </c>
      <c r="G238" s="83" t="str">
        <f aca="false">IFERROR(INDEX(p_Name,MATCH($F238,p_ID,0)),"غير معرّف")</f>
        <v>ماكينة حلاقة</v>
      </c>
      <c r="H238" s="83" t="str">
        <f aca="false">IFERROR(INDEX(p_Cat,MATCH($F238,p_ID,0)),"غير معرّف")</f>
        <v>عناية شخصية</v>
      </c>
      <c r="I238" s="81" t="s">
        <v>467</v>
      </c>
      <c r="J238" s="81" t="s">
        <v>91</v>
      </c>
      <c r="K238" s="81" t="n">
        <v>2</v>
      </c>
      <c r="L238" s="84" t="n">
        <f aca="false">IFERROR(INDEX(p_Price,MATCH($F238,p_ID,0)),0)</f>
        <v>340</v>
      </c>
      <c r="M238" s="85" t="n">
        <v>0.2</v>
      </c>
      <c r="N238" s="81" t="s">
        <v>644</v>
      </c>
      <c r="O238" s="84" t="n">
        <f aca="false">IF($N238="مرتجع",0,K238*L238*(1-M238))</f>
        <v>544</v>
      </c>
      <c r="P238" s="84" t="n">
        <f aca="false">IF($N238="مرتجع",0,K238*IFERROR(INDEX(p_Cost,MATCH($F238,p_ID,0)),0))</f>
        <v>340</v>
      </c>
      <c r="Q238" s="84" t="n">
        <f aca="false">O238-P238</f>
        <v>204</v>
      </c>
      <c r="R238" s="86" t="n">
        <f aca="false">DATE(YEAR(B238),MONTH(B238),1)</f>
        <v>45962</v>
      </c>
      <c r="S238" s="83" t="str">
        <f aca="false">YEAR(B238)&amp;"-Q"&amp;ROUNDUP(MONTH(B238)/3,0)</f>
        <v>2025-Q4</v>
      </c>
      <c r="T238" s="87" t="n">
        <f aca="false">IF(O238&gt;0,Q238/O238,"")</f>
        <v>0.375</v>
      </c>
      <c r="U238" s="84" t="n">
        <f aca="false">IF(O238&gt;0,O238,"")</f>
        <v>544</v>
      </c>
    </row>
    <row r="239" customFormat="false" ht="15" hidden="false" customHeight="false" outlineLevel="0" collapsed="false">
      <c r="A239" s="81" t="s">
        <v>882</v>
      </c>
      <c r="B239" s="82" t="n">
        <v>45981</v>
      </c>
      <c r="C239" s="81" t="s">
        <v>392</v>
      </c>
      <c r="D239" s="83" t="str">
        <f aca="false">IFERROR(INDEX(c_Name,MATCH($C239,c_ID,0)),"غير معرّف")</f>
        <v>ريم الزهراني</v>
      </c>
      <c r="E239" s="83" t="str">
        <f aca="false">IFERROR(INDEX(c_Region,MATCH($C239,c_ID,0)),"غير معرّف")</f>
        <v>الوسطى</v>
      </c>
      <c r="F239" s="81" t="s">
        <v>164</v>
      </c>
      <c r="G239" s="83" t="str">
        <f aca="false">IFERROR(INDEX(p_Name,MATCH($F239,p_ID,0)),"غير معرّف")</f>
        <v>هاتف ذكي</v>
      </c>
      <c r="H239" s="83" t="str">
        <f aca="false">IFERROR(INDEX(p_Cat,MATCH($F239,p_ID,0)),"غير معرّف")</f>
        <v>إلكترونيات</v>
      </c>
      <c r="I239" s="81" t="s">
        <v>449</v>
      </c>
      <c r="J239" s="81" t="s">
        <v>91</v>
      </c>
      <c r="K239" s="81" t="n">
        <v>1</v>
      </c>
      <c r="L239" s="84" t="n">
        <f aca="false">IFERROR(INDEX(p_Price,MATCH($F239,p_ID,0)),0)</f>
        <v>2400</v>
      </c>
      <c r="M239" s="85" t="n">
        <v>0.05</v>
      </c>
      <c r="N239" s="81" t="s">
        <v>644</v>
      </c>
      <c r="O239" s="84" t="n">
        <f aca="false">IF($N239="مرتجع",0,K239*L239*(1-M239))</f>
        <v>2280</v>
      </c>
      <c r="P239" s="84" t="n">
        <f aca="false">IF($N239="مرتجع",0,K239*IFERROR(INDEX(p_Cost,MATCH($F239,p_ID,0)),0))</f>
        <v>1750</v>
      </c>
      <c r="Q239" s="84" t="n">
        <f aca="false">O239-P239</f>
        <v>530</v>
      </c>
      <c r="R239" s="86" t="n">
        <f aca="false">DATE(YEAR(B239),MONTH(B239),1)</f>
        <v>45962</v>
      </c>
      <c r="S239" s="83" t="str">
        <f aca="false">YEAR(B239)&amp;"-Q"&amp;ROUNDUP(MONTH(B239)/3,0)</f>
        <v>2025-Q4</v>
      </c>
      <c r="T239" s="87" t="n">
        <f aca="false">IF(O239&gt;0,Q239/O239,"")</f>
        <v>0.232456140350877</v>
      </c>
      <c r="U239" s="84" t="n">
        <f aca="false">IF(O239&gt;0,O239,"")</f>
        <v>2280</v>
      </c>
    </row>
    <row r="240" customFormat="false" ht="15" hidden="false" customHeight="false" outlineLevel="0" collapsed="false">
      <c r="A240" s="81" t="s">
        <v>883</v>
      </c>
      <c r="B240" s="82" t="n">
        <v>45981</v>
      </c>
      <c r="C240" s="81" t="s">
        <v>235</v>
      </c>
      <c r="D240" s="83" t="str">
        <f aca="false">IFERROR(INDEX(c_Name,MATCH($C240,c_ID,0)),"غير معرّف")</f>
        <v>ليلى الزهراني</v>
      </c>
      <c r="E240" s="83" t="str">
        <f aca="false">IFERROR(INDEX(c_Region,MATCH($C240,c_ID,0)),"غير معرّف")</f>
        <v>الشرقية</v>
      </c>
      <c r="F240" s="81" t="s">
        <v>178</v>
      </c>
      <c r="G240" s="83" t="str">
        <f aca="false">IFERROR(INDEX(p_Name,MATCH($F240,p_ID,0)),"غير معرّف")</f>
        <v>حقيبة لابتوب</v>
      </c>
      <c r="H240" s="83" t="str">
        <f aca="false">IFERROR(INDEX(p_Cat,MATCH($F240,p_ID,0)),"غير معرّف")</f>
        <v>مستلزمات مكتبية</v>
      </c>
      <c r="I240" s="81" t="s">
        <v>463</v>
      </c>
      <c r="J240" s="81" t="s">
        <v>91</v>
      </c>
      <c r="K240" s="81" t="n">
        <v>1</v>
      </c>
      <c r="L240" s="84" t="n">
        <f aca="false">IFERROR(INDEX(p_Price,MATCH($F240,p_ID,0)),0)</f>
        <v>260</v>
      </c>
      <c r="M240" s="85" t="n">
        <v>0.15</v>
      </c>
      <c r="N240" s="81" t="s">
        <v>644</v>
      </c>
      <c r="O240" s="84" t="n">
        <f aca="false">IF($N240="مرتجع",0,K240*L240*(1-M240))</f>
        <v>221</v>
      </c>
      <c r="P240" s="84" t="n">
        <f aca="false">IF($N240="مرتجع",0,K240*IFERROR(INDEX(p_Cost,MATCH($F240,p_ID,0)),0))</f>
        <v>120</v>
      </c>
      <c r="Q240" s="84" t="n">
        <f aca="false">O240-P240</f>
        <v>101</v>
      </c>
      <c r="R240" s="86" t="n">
        <f aca="false">DATE(YEAR(B240),MONTH(B240),1)</f>
        <v>45962</v>
      </c>
      <c r="S240" s="83" t="str">
        <f aca="false">YEAR(B240)&amp;"-Q"&amp;ROUNDUP(MONTH(B240)/3,0)</f>
        <v>2025-Q4</v>
      </c>
      <c r="T240" s="87" t="n">
        <f aca="false">IF(O240&gt;0,Q240/O240,"")</f>
        <v>0.457013574660633</v>
      </c>
      <c r="U240" s="84" t="n">
        <f aca="false">IF(O240&gt;0,O240,"")</f>
        <v>221</v>
      </c>
    </row>
    <row r="241" customFormat="false" ht="15" hidden="false" customHeight="false" outlineLevel="0" collapsed="false">
      <c r="A241" s="81" t="s">
        <v>884</v>
      </c>
      <c r="B241" s="82" t="n">
        <v>45981</v>
      </c>
      <c r="C241" s="81" t="s">
        <v>377</v>
      </c>
      <c r="D241" s="83" t="str">
        <f aca="false">IFERROR(INDEX(c_Name,MATCH($C241,c_ID,0)),"غير معرّف")</f>
        <v>أحمد الخالدي</v>
      </c>
      <c r="E241" s="83" t="str">
        <f aca="false">IFERROR(INDEX(c_Region,MATCH($C241,c_ID,0)),"غير معرّف")</f>
        <v>الجنوبية</v>
      </c>
      <c r="F241" s="81" t="s">
        <v>181</v>
      </c>
      <c r="G241" s="83" t="str">
        <f aca="false">IFERROR(INDEX(p_Name,MATCH($F241,p_ID,0)),"غير معرّف")</f>
        <v>دراجة ثابتة</v>
      </c>
      <c r="H241" s="83" t="str">
        <f aca="false">IFERROR(INDEX(p_Cat,MATCH($F241,p_ID,0)),"غير معرّف")</f>
        <v>رياضة</v>
      </c>
      <c r="I241" s="81" t="s">
        <v>467</v>
      </c>
      <c r="J241" s="81" t="s">
        <v>93</v>
      </c>
      <c r="K241" s="81" t="n">
        <v>2</v>
      </c>
      <c r="L241" s="84" t="n">
        <f aca="false">IFERROR(INDEX(p_Price,MATCH($F241,p_ID,0)),0)</f>
        <v>1800</v>
      </c>
      <c r="M241" s="85" t="n">
        <v>0.2</v>
      </c>
      <c r="N241" s="81" t="s">
        <v>644</v>
      </c>
      <c r="O241" s="84" t="n">
        <f aca="false">IF($N241="مرتجع",0,K241*L241*(1-M241))</f>
        <v>2880</v>
      </c>
      <c r="P241" s="84" t="n">
        <f aca="false">IF($N241="مرتجع",0,K241*IFERROR(INDEX(p_Cost,MATCH($F241,p_ID,0)),0))</f>
        <v>2400</v>
      </c>
      <c r="Q241" s="84" t="n">
        <f aca="false">O241-P241</f>
        <v>480</v>
      </c>
      <c r="R241" s="86" t="n">
        <f aca="false">DATE(YEAR(B241),MONTH(B241),1)</f>
        <v>45962</v>
      </c>
      <c r="S241" s="83" t="str">
        <f aca="false">YEAR(B241)&amp;"-Q"&amp;ROUNDUP(MONTH(B241)/3,0)</f>
        <v>2025-Q4</v>
      </c>
      <c r="T241" s="87" t="n">
        <f aca="false">IF(O241&gt;0,Q241/O241,"")</f>
        <v>0.166666666666667</v>
      </c>
      <c r="U241" s="84" t="n">
        <f aca="false">IF(O241&gt;0,O241,"")</f>
        <v>2880</v>
      </c>
    </row>
    <row r="242" customFormat="false" ht="15" hidden="false" customHeight="false" outlineLevel="0" collapsed="false">
      <c r="A242" s="81" t="s">
        <v>885</v>
      </c>
      <c r="B242" s="82" t="n">
        <v>45982</v>
      </c>
      <c r="C242" s="81" t="s">
        <v>380</v>
      </c>
      <c r="D242" s="83" t="str">
        <f aca="false">IFERROR(INDEX(c_Name,MATCH($C242,c_ID,0)),"غير معرّف")</f>
        <v>عبدالله الغامدي</v>
      </c>
      <c r="E242" s="83" t="str">
        <f aca="false">IFERROR(INDEX(c_Region,MATCH($C242,c_ID,0)),"غير معرّف")</f>
        <v>الوسطى</v>
      </c>
      <c r="F242" s="81" t="s">
        <v>187</v>
      </c>
      <c r="G242" s="83" t="str">
        <f aca="false">IFERROR(INDEX(p_Name,MATCH($F242,p_ID,0)),"غير معرّف")</f>
        <v>جهاز تدليك</v>
      </c>
      <c r="H242" s="83" t="str">
        <f aca="false">IFERROR(INDEX(p_Cat,MATCH($F242,p_ID,0)),"غير معرّف")</f>
        <v>عناية شخصية</v>
      </c>
      <c r="I242" s="81" t="s">
        <v>443</v>
      </c>
      <c r="J242" s="81" t="s">
        <v>91</v>
      </c>
      <c r="K242" s="81" t="n">
        <v>2</v>
      </c>
      <c r="L242" s="84" t="n">
        <f aca="false">IFERROR(INDEX(p_Price,MATCH($F242,p_ID,0)),0)</f>
        <v>600</v>
      </c>
      <c r="M242" s="85" t="n">
        <v>0.1</v>
      </c>
      <c r="N242" s="81" t="s">
        <v>644</v>
      </c>
      <c r="O242" s="84" t="n">
        <f aca="false">IF($N242="مرتجع",0,K242*L242*(1-M242))</f>
        <v>1080</v>
      </c>
      <c r="P242" s="84" t="n">
        <f aca="false">IF($N242="مرتجع",0,K242*IFERROR(INDEX(p_Cost,MATCH($F242,p_ID,0)),0))</f>
        <v>660</v>
      </c>
      <c r="Q242" s="84" t="n">
        <f aca="false">O242-P242</f>
        <v>420</v>
      </c>
      <c r="R242" s="86" t="n">
        <f aca="false">DATE(YEAR(B242),MONTH(B242),1)</f>
        <v>45962</v>
      </c>
      <c r="S242" s="83" t="str">
        <f aca="false">YEAR(B242)&amp;"-Q"&amp;ROUNDUP(MONTH(B242)/3,0)</f>
        <v>2025-Q4</v>
      </c>
      <c r="T242" s="87" t="n">
        <f aca="false">IF(O242&gt;0,Q242/O242,"")</f>
        <v>0.388888888888889</v>
      </c>
      <c r="U242" s="84" t="n">
        <f aca="false">IF(O242&gt;0,O242,"")</f>
        <v>1080</v>
      </c>
    </row>
    <row r="243" customFormat="false" ht="15" hidden="false" customHeight="false" outlineLevel="0" collapsed="false">
      <c r="A243" s="81" t="s">
        <v>886</v>
      </c>
      <c r="B243" s="82" t="n">
        <v>45982</v>
      </c>
      <c r="C243" s="81" t="s">
        <v>291</v>
      </c>
      <c r="D243" s="83" t="str">
        <f aca="false">IFERROR(INDEX(c_Name,MATCH($C243,c_ID,0)),"غير معرّف")</f>
        <v>ياسر الشمري</v>
      </c>
      <c r="E243" s="83" t="str">
        <f aca="false">IFERROR(INDEX(c_Region,MATCH($C243,c_ID,0)),"غير معرّف")</f>
        <v>الوسطى</v>
      </c>
      <c r="F243" s="81" t="s">
        <v>177</v>
      </c>
      <c r="G243" s="83" t="str">
        <f aca="false">IFERROR(INDEX(p_Name,MATCH($F243,p_ID,0)),"غير معرّف")</f>
        <v>ورق A4 (صندوق)</v>
      </c>
      <c r="H243" s="83" t="str">
        <f aca="false">IFERROR(INDEX(p_Cat,MATCH($F243,p_ID,0)),"غير معرّف")</f>
        <v>مستلزمات مكتبية</v>
      </c>
      <c r="I243" s="81" t="s">
        <v>449</v>
      </c>
      <c r="J243" s="81" t="s">
        <v>91</v>
      </c>
      <c r="K243" s="81" t="n">
        <v>2</v>
      </c>
      <c r="L243" s="84" t="n">
        <f aca="false">IFERROR(INDEX(p_Price,MATCH($F243,p_ID,0)),0)</f>
        <v>140</v>
      </c>
      <c r="M243" s="85" t="n">
        <v>0.15</v>
      </c>
      <c r="N243" s="81" t="s">
        <v>644</v>
      </c>
      <c r="O243" s="84" t="n">
        <f aca="false">IF($N243="مرتجع",0,K243*L243*(1-M243))</f>
        <v>238</v>
      </c>
      <c r="P243" s="84" t="n">
        <f aca="false">IF($N243="مرتجع",0,K243*IFERROR(INDEX(p_Cost,MATCH($F243,p_ID,0)),0))</f>
        <v>190</v>
      </c>
      <c r="Q243" s="84" t="n">
        <f aca="false">O243-P243</f>
        <v>48</v>
      </c>
      <c r="R243" s="86" t="n">
        <f aca="false">DATE(YEAR(B243),MONTH(B243),1)</f>
        <v>45962</v>
      </c>
      <c r="S243" s="83" t="str">
        <f aca="false">YEAR(B243)&amp;"-Q"&amp;ROUNDUP(MONTH(B243)/3,0)</f>
        <v>2025-Q4</v>
      </c>
      <c r="T243" s="87" t="n">
        <f aca="false">IF(O243&gt;0,Q243/O243,"")</f>
        <v>0.201680672268908</v>
      </c>
      <c r="U243" s="84" t="n">
        <f aca="false">IF(O243&gt;0,O243,"")</f>
        <v>238</v>
      </c>
    </row>
    <row r="244" customFormat="false" ht="15" hidden="false" customHeight="false" outlineLevel="0" collapsed="false">
      <c r="A244" s="81" t="s">
        <v>887</v>
      </c>
      <c r="B244" s="82" t="n">
        <v>45982</v>
      </c>
      <c r="C244" s="81" t="s">
        <v>257</v>
      </c>
      <c r="D244" s="83" t="str">
        <f aca="false">IFERROR(INDEX(c_Name,MATCH($C244,c_ID,0)),"غير معرّف")</f>
        <v>عبير السبيعي</v>
      </c>
      <c r="E244" s="83" t="str">
        <f aca="false">IFERROR(INDEX(c_Region,MATCH($C244,c_ID,0)),"غير معرّف")</f>
        <v>الغربية</v>
      </c>
      <c r="F244" s="81" t="s">
        <v>186</v>
      </c>
      <c r="G244" s="83" t="str">
        <f aca="false">IFERROR(INDEX(p_Name,MATCH($F244,p_ID,0)),"غير معرّف")</f>
        <v>مجفف شعر</v>
      </c>
      <c r="H244" s="83" t="str">
        <f aca="false">IFERROR(INDEX(p_Cat,MATCH($F244,p_ID,0)),"غير معرّف")</f>
        <v>عناية شخصية</v>
      </c>
      <c r="I244" s="81" t="s">
        <v>455</v>
      </c>
      <c r="J244" s="81" t="s">
        <v>91</v>
      </c>
      <c r="K244" s="81" t="n">
        <v>1</v>
      </c>
      <c r="L244" s="84" t="n">
        <f aca="false">IFERROR(INDEX(p_Price,MATCH($F244,p_ID,0)),0)</f>
        <v>280</v>
      </c>
      <c r="M244" s="85" t="n">
        <v>0.2</v>
      </c>
      <c r="N244" s="81" t="s">
        <v>644</v>
      </c>
      <c r="O244" s="84" t="n">
        <f aca="false">IF($N244="مرتجع",0,K244*L244*(1-M244))</f>
        <v>224</v>
      </c>
      <c r="P244" s="84" t="n">
        <f aca="false">IF($N244="مرتجع",0,K244*IFERROR(INDEX(p_Cost,MATCH($F244,p_ID,0)),0))</f>
        <v>140</v>
      </c>
      <c r="Q244" s="84" t="n">
        <f aca="false">O244-P244</f>
        <v>84</v>
      </c>
      <c r="R244" s="86" t="n">
        <f aca="false">DATE(YEAR(B244),MONTH(B244),1)</f>
        <v>45962</v>
      </c>
      <c r="S244" s="83" t="str">
        <f aca="false">YEAR(B244)&amp;"-Q"&amp;ROUNDUP(MONTH(B244)/3,0)</f>
        <v>2025-Q4</v>
      </c>
      <c r="T244" s="87" t="n">
        <f aca="false">IF(O244&gt;0,Q244/O244,"")</f>
        <v>0.375</v>
      </c>
      <c r="U244" s="84" t="n">
        <f aca="false">IF(O244&gt;0,O244,"")</f>
        <v>224</v>
      </c>
    </row>
    <row r="245" customFormat="false" ht="15" hidden="false" customHeight="false" outlineLevel="0" collapsed="false">
      <c r="A245" s="81" t="s">
        <v>888</v>
      </c>
      <c r="B245" s="82" t="n">
        <v>45982</v>
      </c>
      <c r="C245" s="81" t="s">
        <v>394</v>
      </c>
      <c r="D245" s="83" t="str">
        <f aca="false">IFERROR(INDEX(c_Name,MATCH($C245,c_ID,0)),"غير معرّف")</f>
        <v>طارق الغامدي</v>
      </c>
      <c r="E245" s="83" t="str">
        <f aca="false">IFERROR(INDEX(c_Region,MATCH($C245,c_ID,0)),"غير معرّف")</f>
        <v>الشرقية</v>
      </c>
      <c r="F245" s="81" t="s">
        <v>167</v>
      </c>
      <c r="G245" s="83" t="str">
        <f aca="false">IFERROR(INDEX(p_Name,MATCH($F245,p_ID,0)),"غير معرّف")</f>
        <v>شاشة 27 بوصة</v>
      </c>
      <c r="H245" s="83" t="str">
        <f aca="false">IFERROR(INDEX(p_Cat,MATCH($F245,p_ID,0)),"غير معرّف")</f>
        <v>إلكترونيات</v>
      </c>
      <c r="I245" s="81" t="s">
        <v>461</v>
      </c>
      <c r="J245" s="81" t="s">
        <v>93</v>
      </c>
      <c r="K245" s="81" t="n">
        <v>1</v>
      </c>
      <c r="L245" s="84" t="n">
        <f aca="false">IFERROR(INDEX(p_Price,MATCH($F245,p_ID,0)),0)</f>
        <v>1100</v>
      </c>
      <c r="M245" s="85" t="n">
        <v>0.15</v>
      </c>
      <c r="N245" s="81" t="s">
        <v>644</v>
      </c>
      <c r="O245" s="84" t="n">
        <f aca="false">IF($N245="مرتجع",0,K245*L245*(1-M245))</f>
        <v>935</v>
      </c>
      <c r="P245" s="84" t="n">
        <f aca="false">IF($N245="مرتجع",0,K245*IFERROR(INDEX(p_Cost,MATCH($F245,p_ID,0)),0))</f>
        <v>780</v>
      </c>
      <c r="Q245" s="84" t="n">
        <f aca="false">O245-P245</f>
        <v>155</v>
      </c>
      <c r="R245" s="86" t="n">
        <f aca="false">DATE(YEAR(B245),MONTH(B245),1)</f>
        <v>45962</v>
      </c>
      <c r="S245" s="83" t="str">
        <f aca="false">YEAR(B245)&amp;"-Q"&amp;ROUNDUP(MONTH(B245)/3,0)</f>
        <v>2025-Q4</v>
      </c>
      <c r="T245" s="87" t="n">
        <f aca="false">IF(O245&gt;0,Q245/O245,"")</f>
        <v>0.165775401069519</v>
      </c>
      <c r="U245" s="84" t="n">
        <f aca="false">IF(O245&gt;0,O245,"")</f>
        <v>935</v>
      </c>
    </row>
    <row r="246" customFormat="false" ht="15" hidden="false" customHeight="false" outlineLevel="0" collapsed="false">
      <c r="A246" s="81" t="s">
        <v>889</v>
      </c>
      <c r="B246" s="82" t="n">
        <v>45982</v>
      </c>
      <c r="C246" s="81" t="s">
        <v>410</v>
      </c>
      <c r="D246" s="83" t="str">
        <f aca="false">IFERROR(INDEX(c_Name,MATCH($C246,c_ID,0)),"غير معرّف")</f>
        <v>لمى الحربي</v>
      </c>
      <c r="E246" s="83" t="str">
        <f aca="false">IFERROR(INDEX(c_Region,MATCH($C246,c_ID,0)),"غير معرّف")</f>
        <v>الوسطى</v>
      </c>
      <c r="F246" s="81" t="s">
        <v>167</v>
      </c>
      <c r="G246" s="83" t="str">
        <f aca="false">IFERROR(INDEX(p_Name,MATCH($F246,p_ID,0)),"غير معرّف")</f>
        <v>شاشة 27 بوصة</v>
      </c>
      <c r="H246" s="83" t="str">
        <f aca="false">IFERROR(INDEX(p_Cat,MATCH($F246,p_ID,0)),"غير معرّف")</f>
        <v>إلكترونيات</v>
      </c>
      <c r="I246" s="81" t="s">
        <v>443</v>
      </c>
      <c r="J246" s="81" t="s">
        <v>93</v>
      </c>
      <c r="K246" s="81" t="n">
        <v>1</v>
      </c>
      <c r="L246" s="84" t="n">
        <f aca="false">IFERROR(INDEX(p_Price,MATCH($F246,p_ID,0)),0)</f>
        <v>1100</v>
      </c>
      <c r="M246" s="85" t="n">
        <v>0.05</v>
      </c>
      <c r="N246" s="81" t="s">
        <v>644</v>
      </c>
      <c r="O246" s="84" t="n">
        <f aca="false">IF($N246="مرتجع",0,K246*L246*(1-M246))</f>
        <v>1045</v>
      </c>
      <c r="P246" s="84" t="n">
        <f aca="false">IF($N246="مرتجع",0,K246*IFERROR(INDEX(p_Cost,MATCH($F246,p_ID,0)),0))</f>
        <v>780</v>
      </c>
      <c r="Q246" s="84" t="n">
        <f aca="false">O246-P246</f>
        <v>265</v>
      </c>
      <c r="R246" s="86" t="n">
        <f aca="false">DATE(YEAR(B246),MONTH(B246),1)</f>
        <v>45962</v>
      </c>
      <c r="S246" s="83" t="str">
        <f aca="false">YEAR(B246)&amp;"-Q"&amp;ROUNDUP(MONTH(B246)/3,0)</f>
        <v>2025-Q4</v>
      </c>
      <c r="T246" s="87" t="n">
        <f aca="false">IF(O246&gt;0,Q246/O246,"")</f>
        <v>0.253588516746412</v>
      </c>
      <c r="U246" s="84" t="n">
        <f aca="false">IF(O246&gt;0,O246,"")</f>
        <v>1045</v>
      </c>
    </row>
    <row r="247" customFormat="false" ht="15" hidden="false" customHeight="false" outlineLevel="0" collapsed="false">
      <c r="A247" s="81" t="s">
        <v>890</v>
      </c>
      <c r="B247" s="82" t="n">
        <v>45982</v>
      </c>
      <c r="C247" s="81" t="s">
        <v>241</v>
      </c>
      <c r="D247" s="83" t="str">
        <f aca="false">IFERROR(INDEX(c_Name,MATCH($C247,c_ID,0)),"غير معرّف")</f>
        <v>فهد الزهراني</v>
      </c>
      <c r="E247" s="83" t="str">
        <f aca="false">IFERROR(INDEX(c_Region,MATCH($C247,c_ID,0)),"غير معرّف")</f>
        <v>الجنوبية</v>
      </c>
      <c r="F247" s="81" t="s">
        <v>180</v>
      </c>
      <c r="G247" s="83" t="str">
        <f aca="false">IFERROR(INDEX(p_Name,MATCH($F247,p_ID,0)),"غير معرّف")</f>
        <v>جهاز مشي</v>
      </c>
      <c r="H247" s="83" t="str">
        <f aca="false">IFERROR(INDEX(p_Cat,MATCH($F247,p_ID,0)),"غير معرّف")</f>
        <v>رياضة</v>
      </c>
      <c r="I247" s="81" t="s">
        <v>465</v>
      </c>
      <c r="J247" s="81" t="s">
        <v>93</v>
      </c>
      <c r="K247" s="81" t="n">
        <v>1</v>
      </c>
      <c r="L247" s="84" t="n">
        <f aca="false">IFERROR(INDEX(p_Price,MATCH($F247,p_ID,0)),0)</f>
        <v>3200</v>
      </c>
      <c r="M247" s="85" t="n">
        <v>0.05</v>
      </c>
      <c r="N247" s="81" t="s">
        <v>644</v>
      </c>
      <c r="O247" s="84" t="n">
        <f aca="false">IF($N247="مرتجع",0,K247*L247*(1-M247))</f>
        <v>3040</v>
      </c>
      <c r="P247" s="84" t="n">
        <f aca="false">IF($N247="مرتجع",0,K247*IFERROR(INDEX(p_Cost,MATCH($F247,p_ID,0)),0))</f>
        <v>2200</v>
      </c>
      <c r="Q247" s="84" t="n">
        <f aca="false">O247-P247</f>
        <v>840</v>
      </c>
      <c r="R247" s="86" t="n">
        <f aca="false">DATE(YEAR(B247),MONTH(B247),1)</f>
        <v>45962</v>
      </c>
      <c r="S247" s="83" t="str">
        <f aca="false">YEAR(B247)&amp;"-Q"&amp;ROUNDUP(MONTH(B247)/3,0)</f>
        <v>2025-Q4</v>
      </c>
      <c r="T247" s="87" t="n">
        <f aca="false">IF(O247&gt;0,Q247/O247,"")</f>
        <v>0.276315789473684</v>
      </c>
      <c r="U247" s="84" t="n">
        <f aca="false">IF(O247&gt;0,O247,"")</f>
        <v>3040</v>
      </c>
    </row>
    <row r="248" customFormat="false" ht="15" hidden="false" customHeight="false" outlineLevel="0" collapsed="false">
      <c r="A248" s="81" t="s">
        <v>891</v>
      </c>
      <c r="B248" s="82" t="n">
        <v>45982</v>
      </c>
      <c r="C248" s="81" t="s">
        <v>285</v>
      </c>
      <c r="D248" s="83" t="str">
        <f aca="false">IFERROR(INDEX(c_Name,MATCH($C248,c_ID,0)),"غير معرّف")</f>
        <v>ياسر التميمي</v>
      </c>
      <c r="E248" s="83" t="str">
        <f aca="false">IFERROR(INDEX(c_Region,MATCH($C248,c_ID,0)),"غير معرّف")</f>
        <v>الغربية</v>
      </c>
      <c r="F248" s="81" t="s">
        <v>181</v>
      </c>
      <c r="G248" s="83" t="str">
        <f aca="false">IFERROR(INDEX(p_Name,MATCH($F248,p_ID,0)),"غير معرّف")</f>
        <v>دراجة ثابتة</v>
      </c>
      <c r="H248" s="83" t="str">
        <f aca="false">IFERROR(INDEX(p_Cat,MATCH($F248,p_ID,0)),"غير معرّف")</f>
        <v>رياضة</v>
      </c>
      <c r="I248" s="81" t="s">
        <v>455</v>
      </c>
      <c r="J248" s="81" t="s">
        <v>91</v>
      </c>
      <c r="K248" s="81" t="n">
        <v>1</v>
      </c>
      <c r="L248" s="84" t="n">
        <f aca="false">IFERROR(INDEX(p_Price,MATCH($F248,p_ID,0)),0)</f>
        <v>1800</v>
      </c>
      <c r="M248" s="85" t="n">
        <v>0.15</v>
      </c>
      <c r="N248" s="81" t="s">
        <v>644</v>
      </c>
      <c r="O248" s="84" t="n">
        <f aca="false">IF($N248="مرتجع",0,K248*L248*(1-M248))</f>
        <v>1530</v>
      </c>
      <c r="P248" s="84" t="n">
        <f aca="false">IF($N248="مرتجع",0,K248*IFERROR(INDEX(p_Cost,MATCH($F248,p_ID,0)),0))</f>
        <v>1200</v>
      </c>
      <c r="Q248" s="84" t="n">
        <f aca="false">O248-P248</f>
        <v>330</v>
      </c>
      <c r="R248" s="86" t="n">
        <f aca="false">DATE(YEAR(B248),MONTH(B248),1)</f>
        <v>45962</v>
      </c>
      <c r="S248" s="83" t="str">
        <f aca="false">YEAR(B248)&amp;"-Q"&amp;ROUNDUP(MONTH(B248)/3,0)</f>
        <v>2025-Q4</v>
      </c>
      <c r="T248" s="87" t="n">
        <f aca="false">IF(O248&gt;0,Q248/O248,"")</f>
        <v>0.215686274509804</v>
      </c>
      <c r="U248" s="84" t="n">
        <f aca="false">IF(O248&gt;0,O248,"")</f>
        <v>1530</v>
      </c>
    </row>
    <row r="249" customFormat="false" ht="15" hidden="false" customHeight="false" outlineLevel="0" collapsed="false">
      <c r="A249" s="81" t="s">
        <v>892</v>
      </c>
      <c r="B249" s="82" t="n">
        <v>45983</v>
      </c>
      <c r="C249" s="81" t="s">
        <v>418</v>
      </c>
      <c r="D249" s="83" t="str">
        <f aca="false">IFERROR(INDEX(c_Name,MATCH($C249,c_ID,0)),"غير معرّف")</f>
        <v>ياسر الزهراني</v>
      </c>
      <c r="E249" s="83" t="str">
        <f aca="false">IFERROR(INDEX(c_Region,MATCH($C249,c_ID,0)),"غير معرّف")</f>
        <v>الشرقية</v>
      </c>
      <c r="F249" s="81" t="s">
        <v>184</v>
      </c>
      <c r="G249" s="83" t="str">
        <f aca="false">IFERROR(INDEX(p_Name,MATCH($F249,p_ID,0)),"غير معرّف")</f>
        <v>عطر فاخر</v>
      </c>
      <c r="H249" s="83" t="str">
        <f aca="false">IFERROR(INDEX(p_Cat,MATCH($F249,p_ID,0)),"غير معرّف")</f>
        <v>عناية شخصية</v>
      </c>
      <c r="I249" s="81" t="s">
        <v>463</v>
      </c>
      <c r="J249" s="81" t="s">
        <v>91</v>
      </c>
      <c r="K249" s="81" t="n">
        <v>8</v>
      </c>
      <c r="L249" s="84" t="n">
        <f aca="false">IFERROR(INDEX(p_Price,MATCH($F249,p_ID,0)),0)</f>
        <v>520</v>
      </c>
      <c r="M249" s="85" t="n">
        <v>0.1</v>
      </c>
      <c r="N249" s="81" t="s">
        <v>644</v>
      </c>
      <c r="O249" s="84" t="n">
        <f aca="false">IF($N249="مرتجع",0,K249*L249*(1-M249))</f>
        <v>3744</v>
      </c>
      <c r="P249" s="84" t="n">
        <f aca="false">IF($N249="مرتجع",0,K249*IFERROR(INDEX(p_Cost,MATCH($F249,p_ID,0)),0))</f>
        <v>1680</v>
      </c>
      <c r="Q249" s="84" t="n">
        <f aca="false">O249-P249</f>
        <v>2064</v>
      </c>
      <c r="R249" s="86" t="n">
        <f aca="false">DATE(YEAR(B249),MONTH(B249),1)</f>
        <v>45962</v>
      </c>
      <c r="S249" s="83" t="str">
        <f aca="false">YEAR(B249)&amp;"-Q"&amp;ROUNDUP(MONTH(B249)/3,0)</f>
        <v>2025-Q4</v>
      </c>
      <c r="T249" s="87" t="n">
        <f aca="false">IF(O249&gt;0,Q249/O249,"")</f>
        <v>0.551282051282051</v>
      </c>
      <c r="U249" s="84" t="n">
        <f aca="false">IF(O249&gt;0,O249,"")</f>
        <v>3744</v>
      </c>
    </row>
    <row r="250" customFormat="false" ht="15" hidden="false" customHeight="false" outlineLevel="0" collapsed="false">
      <c r="A250" s="81" t="s">
        <v>893</v>
      </c>
      <c r="B250" s="82" t="n">
        <v>45983</v>
      </c>
      <c r="C250" s="81" t="s">
        <v>386</v>
      </c>
      <c r="D250" s="83" t="str">
        <f aca="false">IFERROR(INDEX(c_Name,MATCH($C250,c_ID,0)),"غير معرّف")</f>
        <v>نورة الشمري</v>
      </c>
      <c r="E250" s="83" t="str">
        <f aca="false">IFERROR(INDEX(c_Region,MATCH($C250,c_ID,0)),"غير معرّف")</f>
        <v>الغربية</v>
      </c>
      <c r="F250" s="81" t="s">
        <v>181</v>
      </c>
      <c r="G250" s="83" t="str">
        <f aca="false">IFERROR(INDEX(p_Name,MATCH($F250,p_ID,0)),"غير معرّف")</f>
        <v>دراجة ثابتة</v>
      </c>
      <c r="H250" s="83" t="str">
        <f aca="false">IFERROR(INDEX(p_Cat,MATCH($F250,p_ID,0)),"غير معرّف")</f>
        <v>رياضة</v>
      </c>
      <c r="I250" s="81" t="s">
        <v>458</v>
      </c>
      <c r="J250" s="81" t="s">
        <v>93</v>
      </c>
      <c r="K250" s="81" t="n">
        <v>1</v>
      </c>
      <c r="L250" s="84" t="n">
        <f aca="false">IFERROR(INDEX(p_Price,MATCH($F250,p_ID,0)),0)</f>
        <v>1800</v>
      </c>
      <c r="M250" s="85" t="n">
        <v>0.2</v>
      </c>
      <c r="N250" s="81" t="s">
        <v>644</v>
      </c>
      <c r="O250" s="84" t="n">
        <f aca="false">IF($N250="مرتجع",0,K250*L250*(1-M250))</f>
        <v>1440</v>
      </c>
      <c r="P250" s="84" t="n">
        <f aca="false">IF($N250="مرتجع",0,K250*IFERROR(INDEX(p_Cost,MATCH($F250,p_ID,0)),0))</f>
        <v>1200</v>
      </c>
      <c r="Q250" s="84" t="n">
        <f aca="false">O250-P250</f>
        <v>240</v>
      </c>
      <c r="R250" s="86" t="n">
        <f aca="false">DATE(YEAR(B250),MONTH(B250),1)</f>
        <v>45962</v>
      </c>
      <c r="S250" s="83" t="str">
        <f aca="false">YEAR(B250)&amp;"-Q"&amp;ROUNDUP(MONTH(B250)/3,0)</f>
        <v>2025-Q4</v>
      </c>
      <c r="T250" s="87" t="n">
        <f aca="false">IF(O250&gt;0,Q250/O250,"")</f>
        <v>0.166666666666667</v>
      </c>
      <c r="U250" s="84" t="n">
        <f aca="false">IF(O250&gt;0,O250,"")</f>
        <v>1440</v>
      </c>
    </row>
    <row r="251" customFormat="false" ht="15" hidden="false" customHeight="false" outlineLevel="0" collapsed="false">
      <c r="A251" s="81" t="s">
        <v>894</v>
      </c>
      <c r="B251" s="82" t="n">
        <v>45983</v>
      </c>
      <c r="C251" s="81" t="s">
        <v>387</v>
      </c>
      <c r="D251" s="83" t="str">
        <f aca="false">IFERROR(INDEX(c_Name,MATCH($C251,c_ID,0)),"غير معرّف")</f>
        <v>لمى الشمري</v>
      </c>
      <c r="E251" s="83" t="str">
        <f aca="false">IFERROR(INDEX(c_Region,MATCH($C251,c_ID,0)),"غير معرّف")</f>
        <v>الوسطى</v>
      </c>
      <c r="F251" s="81" t="s">
        <v>182</v>
      </c>
      <c r="G251" s="83" t="str">
        <f aca="false">IFERROR(INDEX(p_Name,MATCH($F251,p_ID,0)),"غير معرّف")</f>
        <v>طقم أوزان</v>
      </c>
      <c r="H251" s="83" t="str">
        <f aca="false">IFERROR(INDEX(p_Cat,MATCH($F251,p_ID,0)),"غير معرّف")</f>
        <v>رياضة</v>
      </c>
      <c r="I251" s="81" t="s">
        <v>443</v>
      </c>
      <c r="J251" s="81" t="s">
        <v>91</v>
      </c>
      <c r="K251" s="81" t="n">
        <v>1</v>
      </c>
      <c r="L251" s="84" t="n">
        <f aca="false">IFERROR(INDEX(p_Price,MATCH($F251,p_ID,0)),0)</f>
        <v>380</v>
      </c>
      <c r="M251" s="85" t="n">
        <v>0.05</v>
      </c>
      <c r="N251" s="81" t="s">
        <v>644</v>
      </c>
      <c r="O251" s="84" t="n">
        <f aca="false">IF($N251="مرتجع",0,K251*L251*(1-M251))</f>
        <v>361</v>
      </c>
      <c r="P251" s="84" t="n">
        <f aca="false">IF($N251="مرتجع",0,K251*IFERROR(INDEX(p_Cost,MATCH($F251,p_ID,0)),0))</f>
        <v>210</v>
      </c>
      <c r="Q251" s="84" t="n">
        <f aca="false">O251-P251</f>
        <v>151</v>
      </c>
      <c r="R251" s="86" t="n">
        <f aca="false">DATE(YEAR(B251),MONTH(B251),1)</f>
        <v>45962</v>
      </c>
      <c r="S251" s="83" t="str">
        <f aca="false">YEAR(B251)&amp;"-Q"&amp;ROUNDUP(MONTH(B251)/3,0)</f>
        <v>2025-Q4</v>
      </c>
      <c r="T251" s="87" t="n">
        <f aca="false">IF(O251&gt;0,Q251/O251,"")</f>
        <v>0.418282548476454</v>
      </c>
      <c r="U251" s="84" t="n">
        <f aca="false">IF(O251&gt;0,O251,"")</f>
        <v>361</v>
      </c>
    </row>
    <row r="252" customFormat="false" ht="15" hidden="false" customHeight="false" outlineLevel="0" collapsed="false">
      <c r="A252" s="81" t="s">
        <v>895</v>
      </c>
      <c r="B252" s="82" t="n">
        <v>45983</v>
      </c>
      <c r="C252" s="81" t="s">
        <v>341</v>
      </c>
      <c r="D252" s="83" t="str">
        <f aca="false">IFERROR(INDEX(c_Name,MATCH($C252,c_ID,0)),"غير معرّف")</f>
        <v>منى الحسيني</v>
      </c>
      <c r="E252" s="83" t="str">
        <f aca="false">IFERROR(INDEX(c_Region,MATCH($C252,c_ID,0)),"غير معرّف")</f>
        <v>الجنوبية</v>
      </c>
      <c r="F252" s="81" t="s">
        <v>175</v>
      </c>
      <c r="G252" s="83" t="str">
        <f aca="false">IFERROR(INDEX(p_Name,MATCH($F252,p_ID,0)),"غير معرّف")</f>
        <v>رف كتب</v>
      </c>
      <c r="H252" s="83" t="str">
        <f aca="false">IFERROR(INDEX(p_Cat,MATCH($F252,p_ID,0)),"غير معرّف")</f>
        <v>أثاث</v>
      </c>
      <c r="I252" s="81" t="s">
        <v>465</v>
      </c>
      <c r="J252" s="81" t="s">
        <v>93</v>
      </c>
      <c r="K252" s="81" t="n">
        <v>1</v>
      </c>
      <c r="L252" s="84" t="n">
        <f aca="false">IFERROR(INDEX(p_Price,MATCH($F252,p_ID,0)),0)</f>
        <v>400</v>
      </c>
      <c r="M252" s="85" t="n">
        <v>0.05</v>
      </c>
      <c r="N252" s="81" t="s">
        <v>644</v>
      </c>
      <c r="O252" s="84" t="n">
        <f aca="false">IF($N252="مرتجع",0,K252*L252*(1-M252))</f>
        <v>380</v>
      </c>
      <c r="P252" s="84" t="n">
        <f aca="false">IF($N252="مرتجع",0,K252*IFERROR(INDEX(p_Cost,MATCH($F252,p_ID,0)),0))</f>
        <v>220</v>
      </c>
      <c r="Q252" s="84" t="n">
        <f aca="false">O252-P252</f>
        <v>160</v>
      </c>
      <c r="R252" s="86" t="n">
        <f aca="false">DATE(YEAR(B252),MONTH(B252),1)</f>
        <v>45962</v>
      </c>
      <c r="S252" s="83" t="str">
        <f aca="false">YEAR(B252)&amp;"-Q"&amp;ROUNDUP(MONTH(B252)/3,0)</f>
        <v>2025-Q4</v>
      </c>
      <c r="T252" s="87" t="n">
        <f aca="false">IF(O252&gt;0,Q252/O252,"")</f>
        <v>0.421052631578947</v>
      </c>
      <c r="U252" s="84" t="n">
        <f aca="false">IF(O252&gt;0,O252,"")</f>
        <v>380</v>
      </c>
    </row>
    <row r="253" customFormat="false" ht="15" hidden="false" customHeight="false" outlineLevel="0" collapsed="false">
      <c r="A253" s="81" t="s">
        <v>896</v>
      </c>
      <c r="B253" s="82" t="n">
        <v>45984</v>
      </c>
      <c r="C253" s="81" t="s">
        <v>373</v>
      </c>
      <c r="D253" s="83" t="str">
        <f aca="false">IFERROR(INDEX(c_Name,MATCH($C253,c_ID,0)),"غير معرّف")</f>
        <v>عبير البلوي</v>
      </c>
      <c r="E253" s="83" t="str">
        <f aca="false">IFERROR(INDEX(c_Region,MATCH($C253,c_ID,0)),"غير معرّف")</f>
        <v>الغربية</v>
      </c>
      <c r="F253" s="81" t="s">
        <v>183</v>
      </c>
      <c r="G253" s="83" t="str">
        <f aca="false">IFERROR(INDEX(p_Name,MATCH($F253,p_ID,0)),"غير معرّف")</f>
        <v>سجادة يوغا</v>
      </c>
      <c r="H253" s="83" t="str">
        <f aca="false">IFERROR(INDEX(p_Cat,MATCH($F253,p_ID,0)),"غير معرّف")</f>
        <v>رياضة</v>
      </c>
      <c r="I253" s="81" t="s">
        <v>455</v>
      </c>
      <c r="J253" s="81" t="s">
        <v>91</v>
      </c>
      <c r="K253" s="81" t="n">
        <v>5</v>
      </c>
      <c r="L253" s="84" t="n">
        <f aca="false">IFERROR(INDEX(p_Price,MATCH($F253,p_ID,0)),0)</f>
        <v>120</v>
      </c>
      <c r="M253" s="85" t="n">
        <v>0.1</v>
      </c>
      <c r="N253" s="81" t="s">
        <v>644</v>
      </c>
      <c r="O253" s="84" t="n">
        <f aca="false">IF($N253="مرتجع",0,K253*L253*(1-M253))</f>
        <v>540</v>
      </c>
      <c r="P253" s="84" t="n">
        <f aca="false">IF($N253="مرتجع",0,K253*IFERROR(INDEX(p_Cost,MATCH($F253,p_ID,0)),0))</f>
        <v>250</v>
      </c>
      <c r="Q253" s="84" t="n">
        <f aca="false">O253-P253</f>
        <v>290</v>
      </c>
      <c r="R253" s="86" t="n">
        <f aca="false">DATE(YEAR(B253),MONTH(B253),1)</f>
        <v>45962</v>
      </c>
      <c r="S253" s="83" t="str">
        <f aca="false">YEAR(B253)&amp;"-Q"&amp;ROUNDUP(MONTH(B253)/3,0)</f>
        <v>2025-Q4</v>
      </c>
      <c r="T253" s="87" t="n">
        <f aca="false">IF(O253&gt;0,Q253/O253,"")</f>
        <v>0.537037037037037</v>
      </c>
      <c r="U253" s="84" t="n">
        <f aca="false">IF(O253&gt;0,O253,"")</f>
        <v>540</v>
      </c>
    </row>
    <row r="254" customFormat="false" ht="15" hidden="false" customHeight="false" outlineLevel="0" collapsed="false">
      <c r="A254" s="81" t="s">
        <v>897</v>
      </c>
      <c r="B254" s="82" t="n">
        <v>45984</v>
      </c>
      <c r="C254" s="81" t="s">
        <v>331</v>
      </c>
      <c r="D254" s="83" t="str">
        <f aca="false">IFERROR(INDEX(c_Name,MATCH($C254,c_ID,0)),"غير معرّف")</f>
        <v>ليلى الخالدي</v>
      </c>
      <c r="E254" s="83" t="str">
        <f aca="false">IFERROR(INDEX(c_Region,MATCH($C254,c_ID,0)),"غير معرّف")</f>
        <v>الوسطى</v>
      </c>
      <c r="F254" s="81" t="s">
        <v>167</v>
      </c>
      <c r="G254" s="83" t="str">
        <f aca="false">IFERROR(INDEX(p_Name,MATCH($F254,p_ID,0)),"غير معرّف")</f>
        <v>شاشة 27 بوصة</v>
      </c>
      <c r="H254" s="83" t="str">
        <f aca="false">IFERROR(INDEX(p_Cat,MATCH($F254,p_ID,0)),"غير معرّف")</f>
        <v>إلكترونيات</v>
      </c>
      <c r="I254" s="81" t="s">
        <v>449</v>
      </c>
      <c r="J254" s="81" t="s">
        <v>93</v>
      </c>
      <c r="K254" s="81" t="n">
        <v>2</v>
      </c>
      <c r="L254" s="84" t="n">
        <f aca="false">IFERROR(INDEX(p_Price,MATCH($F254,p_ID,0)),0)</f>
        <v>1100</v>
      </c>
      <c r="M254" s="85" t="n">
        <v>0.15</v>
      </c>
      <c r="N254" s="81" t="s">
        <v>644</v>
      </c>
      <c r="O254" s="84" t="n">
        <f aca="false">IF($N254="مرتجع",0,K254*L254*(1-M254))</f>
        <v>1870</v>
      </c>
      <c r="P254" s="84" t="n">
        <f aca="false">IF($N254="مرتجع",0,K254*IFERROR(INDEX(p_Cost,MATCH($F254,p_ID,0)),0))</f>
        <v>1560</v>
      </c>
      <c r="Q254" s="84" t="n">
        <f aca="false">O254-P254</f>
        <v>310</v>
      </c>
      <c r="R254" s="86" t="n">
        <f aca="false">DATE(YEAR(B254),MONTH(B254),1)</f>
        <v>45962</v>
      </c>
      <c r="S254" s="83" t="str">
        <f aca="false">YEAR(B254)&amp;"-Q"&amp;ROUNDUP(MONTH(B254)/3,0)</f>
        <v>2025-Q4</v>
      </c>
      <c r="T254" s="87" t="n">
        <f aca="false">IF(O254&gt;0,Q254/O254,"")</f>
        <v>0.165775401069519</v>
      </c>
      <c r="U254" s="84" t="n">
        <f aca="false">IF(O254&gt;0,O254,"")</f>
        <v>1870</v>
      </c>
    </row>
    <row r="255" customFormat="false" ht="15" hidden="false" customHeight="false" outlineLevel="0" collapsed="false">
      <c r="A255" s="81" t="s">
        <v>898</v>
      </c>
      <c r="B255" s="82" t="n">
        <v>45984</v>
      </c>
      <c r="C255" s="81" t="s">
        <v>428</v>
      </c>
      <c r="D255" s="83" t="str">
        <f aca="false">IFERROR(INDEX(c_Name,MATCH($C255,c_ID,0)),"غير معرّف")</f>
        <v>عبدالله القحطاني</v>
      </c>
      <c r="E255" s="83" t="str">
        <f aca="false">IFERROR(INDEX(c_Region,MATCH($C255,c_ID,0)),"غير معرّف")</f>
        <v>الوسطى</v>
      </c>
      <c r="F255" s="81" t="s">
        <v>184</v>
      </c>
      <c r="G255" s="83" t="str">
        <f aca="false">IFERROR(INDEX(p_Name,MATCH($F255,p_ID,0)),"غير معرّف")</f>
        <v>عطر فاخر</v>
      </c>
      <c r="H255" s="83" t="str">
        <f aca="false">IFERROR(INDEX(p_Cat,MATCH($F255,p_ID,0)),"غير معرّف")</f>
        <v>عناية شخصية</v>
      </c>
      <c r="I255" s="81" t="s">
        <v>446</v>
      </c>
      <c r="J255" s="81" t="s">
        <v>93</v>
      </c>
      <c r="K255" s="81" t="n">
        <v>2</v>
      </c>
      <c r="L255" s="84" t="n">
        <f aca="false">IFERROR(INDEX(p_Price,MATCH($F255,p_ID,0)),0)</f>
        <v>520</v>
      </c>
      <c r="M255" s="85" t="n">
        <v>0.2</v>
      </c>
      <c r="N255" s="81" t="s">
        <v>650</v>
      </c>
      <c r="O255" s="84" t="n">
        <f aca="false">IF($N255="مرتجع",0,K255*L255*(1-M255))</f>
        <v>0</v>
      </c>
      <c r="P255" s="84" t="n">
        <f aca="false">IF($N255="مرتجع",0,K255*IFERROR(INDEX(p_Cost,MATCH($F255,p_ID,0)),0))</f>
        <v>0</v>
      </c>
      <c r="Q255" s="84" t="n">
        <f aca="false">O255-P255</f>
        <v>0</v>
      </c>
      <c r="R255" s="86" t="n">
        <f aca="false">DATE(YEAR(B255),MONTH(B255),1)</f>
        <v>45962</v>
      </c>
      <c r="S255" s="83" t="str">
        <f aca="false">YEAR(B255)&amp;"-Q"&amp;ROUNDUP(MONTH(B255)/3,0)</f>
        <v>2025-Q4</v>
      </c>
      <c r="T255" s="87" t="str">
        <f aca="false">IF(O255&gt;0,Q255/O255,"")</f>
        <v/>
      </c>
      <c r="U255" s="84" t="str">
        <f aca="false">IF(O255&gt;0,O255,"")</f>
        <v/>
      </c>
    </row>
    <row r="256" customFormat="false" ht="15" hidden="false" customHeight="false" outlineLevel="0" collapsed="false">
      <c r="A256" s="81" t="s">
        <v>899</v>
      </c>
      <c r="B256" s="82" t="n">
        <v>45984</v>
      </c>
      <c r="C256" s="81" t="s">
        <v>302</v>
      </c>
      <c r="D256" s="83" t="str">
        <f aca="false">IFERROR(INDEX(c_Name,MATCH($C256,c_ID,0)),"غير معرّف")</f>
        <v>جود السبيعي</v>
      </c>
      <c r="E256" s="83" t="str">
        <f aca="false">IFERROR(INDEX(c_Region,MATCH($C256,c_ID,0)),"غير معرّف")</f>
        <v>الوسطى</v>
      </c>
      <c r="F256" s="81" t="s">
        <v>173</v>
      </c>
      <c r="G256" s="83" t="str">
        <f aca="false">IFERROR(INDEX(p_Name,MATCH($F256,p_ID,0)),"غير معرّف")</f>
        <v>كرسي مريح</v>
      </c>
      <c r="H256" s="83" t="str">
        <f aca="false">IFERROR(INDEX(p_Cat,MATCH($F256,p_ID,0)),"غير معرّف")</f>
        <v>أثاث</v>
      </c>
      <c r="I256" s="81" t="s">
        <v>449</v>
      </c>
      <c r="J256" s="81" t="s">
        <v>93</v>
      </c>
      <c r="K256" s="81" t="n">
        <v>1</v>
      </c>
      <c r="L256" s="84" t="n">
        <f aca="false">IFERROR(INDEX(p_Price,MATCH($F256,p_ID,0)),0)</f>
        <v>850</v>
      </c>
      <c r="M256" s="85" t="n">
        <v>0.2</v>
      </c>
      <c r="N256" s="81" t="s">
        <v>644</v>
      </c>
      <c r="O256" s="84" t="n">
        <f aca="false">IF($N256="مرتجع",0,K256*L256*(1-M256))</f>
        <v>680</v>
      </c>
      <c r="P256" s="84" t="n">
        <f aca="false">IF($N256="مرتجع",0,K256*IFERROR(INDEX(p_Cost,MATCH($F256,p_ID,0)),0))</f>
        <v>480</v>
      </c>
      <c r="Q256" s="84" t="n">
        <f aca="false">O256-P256</f>
        <v>200</v>
      </c>
      <c r="R256" s="86" t="n">
        <f aca="false">DATE(YEAR(B256),MONTH(B256),1)</f>
        <v>45962</v>
      </c>
      <c r="S256" s="83" t="str">
        <f aca="false">YEAR(B256)&amp;"-Q"&amp;ROUNDUP(MONTH(B256)/3,0)</f>
        <v>2025-Q4</v>
      </c>
      <c r="T256" s="87" t="n">
        <f aca="false">IF(O256&gt;0,Q256/O256,"")</f>
        <v>0.294117647058824</v>
      </c>
      <c r="U256" s="84" t="n">
        <f aca="false">IF(O256&gt;0,O256,"")</f>
        <v>680</v>
      </c>
    </row>
    <row r="257" customFormat="false" ht="15" hidden="false" customHeight="false" outlineLevel="0" collapsed="false">
      <c r="A257" s="81" t="s">
        <v>900</v>
      </c>
      <c r="B257" s="82" t="n">
        <v>45984</v>
      </c>
      <c r="C257" s="81" t="s">
        <v>418</v>
      </c>
      <c r="D257" s="83" t="str">
        <f aca="false">IFERROR(INDEX(c_Name,MATCH($C257,c_ID,0)),"غير معرّف")</f>
        <v>ياسر الزهراني</v>
      </c>
      <c r="E257" s="83" t="str">
        <f aca="false">IFERROR(INDEX(c_Region,MATCH($C257,c_ID,0)),"غير معرّف")</f>
        <v>الشرقية</v>
      </c>
      <c r="F257" s="81" t="s">
        <v>186</v>
      </c>
      <c r="G257" s="83" t="str">
        <f aca="false">IFERROR(INDEX(p_Name,MATCH($F257,p_ID,0)),"غير معرّف")</f>
        <v>مجفف شعر</v>
      </c>
      <c r="H257" s="83" t="str">
        <f aca="false">IFERROR(INDEX(p_Cat,MATCH($F257,p_ID,0)),"غير معرّف")</f>
        <v>عناية شخصية</v>
      </c>
      <c r="I257" s="81" t="s">
        <v>463</v>
      </c>
      <c r="J257" s="81" t="s">
        <v>93</v>
      </c>
      <c r="K257" s="81" t="n">
        <v>1</v>
      </c>
      <c r="L257" s="84" t="n">
        <f aca="false">IFERROR(INDEX(p_Price,MATCH($F257,p_ID,0)),0)</f>
        <v>280</v>
      </c>
      <c r="M257" s="85" t="n">
        <v>0</v>
      </c>
      <c r="N257" s="81" t="s">
        <v>644</v>
      </c>
      <c r="O257" s="84" t="n">
        <f aca="false">IF($N257="مرتجع",0,K257*L257*(1-M257))</f>
        <v>280</v>
      </c>
      <c r="P257" s="84" t="n">
        <f aca="false">IF($N257="مرتجع",0,K257*IFERROR(INDEX(p_Cost,MATCH($F257,p_ID,0)),0))</f>
        <v>140</v>
      </c>
      <c r="Q257" s="84" t="n">
        <f aca="false">O257-P257</f>
        <v>140</v>
      </c>
      <c r="R257" s="86" t="n">
        <f aca="false">DATE(YEAR(B257),MONTH(B257),1)</f>
        <v>45962</v>
      </c>
      <c r="S257" s="83" t="str">
        <f aca="false">YEAR(B257)&amp;"-Q"&amp;ROUNDUP(MONTH(B257)/3,0)</f>
        <v>2025-Q4</v>
      </c>
      <c r="T257" s="87" t="n">
        <f aca="false">IF(O257&gt;0,Q257/O257,"")</f>
        <v>0.5</v>
      </c>
      <c r="U257" s="84" t="n">
        <f aca="false">IF(O257&gt;0,O257,"")</f>
        <v>280</v>
      </c>
    </row>
    <row r="258" customFormat="false" ht="15" hidden="false" customHeight="false" outlineLevel="0" collapsed="false">
      <c r="A258" s="81" t="s">
        <v>901</v>
      </c>
      <c r="B258" s="82" t="n">
        <v>45984</v>
      </c>
      <c r="C258" s="81" t="s">
        <v>374</v>
      </c>
      <c r="D258" s="83" t="str">
        <f aca="false">IFERROR(INDEX(c_Name,MATCH($C258,c_ID,0)),"غير معرّف")</f>
        <v>منى التميمي</v>
      </c>
      <c r="E258" s="83" t="str">
        <f aca="false">IFERROR(INDEX(c_Region,MATCH($C258,c_ID,0)),"غير معرّف")</f>
        <v>الوسطى</v>
      </c>
      <c r="F258" s="81" t="s">
        <v>177</v>
      </c>
      <c r="G258" s="83" t="str">
        <f aca="false">IFERROR(INDEX(p_Name,MATCH($F258,p_ID,0)),"غير معرّف")</f>
        <v>ورق A4 (صندوق)</v>
      </c>
      <c r="H258" s="83" t="str">
        <f aca="false">IFERROR(INDEX(p_Cat,MATCH($F258,p_ID,0)),"غير معرّف")</f>
        <v>مستلزمات مكتبية</v>
      </c>
      <c r="I258" s="81" t="s">
        <v>446</v>
      </c>
      <c r="J258" s="81" t="s">
        <v>95</v>
      </c>
      <c r="K258" s="81" t="n">
        <v>6</v>
      </c>
      <c r="L258" s="84" t="n">
        <f aca="false">IFERROR(INDEX(p_Price,MATCH($F258,p_ID,0)),0)</f>
        <v>140</v>
      </c>
      <c r="M258" s="85" t="n">
        <v>0.15</v>
      </c>
      <c r="N258" s="81" t="s">
        <v>644</v>
      </c>
      <c r="O258" s="84" t="n">
        <f aca="false">IF($N258="مرتجع",0,K258*L258*(1-M258))</f>
        <v>714</v>
      </c>
      <c r="P258" s="84" t="n">
        <f aca="false">IF($N258="مرتجع",0,K258*IFERROR(INDEX(p_Cost,MATCH($F258,p_ID,0)),0))</f>
        <v>570</v>
      </c>
      <c r="Q258" s="84" t="n">
        <f aca="false">O258-P258</f>
        <v>144</v>
      </c>
      <c r="R258" s="86" t="n">
        <f aca="false">DATE(YEAR(B258),MONTH(B258),1)</f>
        <v>45962</v>
      </c>
      <c r="S258" s="83" t="str">
        <f aca="false">YEAR(B258)&amp;"-Q"&amp;ROUNDUP(MONTH(B258)/3,0)</f>
        <v>2025-Q4</v>
      </c>
      <c r="T258" s="87" t="n">
        <f aca="false">IF(O258&gt;0,Q258/O258,"")</f>
        <v>0.201680672268908</v>
      </c>
      <c r="U258" s="84" t="n">
        <f aca="false">IF(O258&gt;0,O258,"")</f>
        <v>714</v>
      </c>
    </row>
    <row r="259" customFormat="false" ht="15" hidden="false" customHeight="false" outlineLevel="0" collapsed="false">
      <c r="A259" s="81" t="s">
        <v>902</v>
      </c>
      <c r="B259" s="82" t="n">
        <v>45985</v>
      </c>
      <c r="C259" s="81" t="s">
        <v>419</v>
      </c>
      <c r="D259" s="83" t="str">
        <f aca="false">IFERROR(INDEX(c_Name,MATCH($C259,c_ID,0)),"غير معرّف")</f>
        <v>خالد العتيبي</v>
      </c>
      <c r="E259" s="83" t="str">
        <f aca="false">IFERROR(INDEX(c_Region,MATCH($C259,c_ID,0)),"غير معرّف")</f>
        <v>الجنوبية</v>
      </c>
      <c r="F259" s="81" t="s">
        <v>185</v>
      </c>
      <c r="G259" s="83" t="str">
        <f aca="false">IFERROR(INDEX(p_Name,MATCH($F259,p_ID,0)),"غير معرّف")</f>
        <v>ماكينة حلاقة</v>
      </c>
      <c r="H259" s="83" t="str">
        <f aca="false">IFERROR(INDEX(p_Cat,MATCH($F259,p_ID,0)),"غير معرّف")</f>
        <v>عناية شخصية</v>
      </c>
      <c r="I259" s="81" t="s">
        <v>467</v>
      </c>
      <c r="J259" s="81" t="s">
        <v>91</v>
      </c>
      <c r="K259" s="81" t="n">
        <v>4</v>
      </c>
      <c r="L259" s="84" t="n">
        <f aca="false">IFERROR(INDEX(p_Price,MATCH($F259,p_ID,0)),0)</f>
        <v>340</v>
      </c>
      <c r="M259" s="85" t="n">
        <v>0</v>
      </c>
      <c r="N259" s="81" t="s">
        <v>644</v>
      </c>
      <c r="O259" s="84" t="n">
        <f aca="false">IF($N259="مرتجع",0,K259*L259*(1-M259))</f>
        <v>1360</v>
      </c>
      <c r="P259" s="84" t="n">
        <f aca="false">IF($N259="مرتجع",0,K259*IFERROR(INDEX(p_Cost,MATCH($F259,p_ID,0)),0))</f>
        <v>680</v>
      </c>
      <c r="Q259" s="84" t="n">
        <f aca="false">O259-P259</f>
        <v>680</v>
      </c>
      <c r="R259" s="86" t="n">
        <f aca="false">DATE(YEAR(B259),MONTH(B259),1)</f>
        <v>45962</v>
      </c>
      <c r="S259" s="83" t="str">
        <f aca="false">YEAR(B259)&amp;"-Q"&amp;ROUNDUP(MONTH(B259)/3,0)</f>
        <v>2025-Q4</v>
      </c>
      <c r="T259" s="87" t="n">
        <f aca="false">IF(O259&gt;0,Q259/O259,"")</f>
        <v>0.5</v>
      </c>
      <c r="U259" s="84" t="n">
        <f aca="false">IF(O259&gt;0,O259,"")</f>
        <v>1360</v>
      </c>
    </row>
    <row r="260" customFormat="false" ht="15" hidden="false" customHeight="false" outlineLevel="0" collapsed="false">
      <c r="A260" s="81" t="s">
        <v>903</v>
      </c>
      <c r="B260" s="82" t="n">
        <v>45985</v>
      </c>
      <c r="C260" s="81" t="s">
        <v>334</v>
      </c>
      <c r="D260" s="83" t="str">
        <f aca="false">IFERROR(INDEX(c_Name,MATCH($C260,c_ID,0)),"غير معرّف")</f>
        <v>ناصر الغامدي</v>
      </c>
      <c r="E260" s="83" t="str">
        <f aca="false">IFERROR(INDEX(c_Region,MATCH($C260,c_ID,0)),"غير معرّف")</f>
        <v>الغربية</v>
      </c>
      <c r="F260" s="81" t="s">
        <v>184</v>
      </c>
      <c r="G260" s="83" t="str">
        <f aca="false">IFERROR(INDEX(p_Name,MATCH($F260,p_ID,0)),"غير معرّف")</f>
        <v>عطر فاخر</v>
      </c>
      <c r="H260" s="83" t="str">
        <f aca="false">IFERROR(INDEX(p_Cat,MATCH($F260,p_ID,0)),"غير معرّف")</f>
        <v>عناية شخصية</v>
      </c>
      <c r="I260" s="81" t="s">
        <v>452</v>
      </c>
      <c r="J260" s="81" t="s">
        <v>93</v>
      </c>
      <c r="K260" s="81" t="n">
        <v>1</v>
      </c>
      <c r="L260" s="84" t="n">
        <f aca="false">IFERROR(INDEX(p_Price,MATCH($F260,p_ID,0)),0)</f>
        <v>520</v>
      </c>
      <c r="M260" s="85" t="n">
        <v>0.15</v>
      </c>
      <c r="N260" s="81" t="s">
        <v>644</v>
      </c>
      <c r="O260" s="84" t="n">
        <f aca="false">IF($N260="مرتجع",0,K260*L260*(1-M260))</f>
        <v>442</v>
      </c>
      <c r="P260" s="84" t="n">
        <f aca="false">IF($N260="مرتجع",0,K260*IFERROR(INDEX(p_Cost,MATCH($F260,p_ID,0)),0))</f>
        <v>210</v>
      </c>
      <c r="Q260" s="84" t="n">
        <f aca="false">O260-P260</f>
        <v>232</v>
      </c>
      <c r="R260" s="86" t="n">
        <f aca="false">DATE(YEAR(B260),MONTH(B260),1)</f>
        <v>45962</v>
      </c>
      <c r="S260" s="83" t="str">
        <f aca="false">YEAR(B260)&amp;"-Q"&amp;ROUNDUP(MONTH(B260)/3,0)</f>
        <v>2025-Q4</v>
      </c>
      <c r="T260" s="87" t="n">
        <f aca="false">IF(O260&gt;0,Q260/O260,"")</f>
        <v>0.524886877828054</v>
      </c>
      <c r="U260" s="84" t="n">
        <f aca="false">IF(O260&gt;0,O260,"")</f>
        <v>442</v>
      </c>
    </row>
    <row r="261" customFormat="false" ht="15" hidden="false" customHeight="false" outlineLevel="0" collapsed="false">
      <c r="A261" s="81" t="s">
        <v>904</v>
      </c>
      <c r="B261" s="82" t="n">
        <v>45986</v>
      </c>
      <c r="C261" s="81" t="s">
        <v>235</v>
      </c>
      <c r="D261" s="83" t="str">
        <f aca="false">IFERROR(INDEX(c_Name,MATCH($C261,c_ID,0)),"غير معرّف")</f>
        <v>ليلى الزهراني</v>
      </c>
      <c r="E261" s="83" t="str">
        <f aca="false">IFERROR(INDEX(c_Region,MATCH($C261,c_ID,0)),"غير معرّف")</f>
        <v>الشرقية</v>
      </c>
      <c r="F261" s="81" t="s">
        <v>172</v>
      </c>
      <c r="G261" s="83" t="str">
        <f aca="false">IFERROR(INDEX(p_Name,MATCH($F261,p_ID,0)),"غير معرّف")</f>
        <v>مكتب عمل</v>
      </c>
      <c r="H261" s="83" t="str">
        <f aca="false">IFERROR(INDEX(p_Cat,MATCH($F261,p_ID,0)),"غير معرّف")</f>
        <v>أثاث</v>
      </c>
      <c r="I261" s="81" t="s">
        <v>463</v>
      </c>
      <c r="J261" s="81" t="s">
        <v>93</v>
      </c>
      <c r="K261" s="81" t="n">
        <v>4</v>
      </c>
      <c r="L261" s="84" t="n">
        <f aca="false">IFERROR(INDEX(p_Price,MATCH($F261,p_ID,0)),0)</f>
        <v>1200</v>
      </c>
      <c r="M261" s="85" t="n">
        <v>0.2</v>
      </c>
      <c r="N261" s="81" t="s">
        <v>644</v>
      </c>
      <c r="O261" s="84" t="n">
        <f aca="false">IF($N261="مرتجع",0,K261*L261*(1-M261))</f>
        <v>3840</v>
      </c>
      <c r="P261" s="84" t="n">
        <f aca="false">IF($N261="مرتجع",0,K261*IFERROR(INDEX(p_Cost,MATCH($F261,p_ID,0)),0))</f>
        <v>2800</v>
      </c>
      <c r="Q261" s="84" t="n">
        <f aca="false">O261-P261</f>
        <v>1040</v>
      </c>
      <c r="R261" s="86" t="n">
        <f aca="false">DATE(YEAR(B261),MONTH(B261),1)</f>
        <v>45962</v>
      </c>
      <c r="S261" s="83" t="str">
        <f aca="false">YEAR(B261)&amp;"-Q"&amp;ROUNDUP(MONTH(B261)/3,0)</f>
        <v>2025-Q4</v>
      </c>
      <c r="T261" s="87" t="n">
        <f aca="false">IF(O261&gt;0,Q261/O261,"")</f>
        <v>0.270833333333333</v>
      </c>
      <c r="U261" s="84" t="n">
        <f aca="false">IF(O261&gt;0,O261,"")</f>
        <v>3840</v>
      </c>
    </row>
    <row r="262" customFormat="false" ht="15" hidden="false" customHeight="false" outlineLevel="0" collapsed="false">
      <c r="A262" s="81" t="s">
        <v>905</v>
      </c>
      <c r="B262" s="82" t="n">
        <v>45986</v>
      </c>
      <c r="C262" s="81" t="s">
        <v>311</v>
      </c>
      <c r="D262" s="83" t="str">
        <f aca="false">IFERROR(INDEX(c_Name,MATCH($C262,c_ID,0)),"غير معرّف")</f>
        <v>لمى الحسيني</v>
      </c>
      <c r="E262" s="83" t="str">
        <f aca="false">IFERROR(INDEX(c_Region,MATCH($C262,c_ID,0)),"غير معرّف")</f>
        <v>الوسطى</v>
      </c>
      <c r="F262" s="81" t="s">
        <v>172</v>
      </c>
      <c r="G262" s="83" t="str">
        <f aca="false">IFERROR(INDEX(p_Name,MATCH($F262,p_ID,0)),"غير معرّف")</f>
        <v>مكتب عمل</v>
      </c>
      <c r="H262" s="83" t="str">
        <f aca="false">IFERROR(INDEX(p_Cat,MATCH($F262,p_ID,0)),"غير معرّف")</f>
        <v>أثاث</v>
      </c>
      <c r="I262" s="81" t="s">
        <v>449</v>
      </c>
      <c r="J262" s="81" t="s">
        <v>93</v>
      </c>
      <c r="K262" s="81" t="n">
        <v>1</v>
      </c>
      <c r="L262" s="84" t="n">
        <f aca="false">IFERROR(INDEX(p_Price,MATCH($F262,p_ID,0)),0)</f>
        <v>1200</v>
      </c>
      <c r="M262" s="85" t="n">
        <v>0.2</v>
      </c>
      <c r="N262" s="81" t="s">
        <v>644</v>
      </c>
      <c r="O262" s="84" t="n">
        <f aca="false">IF($N262="مرتجع",0,K262*L262*(1-M262))</f>
        <v>960</v>
      </c>
      <c r="P262" s="84" t="n">
        <f aca="false">IF($N262="مرتجع",0,K262*IFERROR(INDEX(p_Cost,MATCH($F262,p_ID,0)),0))</f>
        <v>700</v>
      </c>
      <c r="Q262" s="84" t="n">
        <f aca="false">O262-P262</f>
        <v>260</v>
      </c>
      <c r="R262" s="86" t="n">
        <f aca="false">DATE(YEAR(B262),MONTH(B262),1)</f>
        <v>45962</v>
      </c>
      <c r="S262" s="83" t="str">
        <f aca="false">YEAR(B262)&amp;"-Q"&amp;ROUNDUP(MONTH(B262)/3,0)</f>
        <v>2025-Q4</v>
      </c>
      <c r="T262" s="87" t="n">
        <f aca="false">IF(O262&gt;0,Q262/O262,"")</f>
        <v>0.270833333333333</v>
      </c>
      <c r="U262" s="84" t="n">
        <f aca="false">IF(O262&gt;0,O262,"")</f>
        <v>960</v>
      </c>
    </row>
    <row r="263" customFormat="false" ht="15" hidden="false" customHeight="false" outlineLevel="0" collapsed="false">
      <c r="A263" s="81" t="s">
        <v>906</v>
      </c>
      <c r="B263" s="82" t="n">
        <v>45987</v>
      </c>
      <c r="C263" s="81" t="s">
        <v>256</v>
      </c>
      <c r="D263" s="83" t="str">
        <f aca="false">IFERROR(INDEX(c_Name,MATCH($C263,c_ID,0)),"غير معرّف")</f>
        <v>فهد البلوي</v>
      </c>
      <c r="E263" s="83" t="str">
        <f aca="false">IFERROR(INDEX(c_Region,MATCH($C263,c_ID,0)),"غير معرّف")</f>
        <v>الجنوبية</v>
      </c>
      <c r="F263" s="81" t="s">
        <v>180</v>
      </c>
      <c r="G263" s="83" t="str">
        <f aca="false">IFERROR(INDEX(p_Name,MATCH($F263,p_ID,0)),"غير معرّف")</f>
        <v>جهاز مشي</v>
      </c>
      <c r="H263" s="83" t="str">
        <f aca="false">IFERROR(INDEX(p_Cat,MATCH($F263,p_ID,0)),"غير معرّف")</f>
        <v>رياضة</v>
      </c>
      <c r="I263" s="81" t="s">
        <v>467</v>
      </c>
      <c r="J263" s="81" t="s">
        <v>95</v>
      </c>
      <c r="K263" s="81" t="n">
        <v>1</v>
      </c>
      <c r="L263" s="84" t="n">
        <f aca="false">IFERROR(INDEX(p_Price,MATCH($F263,p_ID,0)),0)</f>
        <v>3200</v>
      </c>
      <c r="M263" s="85" t="n">
        <v>0.1</v>
      </c>
      <c r="N263" s="81" t="s">
        <v>644</v>
      </c>
      <c r="O263" s="84" t="n">
        <f aca="false">IF($N263="مرتجع",0,K263*L263*(1-M263))</f>
        <v>2880</v>
      </c>
      <c r="P263" s="84" t="n">
        <f aca="false">IF($N263="مرتجع",0,K263*IFERROR(INDEX(p_Cost,MATCH($F263,p_ID,0)),0))</f>
        <v>2200</v>
      </c>
      <c r="Q263" s="84" t="n">
        <f aca="false">O263-P263</f>
        <v>680</v>
      </c>
      <c r="R263" s="86" t="n">
        <f aca="false">DATE(YEAR(B263),MONTH(B263),1)</f>
        <v>45962</v>
      </c>
      <c r="S263" s="83" t="str">
        <f aca="false">YEAR(B263)&amp;"-Q"&amp;ROUNDUP(MONTH(B263)/3,0)</f>
        <v>2025-Q4</v>
      </c>
      <c r="T263" s="87" t="n">
        <f aca="false">IF(O263&gt;0,Q263/O263,"")</f>
        <v>0.236111111111111</v>
      </c>
      <c r="U263" s="84" t="n">
        <f aca="false">IF(O263&gt;0,O263,"")</f>
        <v>2880</v>
      </c>
    </row>
    <row r="264" customFormat="false" ht="15" hidden="false" customHeight="false" outlineLevel="0" collapsed="false">
      <c r="A264" s="81" t="s">
        <v>907</v>
      </c>
      <c r="B264" s="82" t="n">
        <v>45987</v>
      </c>
      <c r="C264" s="81" t="s">
        <v>404</v>
      </c>
      <c r="D264" s="83" t="str">
        <f aca="false">IFERROR(INDEX(c_Name,MATCH($C264,c_ID,0)),"غير معرّف")</f>
        <v>عبدالله الحسيني</v>
      </c>
      <c r="E264" s="83" t="str">
        <f aca="false">IFERROR(INDEX(c_Region,MATCH($C264,c_ID,0)),"غير معرّف")</f>
        <v>الشرقية</v>
      </c>
      <c r="F264" s="81" t="s">
        <v>176</v>
      </c>
      <c r="G264" s="83" t="str">
        <f aca="false">IFERROR(INDEX(p_Name,MATCH($F264,p_ID,0)),"غير معرّف")</f>
        <v>طابعة ليزر</v>
      </c>
      <c r="H264" s="83" t="str">
        <f aca="false">IFERROR(INDEX(p_Cat,MATCH($F264,p_ID,0)),"غير معرّف")</f>
        <v>مستلزمات مكتبية</v>
      </c>
      <c r="I264" s="81" t="s">
        <v>463</v>
      </c>
      <c r="J264" s="81" t="s">
        <v>93</v>
      </c>
      <c r="K264" s="81" t="n">
        <v>1</v>
      </c>
      <c r="L264" s="84" t="n">
        <f aca="false">IFERROR(INDEX(p_Price,MATCH($F264,p_ID,0)),0)</f>
        <v>1300</v>
      </c>
      <c r="M264" s="85" t="n">
        <v>0.2</v>
      </c>
      <c r="N264" s="81" t="s">
        <v>644</v>
      </c>
      <c r="O264" s="84" t="n">
        <f aca="false">IF($N264="مرتجع",0,K264*L264*(1-M264))</f>
        <v>1040</v>
      </c>
      <c r="P264" s="84" t="n">
        <f aca="false">IF($N264="مرتجع",0,K264*IFERROR(INDEX(p_Cost,MATCH($F264,p_ID,0)),0))</f>
        <v>950</v>
      </c>
      <c r="Q264" s="84" t="n">
        <f aca="false">O264-P264</f>
        <v>90</v>
      </c>
      <c r="R264" s="86" t="n">
        <f aca="false">DATE(YEAR(B264),MONTH(B264),1)</f>
        <v>45962</v>
      </c>
      <c r="S264" s="83" t="str">
        <f aca="false">YEAR(B264)&amp;"-Q"&amp;ROUNDUP(MONTH(B264)/3,0)</f>
        <v>2025-Q4</v>
      </c>
      <c r="T264" s="87" t="n">
        <f aca="false">IF(O264&gt;0,Q264/O264,"")</f>
        <v>0.0865384615384615</v>
      </c>
      <c r="U264" s="84" t="n">
        <f aca="false">IF(O264&gt;0,O264,"")</f>
        <v>1040</v>
      </c>
    </row>
    <row r="265" customFormat="false" ht="15" hidden="false" customHeight="false" outlineLevel="0" collapsed="false">
      <c r="A265" s="81" t="s">
        <v>908</v>
      </c>
      <c r="B265" s="82" t="n">
        <v>45987</v>
      </c>
      <c r="C265" s="81" t="s">
        <v>419</v>
      </c>
      <c r="D265" s="83" t="str">
        <f aca="false">IFERROR(INDEX(c_Name,MATCH($C265,c_ID,0)),"غير معرّف")</f>
        <v>خالد العتيبي</v>
      </c>
      <c r="E265" s="83" t="str">
        <f aca="false">IFERROR(INDEX(c_Region,MATCH($C265,c_ID,0)),"غير معرّف")</f>
        <v>الجنوبية</v>
      </c>
      <c r="F265" s="81" t="s">
        <v>186</v>
      </c>
      <c r="G265" s="83" t="str">
        <f aca="false">IFERROR(INDEX(p_Name,MATCH($F265,p_ID,0)),"غير معرّف")</f>
        <v>مجفف شعر</v>
      </c>
      <c r="H265" s="83" t="str">
        <f aca="false">IFERROR(INDEX(p_Cat,MATCH($F265,p_ID,0)),"غير معرّف")</f>
        <v>عناية شخصية</v>
      </c>
      <c r="I265" s="81" t="s">
        <v>467</v>
      </c>
      <c r="J265" s="81" t="s">
        <v>93</v>
      </c>
      <c r="K265" s="81" t="n">
        <v>2</v>
      </c>
      <c r="L265" s="84" t="n">
        <f aca="false">IFERROR(INDEX(p_Price,MATCH($F265,p_ID,0)),0)</f>
        <v>280</v>
      </c>
      <c r="M265" s="85" t="n">
        <v>0.2</v>
      </c>
      <c r="N265" s="81" t="s">
        <v>644</v>
      </c>
      <c r="O265" s="84" t="n">
        <f aca="false">IF($N265="مرتجع",0,K265*L265*(1-M265))</f>
        <v>448</v>
      </c>
      <c r="P265" s="84" t="n">
        <f aca="false">IF($N265="مرتجع",0,K265*IFERROR(INDEX(p_Cost,MATCH($F265,p_ID,0)),0))</f>
        <v>280</v>
      </c>
      <c r="Q265" s="84" t="n">
        <f aca="false">O265-P265</f>
        <v>168</v>
      </c>
      <c r="R265" s="86" t="n">
        <f aca="false">DATE(YEAR(B265),MONTH(B265),1)</f>
        <v>45962</v>
      </c>
      <c r="S265" s="83" t="str">
        <f aca="false">YEAR(B265)&amp;"-Q"&amp;ROUNDUP(MONTH(B265)/3,0)</f>
        <v>2025-Q4</v>
      </c>
      <c r="T265" s="87" t="n">
        <f aca="false">IF(O265&gt;0,Q265/O265,"")</f>
        <v>0.375</v>
      </c>
      <c r="U265" s="84" t="n">
        <f aca="false">IF(O265&gt;0,O265,"")</f>
        <v>448</v>
      </c>
    </row>
    <row r="266" customFormat="false" ht="15" hidden="false" customHeight="false" outlineLevel="0" collapsed="false">
      <c r="A266" s="81" t="s">
        <v>909</v>
      </c>
      <c r="B266" s="82" t="n">
        <v>45988</v>
      </c>
      <c r="C266" s="81" t="s">
        <v>357</v>
      </c>
      <c r="D266" s="83" t="str">
        <f aca="false">IFERROR(INDEX(c_Name,MATCH($C266,c_ID,0)),"غير معرّف")</f>
        <v>منى الحربي</v>
      </c>
      <c r="E266" s="83" t="str">
        <f aca="false">IFERROR(INDEX(c_Region,MATCH($C266,c_ID,0)),"غير معرّف")</f>
        <v>الوسطى</v>
      </c>
      <c r="F266" s="81" t="s">
        <v>177</v>
      </c>
      <c r="G266" s="83" t="str">
        <f aca="false">IFERROR(INDEX(p_Name,MATCH($F266,p_ID,0)),"غير معرّف")</f>
        <v>ورق A4 (صندوق)</v>
      </c>
      <c r="H266" s="83" t="str">
        <f aca="false">IFERROR(INDEX(p_Cat,MATCH($F266,p_ID,0)),"غير معرّف")</f>
        <v>مستلزمات مكتبية</v>
      </c>
      <c r="I266" s="81" t="s">
        <v>443</v>
      </c>
      <c r="J266" s="81" t="s">
        <v>91</v>
      </c>
      <c r="K266" s="81" t="n">
        <v>1</v>
      </c>
      <c r="L266" s="84" t="n">
        <f aca="false">IFERROR(INDEX(p_Price,MATCH($F266,p_ID,0)),0)</f>
        <v>140</v>
      </c>
      <c r="M266" s="85" t="n">
        <v>0</v>
      </c>
      <c r="N266" s="81" t="s">
        <v>644</v>
      </c>
      <c r="O266" s="84" t="n">
        <f aca="false">IF($N266="مرتجع",0,K266*L266*(1-M266))</f>
        <v>140</v>
      </c>
      <c r="P266" s="84" t="n">
        <f aca="false">IF($N266="مرتجع",0,K266*IFERROR(INDEX(p_Cost,MATCH($F266,p_ID,0)),0))</f>
        <v>95</v>
      </c>
      <c r="Q266" s="84" t="n">
        <f aca="false">O266-P266</f>
        <v>45</v>
      </c>
      <c r="R266" s="86" t="n">
        <f aca="false">DATE(YEAR(B266),MONTH(B266),1)</f>
        <v>45962</v>
      </c>
      <c r="S266" s="83" t="str">
        <f aca="false">YEAR(B266)&amp;"-Q"&amp;ROUNDUP(MONTH(B266)/3,0)</f>
        <v>2025-Q4</v>
      </c>
      <c r="T266" s="87" t="n">
        <f aca="false">IF(O266&gt;0,Q266/O266,"")</f>
        <v>0.321428571428571</v>
      </c>
      <c r="U266" s="84" t="n">
        <f aca="false">IF(O266&gt;0,O266,"")</f>
        <v>140</v>
      </c>
    </row>
    <row r="267" customFormat="false" ht="15" hidden="false" customHeight="false" outlineLevel="0" collapsed="false">
      <c r="A267" s="81" t="s">
        <v>910</v>
      </c>
      <c r="B267" s="82" t="n">
        <v>45988</v>
      </c>
      <c r="C267" s="81" t="s">
        <v>355</v>
      </c>
      <c r="D267" s="83" t="str">
        <f aca="false">IFERROR(INDEX(c_Name,MATCH($C267,c_ID,0)),"غير معرّف")</f>
        <v>جود القحطاني</v>
      </c>
      <c r="E267" s="83" t="str">
        <f aca="false">IFERROR(INDEX(c_Region,MATCH($C267,c_ID,0)),"غير معرّف")</f>
        <v>الجنوبية</v>
      </c>
      <c r="F267" s="81" t="s">
        <v>179</v>
      </c>
      <c r="G267" s="83" t="str">
        <f aca="false">IFERROR(INDEX(p_Name,MATCH($F267,p_ID,0)),"غير معرّف")</f>
        <v>طقم أدوات مكتبية</v>
      </c>
      <c r="H267" s="83" t="str">
        <f aca="false">IFERROR(INDEX(p_Cat,MATCH($F267,p_ID,0)),"غير معرّف")</f>
        <v>مستلزمات مكتبية</v>
      </c>
      <c r="I267" s="81" t="s">
        <v>465</v>
      </c>
      <c r="J267" s="81" t="s">
        <v>93</v>
      </c>
      <c r="K267" s="81" t="n">
        <v>6</v>
      </c>
      <c r="L267" s="84" t="n">
        <f aca="false">IFERROR(INDEX(p_Price,MATCH($F267,p_ID,0)),0)</f>
        <v>90</v>
      </c>
      <c r="M267" s="85" t="n">
        <v>0.05</v>
      </c>
      <c r="N267" s="81" t="s">
        <v>644</v>
      </c>
      <c r="O267" s="84" t="n">
        <f aca="false">IF($N267="مرتجع",0,K267*L267*(1-M267))</f>
        <v>513</v>
      </c>
      <c r="P267" s="84" t="n">
        <f aca="false">IF($N267="مرتجع",0,K267*IFERROR(INDEX(p_Cost,MATCH($F267,p_ID,0)),0))</f>
        <v>270</v>
      </c>
      <c r="Q267" s="84" t="n">
        <f aca="false">O267-P267</f>
        <v>243</v>
      </c>
      <c r="R267" s="86" t="n">
        <f aca="false">DATE(YEAR(B267),MONTH(B267),1)</f>
        <v>45962</v>
      </c>
      <c r="S267" s="83" t="str">
        <f aca="false">YEAR(B267)&amp;"-Q"&amp;ROUNDUP(MONTH(B267)/3,0)</f>
        <v>2025-Q4</v>
      </c>
      <c r="T267" s="87" t="n">
        <f aca="false">IF(O267&gt;0,Q267/O267,"")</f>
        <v>0.473684210526316</v>
      </c>
      <c r="U267" s="84" t="n">
        <f aca="false">IF(O267&gt;0,O267,"")</f>
        <v>513</v>
      </c>
    </row>
    <row r="268" customFormat="false" ht="15" hidden="false" customHeight="false" outlineLevel="0" collapsed="false">
      <c r="A268" s="81" t="s">
        <v>911</v>
      </c>
      <c r="B268" s="82" t="n">
        <v>45988</v>
      </c>
      <c r="C268" s="81" t="s">
        <v>404</v>
      </c>
      <c r="D268" s="83" t="str">
        <f aca="false">IFERROR(INDEX(c_Name,MATCH($C268,c_ID,0)),"غير معرّف")</f>
        <v>عبدالله الحسيني</v>
      </c>
      <c r="E268" s="83" t="str">
        <f aca="false">IFERROR(INDEX(c_Region,MATCH($C268,c_ID,0)),"غير معرّف")</f>
        <v>الشرقية</v>
      </c>
      <c r="F268" s="81" t="s">
        <v>179</v>
      </c>
      <c r="G268" s="83" t="str">
        <f aca="false">IFERROR(INDEX(p_Name,MATCH($F268,p_ID,0)),"غير معرّف")</f>
        <v>طقم أدوات مكتبية</v>
      </c>
      <c r="H268" s="83" t="str">
        <f aca="false">IFERROR(INDEX(p_Cat,MATCH($F268,p_ID,0)),"غير معرّف")</f>
        <v>مستلزمات مكتبية</v>
      </c>
      <c r="I268" s="81" t="s">
        <v>461</v>
      </c>
      <c r="J268" s="81" t="s">
        <v>91</v>
      </c>
      <c r="K268" s="81" t="n">
        <v>3</v>
      </c>
      <c r="L268" s="84" t="n">
        <f aca="false">IFERROR(INDEX(p_Price,MATCH($F268,p_ID,0)),0)</f>
        <v>90</v>
      </c>
      <c r="M268" s="85" t="n">
        <v>0.1</v>
      </c>
      <c r="N268" s="81" t="s">
        <v>644</v>
      </c>
      <c r="O268" s="84" t="n">
        <f aca="false">IF($N268="مرتجع",0,K268*L268*(1-M268))</f>
        <v>243</v>
      </c>
      <c r="P268" s="84" t="n">
        <f aca="false">IF($N268="مرتجع",0,K268*IFERROR(INDEX(p_Cost,MATCH($F268,p_ID,0)),0))</f>
        <v>135</v>
      </c>
      <c r="Q268" s="84" t="n">
        <f aca="false">O268-P268</f>
        <v>108</v>
      </c>
      <c r="R268" s="86" t="n">
        <f aca="false">DATE(YEAR(B268),MONTH(B268),1)</f>
        <v>45962</v>
      </c>
      <c r="S268" s="83" t="str">
        <f aca="false">YEAR(B268)&amp;"-Q"&amp;ROUNDUP(MONTH(B268)/3,0)</f>
        <v>2025-Q4</v>
      </c>
      <c r="T268" s="87" t="n">
        <f aca="false">IF(O268&gt;0,Q268/O268,"")</f>
        <v>0.444444444444444</v>
      </c>
      <c r="U268" s="84" t="n">
        <f aca="false">IF(O268&gt;0,O268,"")</f>
        <v>243</v>
      </c>
    </row>
    <row r="269" customFormat="false" ht="15" hidden="false" customHeight="false" outlineLevel="0" collapsed="false">
      <c r="A269" s="81" t="s">
        <v>912</v>
      </c>
      <c r="B269" s="82" t="n">
        <v>45988</v>
      </c>
      <c r="C269" s="81" t="s">
        <v>386</v>
      </c>
      <c r="D269" s="83" t="str">
        <f aca="false">IFERROR(INDEX(c_Name,MATCH($C269,c_ID,0)),"غير معرّف")</f>
        <v>نورة الشمري</v>
      </c>
      <c r="E269" s="83" t="str">
        <f aca="false">IFERROR(INDEX(c_Region,MATCH($C269,c_ID,0)),"غير معرّف")</f>
        <v>الغربية</v>
      </c>
      <c r="F269" s="81" t="s">
        <v>166</v>
      </c>
      <c r="G269" s="83" t="str">
        <f aca="false">IFERROR(INDEX(p_Name,MATCH($F269,p_ID,0)),"غير معرّف")</f>
        <v>سماعات لاسلكية</v>
      </c>
      <c r="H269" s="83" t="str">
        <f aca="false">IFERROR(INDEX(p_Cat,MATCH($F269,p_ID,0)),"غير معرّف")</f>
        <v>إلكترونيات</v>
      </c>
      <c r="I269" s="81" t="s">
        <v>452</v>
      </c>
      <c r="J269" s="81" t="s">
        <v>93</v>
      </c>
      <c r="K269" s="81" t="n">
        <v>2</v>
      </c>
      <c r="L269" s="84" t="n">
        <f aca="false">IFERROR(INDEX(p_Price,MATCH($F269,p_ID,0)),0)</f>
        <v>450</v>
      </c>
      <c r="M269" s="85" t="n">
        <v>0.15</v>
      </c>
      <c r="N269" s="81" t="s">
        <v>644</v>
      </c>
      <c r="O269" s="84" t="n">
        <f aca="false">IF($N269="مرتجع",0,K269*L269*(1-M269))</f>
        <v>765</v>
      </c>
      <c r="P269" s="84" t="n">
        <f aca="false">IF($N269="مرتجع",0,K269*IFERROR(INDEX(p_Cost,MATCH($F269,p_ID,0)),0))</f>
        <v>520</v>
      </c>
      <c r="Q269" s="84" t="n">
        <f aca="false">O269-P269</f>
        <v>245</v>
      </c>
      <c r="R269" s="86" t="n">
        <f aca="false">DATE(YEAR(B269),MONTH(B269),1)</f>
        <v>45962</v>
      </c>
      <c r="S269" s="83" t="str">
        <f aca="false">YEAR(B269)&amp;"-Q"&amp;ROUNDUP(MONTH(B269)/3,0)</f>
        <v>2025-Q4</v>
      </c>
      <c r="T269" s="87" t="n">
        <f aca="false">IF(O269&gt;0,Q269/O269,"")</f>
        <v>0.320261437908497</v>
      </c>
      <c r="U269" s="84" t="n">
        <f aca="false">IF(O269&gt;0,O269,"")</f>
        <v>765</v>
      </c>
    </row>
    <row r="270" customFormat="false" ht="15" hidden="false" customHeight="false" outlineLevel="0" collapsed="false">
      <c r="A270" s="81" t="s">
        <v>913</v>
      </c>
      <c r="B270" s="82" t="n">
        <v>45988</v>
      </c>
      <c r="C270" s="81" t="s">
        <v>294</v>
      </c>
      <c r="D270" s="83" t="str">
        <f aca="false">IFERROR(INDEX(c_Name,MATCH($C270,c_ID,0)),"غير معرّف")</f>
        <v>خالد البلوي</v>
      </c>
      <c r="E270" s="83" t="str">
        <f aca="false">IFERROR(INDEX(c_Region,MATCH($C270,c_ID,0)),"غير معرّف")</f>
        <v>الوسطى</v>
      </c>
      <c r="F270" s="81" t="s">
        <v>166</v>
      </c>
      <c r="G270" s="83" t="str">
        <f aca="false">IFERROR(INDEX(p_Name,MATCH($F270,p_ID,0)),"غير معرّف")</f>
        <v>سماعات لاسلكية</v>
      </c>
      <c r="H270" s="83" t="str">
        <f aca="false">IFERROR(INDEX(p_Cat,MATCH($F270,p_ID,0)),"غير معرّف")</f>
        <v>إلكترونيات</v>
      </c>
      <c r="I270" s="81" t="s">
        <v>449</v>
      </c>
      <c r="J270" s="81" t="s">
        <v>93</v>
      </c>
      <c r="K270" s="81" t="n">
        <v>13</v>
      </c>
      <c r="L270" s="84" t="n">
        <f aca="false">IFERROR(INDEX(p_Price,MATCH($F270,p_ID,0)),0)</f>
        <v>450</v>
      </c>
      <c r="M270" s="85" t="n">
        <v>0.2</v>
      </c>
      <c r="N270" s="81" t="s">
        <v>644</v>
      </c>
      <c r="O270" s="84" t="n">
        <f aca="false">IF($N270="مرتجع",0,K270*L270*(1-M270))</f>
        <v>4680</v>
      </c>
      <c r="P270" s="84" t="n">
        <f aca="false">IF($N270="مرتجع",0,K270*IFERROR(INDEX(p_Cost,MATCH($F270,p_ID,0)),0))</f>
        <v>3380</v>
      </c>
      <c r="Q270" s="84" t="n">
        <f aca="false">O270-P270</f>
        <v>1300</v>
      </c>
      <c r="R270" s="86" t="n">
        <f aca="false">DATE(YEAR(B270),MONTH(B270),1)</f>
        <v>45962</v>
      </c>
      <c r="S270" s="83" t="str">
        <f aca="false">YEAR(B270)&amp;"-Q"&amp;ROUNDUP(MONTH(B270)/3,0)</f>
        <v>2025-Q4</v>
      </c>
      <c r="T270" s="87" t="n">
        <f aca="false">IF(O270&gt;0,Q270/O270,"")</f>
        <v>0.277777777777778</v>
      </c>
      <c r="U270" s="84" t="n">
        <f aca="false">IF(O270&gt;0,O270,"")</f>
        <v>4680</v>
      </c>
    </row>
    <row r="271" customFormat="false" ht="15" hidden="false" customHeight="false" outlineLevel="0" collapsed="false">
      <c r="A271" s="81" t="s">
        <v>914</v>
      </c>
      <c r="B271" s="82" t="n">
        <v>45988</v>
      </c>
      <c r="C271" s="81" t="s">
        <v>294</v>
      </c>
      <c r="D271" s="83" t="str">
        <f aca="false">IFERROR(INDEX(c_Name,MATCH($C271,c_ID,0)),"غير معرّف")</f>
        <v>خالد البلوي</v>
      </c>
      <c r="E271" s="83" t="str">
        <f aca="false">IFERROR(INDEX(c_Region,MATCH($C271,c_ID,0)),"غير معرّف")</f>
        <v>الوسطى</v>
      </c>
      <c r="F271" s="81" t="s">
        <v>175</v>
      </c>
      <c r="G271" s="83" t="str">
        <f aca="false">IFERROR(INDEX(p_Name,MATCH($F271,p_ID,0)),"غير معرّف")</f>
        <v>رف كتب</v>
      </c>
      <c r="H271" s="83" t="str">
        <f aca="false">IFERROR(INDEX(p_Cat,MATCH($F271,p_ID,0)),"غير معرّف")</f>
        <v>أثاث</v>
      </c>
      <c r="I271" s="81" t="s">
        <v>446</v>
      </c>
      <c r="J271" s="81" t="s">
        <v>93</v>
      </c>
      <c r="K271" s="81" t="n">
        <v>19</v>
      </c>
      <c r="L271" s="84" t="n">
        <f aca="false">IFERROR(INDEX(p_Price,MATCH($F271,p_ID,0)),0)</f>
        <v>400</v>
      </c>
      <c r="M271" s="85" t="n">
        <v>0.2</v>
      </c>
      <c r="N271" s="81" t="s">
        <v>644</v>
      </c>
      <c r="O271" s="84" t="n">
        <f aca="false">IF($N271="مرتجع",0,K271*L271*(1-M271))</f>
        <v>6080</v>
      </c>
      <c r="P271" s="84" t="n">
        <f aca="false">IF($N271="مرتجع",0,K271*IFERROR(INDEX(p_Cost,MATCH($F271,p_ID,0)),0))</f>
        <v>4180</v>
      </c>
      <c r="Q271" s="84" t="n">
        <f aca="false">O271-P271</f>
        <v>1900</v>
      </c>
      <c r="R271" s="86" t="n">
        <f aca="false">DATE(YEAR(B271),MONTH(B271),1)</f>
        <v>45962</v>
      </c>
      <c r="S271" s="83" t="str">
        <f aca="false">YEAR(B271)&amp;"-Q"&amp;ROUNDUP(MONTH(B271)/3,0)</f>
        <v>2025-Q4</v>
      </c>
      <c r="T271" s="87" t="n">
        <f aca="false">IF(O271&gt;0,Q271/O271,"")</f>
        <v>0.3125</v>
      </c>
      <c r="U271" s="84" t="n">
        <f aca="false">IF(O271&gt;0,O271,"")</f>
        <v>6080</v>
      </c>
    </row>
    <row r="272" customFormat="false" ht="15" hidden="false" customHeight="false" outlineLevel="0" collapsed="false">
      <c r="A272" s="81" t="s">
        <v>915</v>
      </c>
      <c r="B272" s="82" t="n">
        <v>45988</v>
      </c>
      <c r="C272" s="81" t="s">
        <v>340</v>
      </c>
      <c r="D272" s="83" t="str">
        <f aca="false">IFERROR(INDEX(c_Name,MATCH($C272,c_ID,0)),"غير معرّف")</f>
        <v>سعد الشهري</v>
      </c>
      <c r="E272" s="83" t="str">
        <f aca="false">IFERROR(INDEX(c_Region,MATCH($C272,c_ID,0)),"غير معرّف")</f>
        <v>الوسطى</v>
      </c>
      <c r="F272" s="81" t="s">
        <v>175</v>
      </c>
      <c r="G272" s="83" t="str">
        <f aca="false">IFERROR(INDEX(p_Name,MATCH($F272,p_ID,0)),"غير معرّف")</f>
        <v>رف كتب</v>
      </c>
      <c r="H272" s="83" t="str">
        <f aca="false">IFERROR(INDEX(p_Cat,MATCH($F272,p_ID,0)),"غير معرّف")</f>
        <v>أثاث</v>
      </c>
      <c r="I272" s="81" t="s">
        <v>443</v>
      </c>
      <c r="J272" s="81" t="s">
        <v>93</v>
      </c>
      <c r="K272" s="81" t="n">
        <v>2</v>
      </c>
      <c r="L272" s="84" t="n">
        <f aca="false">IFERROR(INDEX(p_Price,MATCH($F272,p_ID,0)),0)</f>
        <v>400</v>
      </c>
      <c r="M272" s="85" t="n">
        <v>0.15</v>
      </c>
      <c r="N272" s="81" t="s">
        <v>644</v>
      </c>
      <c r="O272" s="84" t="n">
        <f aca="false">IF($N272="مرتجع",0,K272*L272*(1-M272))</f>
        <v>680</v>
      </c>
      <c r="P272" s="84" t="n">
        <f aca="false">IF($N272="مرتجع",0,K272*IFERROR(INDEX(p_Cost,MATCH($F272,p_ID,0)),0))</f>
        <v>440</v>
      </c>
      <c r="Q272" s="84" t="n">
        <f aca="false">O272-P272</f>
        <v>240</v>
      </c>
      <c r="R272" s="86" t="n">
        <f aca="false">DATE(YEAR(B272),MONTH(B272),1)</f>
        <v>45962</v>
      </c>
      <c r="S272" s="83" t="str">
        <f aca="false">YEAR(B272)&amp;"-Q"&amp;ROUNDUP(MONTH(B272)/3,0)</f>
        <v>2025-Q4</v>
      </c>
      <c r="T272" s="87" t="n">
        <f aca="false">IF(O272&gt;0,Q272/O272,"")</f>
        <v>0.352941176470588</v>
      </c>
      <c r="U272" s="84" t="n">
        <f aca="false">IF(O272&gt;0,O272,"")</f>
        <v>680</v>
      </c>
    </row>
    <row r="273" customFormat="false" ht="15" hidden="false" customHeight="false" outlineLevel="0" collapsed="false">
      <c r="A273" s="81" t="s">
        <v>916</v>
      </c>
      <c r="B273" s="82" t="n">
        <v>45988</v>
      </c>
      <c r="C273" s="81" t="s">
        <v>285</v>
      </c>
      <c r="D273" s="83" t="str">
        <f aca="false">IFERROR(INDEX(c_Name,MATCH($C273,c_ID,0)),"غير معرّف")</f>
        <v>ياسر التميمي</v>
      </c>
      <c r="E273" s="83" t="str">
        <f aca="false">IFERROR(INDEX(c_Region,MATCH($C273,c_ID,0)),"غير معرّف")</f>
        <v>الغربية</v>
      </c>
      <c r="F273" s="81" t="s">
        <v>185</v>
      </c>
      <c r="G273" s="83" t="str">
        <f aca="false">IFERROR(INDEX(p_Name,MATCH($F273,p_ID,0)),"غير معرّف")</f>
        <v>ماكينة حلاقة</v>
      </c>
      <c r="H273" s="83" t="str">
        <f aca="false">IFERROR(INDEX(p_Cat,MATCH($F273,p_ID,0)),"غير معرّف")</f>
        <v>عناية شخصية</v>
      </c>
      <c r="I273" s="81" t="s">
        <v>458</v>
      </c>
      <c r="J273" s="81" t="s">
        <v>93</v>
      </c>
      <c r="K273" s="81" t="n">
        <v>3</v>
      </c>
      <c r="L273" s="84" t="n">
        <f aca="false">IFERROR(INDEX(p_Price,MATCH($F273,p_ID,0)),0)</f>
        <v>340</v>
      </c>
      <c r="M273" s="85" t="n">
        <v>0.2</v>
      </c>
      <c r="N273" s="81" t="s">
        <v>644</v>
      </c>
      <c r="O273" s="84" t="n">
        <f aca="false">IF($N273="مرتجع",0,K273*L273*(1-M273))</f>
        <v>816</v>
      </c>
      <c r="P273" s="84" t="n">
        <f aca="false">IF($N273="مرتجع",0,K273*IFERROR(INDEX(p_Cost,MATCH($F273,p_ID,0)),0))</f>
        <v>510</v>
      </c>
      <c r="Q273" s="84" t="n">
        <f aca="false">O273-P273</f>
        <v>306</v>
      </c>
      <c r="R273" s="86" t="n">
        <f aca="false">DATE(YEAR(B273),MONTH(B273),1)</f>
        <v>45962</v>
      </c>
      <c r="S273" s="83" t="str">
        <f aca="false">YEAR(B273)&amp;"-Q"&amp;ROUNDUP(MONTH(B273)/3,0)</f>
        <v>2025-Q4</v>
      </c>
      <c r="T273" s="87" t="n">
        <f aca="false">IF(O273&gt;0,Q273/O273,"")</f>
        <v>0.375</v>
      </c>
      <c r="U273" s="84" t="n">
        <f aca="false">IF(O273&gt;0,O273,"")</f>
        <v>816</v>
      </c>
    </row>
    <row r="274" customFormat="false" ht="15" hidden="false" customHeight="false" outlineLevel="0" collapsed="false">
      <c r="A274" s="81" t="s">
        <v>917</v>
      </c>
      <c r="B274" s="82" t="n">
        <v>45988</v>
      </c>
      <c r="C274" s="81" t="s">
        <v>429</v>
      </c>
      <c r="D274" s="83" t="str">
        <f aca="false">IFERROR(INDEX(c_Name,MATCH($C274,c_ID,0)),"غير معرّف")</f>
        <v>سعد الحربي</v>
      </c>
      <c r="E274" s="83" t="str">
        <f aca="false">IFERROR(INDEX(c_Region,MATCH($C274,c_ID,0)),"غير معرّف")</f>
        <v>الغربية</v>
      </c>
      <c r="F274" s="81" t="s">
        <v>166</v>
      </c>
      <c r="G274" s="83" t="str">
        <f aca="false">IFERROR(INDEX(p_Name,MATCH($F274,p_ID,0)),"غير معرّف")</f>
        <v>سماعات لاسلكية</v>
      </c>
      <c r="H274" s="83" t="str">
        <f aca="false">IFERROR(INDEX(p_Cat,MATCH($F274,p_ID,0)),"غير معرّف")</f>
        <v>إلكترونيات</v>
      </c>
      <c r="I274" s="81" t="s">
        <v>458</v>
      </c>
      <c r="J274" s="81" t="s">
        <v>91</v>
      </c>
      <c r="K274" s="81" t="n">
        <v>1</v>
      </c>
      <c r="L274" s="84" t="n">
        <f aca="false">IFERROR(INDEX(p_Price,MATCH($F274,p_ID,0)),0)</f>
        <v>450</v>
      </c>
      <c r="M274" s="85" t="n">
        <v>0.15</v>
      </c>
      <c r="N274" s="81" t="s">
        <v>644</v>
      </c>
      <c r="O274" s="84" t="n">
        <f aca="false">IF($N274="مرتجع",0,K274*L274*(1-M274))</f>
        <v>382.5</v>
      </c>
      <c r="P274" s="84" t="n">
        <f aca="false">IF($N274="مرتجع",0,K274*IFERROR(INDEX(p_Cost,MATCH($F274,p_ID,0)),0))</f>
        <v>260</v>
      </c>
      <c r="Q274" s="84" t="n">
        <f aca="false">O274-P274</f>
        <v>122.5</v>
      </c>
      <c r="R274" s="86" t="n">
        <f aca="false">DATE(YEAR(B274),MONTH(B274),1)</f>
        <v>45962</v>
      </c>
      <c r="S274" s="83" t="str">
        <f aca="false">YEAR(B274)&amp;"-Q"&amp;ROUNDUP(MONTH(B274)/3,0)</f>
        <v>2025-Q4</v>
      </c>
      <c r="T274" s="87" t="n">
        <f aca="false">IF(O274&gt;0,Q274/O274,"")</f>
        <v>0.320261437908497</v>
      </c>
      <c r="U274" s="84" t="n">
        <f aca="false">IF(O274&gt;0,O274,"")</f>
        <v>382.5</v>
      </c>
    </row>
    <row r="275" customFormat="false" ht="15" hidden="false" customHeight="false" outlineLevel="0" collapsed="false">
      <c r="A275" s="81" t="s">
        <v>918</v>
      </c>
      <c r="B275" s="82" t="n">
        <v>45988</v>
      </c>
      <c r="C275" s="81" t="s">
        <v>376</v>
      </c>
      <c r="D275" s="83" t="str">
        <f aca="false">IFERROR(INDEX(c_Name,MATCH($C275,c_ID,0)),"غير معرّف")</f>
        <v>لمى السبيعي</v>
      </c>
      <c r="E275" s="83" t="str">
        <f aca="false">IFERROR(INDEX(c_Region,MATCH($C275,c_ID,0)),"غير معرّف")</f>
        <v>الشرقية</v>
      </c>
      <c r="F275" s="81" t="s">
        <v>187</v>
      </c>
      <c r="G275" s="83" t="str">
        <f aca="false">IFERROR(INDEX(p_Name,MATCH($F275,p_ID,0)),"غير معرّف")</f>
        <v>جهاز تدليك</v>
      </c>
      <c r="H275" s="83" t="str">
        <f aca="false">IFERROR(INDEX(p_Cat,MATCH($F275,p_ID,0)),"غير معرّف")</f>
        <v>عناية شخصية</v>
      </c>
      <c r="I275" s="81" t="s">
        <v>461</v>
      </c>
      <c r="J275" s="81" t="s">
        <v>93</v>
      </c>
      <c r="K275" s="81" t="n">
        <v>1</v>
      </c>
      <c r="L275" s="84" t="n">
        <f aca="false">IFERROR(INDEX(p_Price,MATCH($F275,p_ID,0)),0)</f>
        <v>600</v>
      </c>
      <c r="M275" s="85" t="n">
        <v>0.2</v>
      </c>
      <c r="N275" s="81" t="s">
        <v>644</v>
      </c>
      <c r="O275" s="84" t="n">
        <f aca="false">IF($N275="مرتجع",0,K275*L275*(1-M275))</f>
        <v>480</v>
      </c>
      <c r="P275" s="84" t="n">
        <f aca="false">IF($N275="مرتجع",0,K275*IFERROR(INDEX(p_Cost,MATCH($F275,p_ID,0)),0))</f>
        <v>330</v>
      </c>
      <c r="Q275" s="84" t="n">
        <f aca="false">O275-P275</f>
        <v>150</v>
      </c>
      <c r="R275" s="86" t="n">
        <f aca="false">DATE(YEAR(B275),MONTH(B275),1)</f>
        <v>45962</v>
      </c>
      <c r="S275" s="83" t="str">
        <f aca="false">YEAR(B275)&amp;"-Q"&amp;ROUNDUP(MONTH(B275)/3,0)</f>
        <v>2025-Q4</v>
      </c>
      <c r="T275" s="87" t="n">
        <f aca="false">IF(O275&gt;0,Q275/O275,"")</f>
        <v>0.3125</v>
      </c>
      <c r="U275" s="84" t="n">
        <f aca="false">IF(O275&gt;0,O275,"")</f>
        <v>480</v>
      </c>
    </row>
    <row r="276" customFormat="false" ht="15" hidden="false" customHeight="false" outlineLevel="0" collapsed="false">
      <c r="A276" s="81" t="s">
        <v>919</v>
      </c>
      <c r="B276" s="82" t="n">
        <v>45988</v>
      </c>
      <c r="C276" s="81" t="s">
        <v>330</v>
      </c>
      <c r="D276" s="83" t="str">
        <f aca="false">IFERROR(INDEX(c_Name,MATCH($C276,c_ID,0)),"غير معرّف")</f>
        <v>سارة السبيعي</v>
      </c>
      <c r="E276" s="83" t="str">
        <f aca="false">IFERROR(INDEX(c_Region,MATCH($C276,c_ID,0)),"غير معرّف")</f>
        <v>الشرقية</v>
      </c>
      <c r="F276" s="81" t="s">
        <v>166</v>
      </c>
      <c r="G276" s="83" t="str">
        <f aca="false">IFERROR(INDEX(p_Name,MATCH($F276,p_ID,0)),"غير معرّف")</f>
        <v>سماعات لاسلكية</v>
      </c>
      <c r="H276" s="83" t="str">
        <f aca="false">IFERROR(INDEX(p_Cat,MATCH($F276,p_ID,0)),"غير معرّف")</f>
        <v>إلكترونيات</v>
      </c>
      <c r="I276" s="81" t="s">
        <v>461</v>
      </c>
      <c r="J276" s="81" t="s">
        <v>93</v>
      </c>
      <c r="K276" s="81" t="n">
        <v>2</v>
      </c>
      <c r="L276" s="84" t="n">
        <f aca="false">IFERROR(INDEX(p_Price,MATCH($F276,p_ID,0)),0)</f>
        <v>450</v>
      </c>
      <c r="M276" s="85" t="n">
        <v>0</v>
      </c>
      <c r="N276" s="81" t="s">
        <v>644</v>
      </c>
      <c r="O276" s="84" t="n">
        <f aca="false">IF($N276="مرتجع",0,K276*L276*(1-M276))</f>
        <v>900</v>
      </c>
      <c r="P276" s="84" t="n">
        <f aca="false">IF($N276="مرتجع",0,K276*IFERROR(INDEX(p_Cost,MATCH($F276,p_ID,0)),0))</f>
        <v>520</v>
      </c>
      <c r="Q276" s="84" t="n">
        <f aca="false">O276-P276</f>
        <v>380</v>
      </c>
      <c r="R276" s="86" t="n">
        <f aca="false">DATE(YEAR(B276),MONTH(B276),1)</f>
        <v>45962</v>
      </c>
      <c r="S276" s="83" t="str">
        <f aca="false">YEAR(B276)&amp;"-Q"&amp;ROUNDUP(MONTH(B276)/3,0)</f>
        <v>2025-Q4</v>
      </c>
      <c r="T276" s="87" t="n">
        <f aca="false">IF(O276&gt;0,Q276/O276,"")</f>
        <v>0.422222222222222</v>
      </c>
      <c r="U276" s="84" t="n">
        <f aca="false">IF(O276&gt;0,O276,"")</f>
        <v>900</v>
      </c>
    </row>
    <row r="277" customFormat="false" ht="15" hidden="false" customHeight="false" outlineLevel="0" collapsed="false">
      <c r="A277" s="81" t="s">
        <v>920</v>
      </c>
      <c r="B277" s="82" t="n">
        <v>45988</v>
      </c>
      <c r="C277" s="81" t="s">
        <v>270</v>
      </c>
      <c r="D277" s="83" t="str">
        <f aca="false">IFERROR(INDEX(c_Name,MATCH($C277,c_ID,0)),"غير معرّف")</f>
        <v>ريم التميمي</v>
      </c>
      <c r="E277" s="83" t="str">
        <f aca="false">IFERROR(INDEX(c_Region,MATCH($C277,c_ID,0)),"غير معرّف")</f>
        <v>الشرقية</v>
      </c>
      <c r="F277" s="81" t="s">
        <v>169</v>
      </c>
      <c r="G277" s="83" t="str">
        <f aca="false">IFERROR(INDEX(p_Name,MATCH($F277,p_ID,0)),"غير معرّف")</f>
        <v>خلاط</v>
      </c>
      <c r="H277" s="83" t="str">
        <f aca="false">IFERROR(INDEX(p_Cat,MATCH($F277,p_ID,0)),"غير معرّف")</f>
        <v>أجهزة منزلية</v>
      </c>
      <c r="I277" s="81" t="s">
        <v>463</v>
      </c>
      <c r="J277" s="81" t="s">
        <v>93</v>
      </c>
      <c r="K277" s="81" t="n">
        <v>1</v>
      </c>
      <c r="L277" s="84" t="n">
        <f aca="false">IFERROR(INDEX(p_Price,MATCH($F277,p_ID,0)),0)</f>
        <v>300</v>
      </c>
      <c r="M277" s="85" t="n">
        <v>0</v>
      </c>
      <c r="N277" s="81" t="s">
        <v>644</v>
      </c>
      <c r="O277" s="84" t="n">
        <f aca="false">IF($N277="مرتجع",0,K277*L277*(1-M277))</f>
        <v>300</v>
      </c>
      <c r="P277" s="84" t="n">
        <f aca="false">IF($N277="مرتجع",0,K277*IFERROR(INDEX(p_Cost,MATCH($F277,p_ID,0)),0))</f>
        <v>175</v>
      </c>
      <c r="Q277" s="84" t="n">
        <f aca="false">O277-P277</f>
        <v>125</v>
      </c>
      <c r="R277" s="86" t="n">
        <f aca="false">DATE(YEAR(B277),MONTH(B277),1)</f>
        <v>45962</v>
      </c>
      <c r="S277" s="83" t="str">
        <f aca="false">YEAR(B277)&amp;"-Q"&amp;ROUNDUP(MONTH(B277)/3,0)</f>
        <v>2025-Q4</v>
      </c>
      <c r="T277" s="87" t="n">
        <f aca="false">IF(O277&gt;0,Q277/O277,"")</f>
        <v>0.416666666666667</v>
      </c>
      <c r="U277" s="84" t="n">
        <f aca="false">IF(O277&gt;0,O277,"")</f>
        <v>300</v>
      </c>
    </row>
    <row r="278" customFormat="false" ht="15" hidden="false" customHeight="false" outlineLevel="0" collapsed="false">
      <c r="A278" s="81" t="s">
        <v>921</v>
      </c>
      <c r="B278" s="82" t="n">
        <v>45988</v>
      </c>
      <c r="C278" s="81" t="s">
        <v>237</v>
      </c>
      <c r="D278" s="83" t="str">
        <f aca="false">IFERROR(INDEX(c_Name,MATCH($C278,c_ID,0)),"غير معرّف")</f>
        <v>محمد البلوي</v>
      </c>
      <c r="E278" s="83" t="str">
        <f aca="false">IFERROR(INDEX(c_Region,MATCH($C278,c_ID,0)),"غير معرّف")</f>
        <v>الوسطى</v>
      </c>
      <c r="F278" s="81" t="s">
        <v>186</v>
      </c>
      <c r="G278" s="83" t="str">
        <f aca="false">IFERROR(INDEX(p_Name,MATCH($F278,p_ID,0)),"غير معرّف")</f>
        <v>مجفف شعر</v>
      </c>
      <c r="H278" s="83" t="str">
        <f aca="false">IFERROR(INDEX(p_Cat,MATCH($F278,p_ID,0)),"غير معرّف")</f>
        <v>عناية شخصية</v>
      </c>
      <c r="I278" s="81" t="s">
        <v>443</v>
      </c>
      <c r="J278" s="81" t="s">
        <v>91</v>
      </c>
      <c r="K278" s="81" t="n">
        <v>1</v>
      </c>
      <c r="L278" s="84" t="n">
        <f aca="false">IFERROR(INDEX(p_Price,MATCH($F278,p_ID,0)),0)</f>
        <v>280</v>
      </c>
      <c r="M278" s="85" t="n">
        <v>0.15</v>
      </c>
      <c r="N278" s="81" t="s">
        <v>644</v>
      </c>
      <c r="O278" s="84" t="n">
        <f aca="false">IF($N278="مرتجع",0,K278*L278*(1-M278))</f>
        <v>238</v>
      </c>
      <c r="P278" s="84" t="n">
        <f aca="false">IF($N278="مرتجع",0,K278*IFERROR(INDEX(p_Cost,MATCH($F278,p_ID,0)),0))</f>
        <v>140</v>
      </c>
      <c r="Q278" s="84" t="n">
        <f aca="false">O278-P278</f>
        <v>98</v>
      </c>
      <c r="R278" s="86" t="n">
        <f aca="false">DATE(YEAR(B278),MONTH(B278),1)</f>
        <v>45962</v>
      </c>
      <c r="S278" s="83" t="str">
        <f aca="false">YEAR(B278)&amp;"-Q"&amp;ROUNDUP(MONTH(B278)/3,0)</f>
        <v>2025-Q4</v>
      </c>
      <c r="T278" s="87" t="n">
        <f aca="false">IF(O278&gt;0,Q278/O278,"")</f>
        <v>0.411764705882353</v>
      </c>
      <c r="U278" s="84" t="n">
        <f aca="false">IF(O278&gt;0,O278,"")</f>
        <v>238</v>
      </c>
    </row>
    <row r="279" customFormat="false" ht="15" hidden="false" customHeight="false" outlineLevel="0" collapsed="false">
      <c r="A279" s="81" t="s">
        <v>922</v>
      </c>
      <c r="B279" s="82" t="n">
        <v>45988</v>
      </c>
      <c r="C279" s="81" t="s">
        <v>275</v>
      </c>
      <c r="D279" s="83" t="str">
        <f aca="false">IFERROR(INDEX(c_Name,MATCH($C279,c_ID,0)),"غير معرّف")</f>
        <v>طارق البلوي</v>
      </c>
      <c r="E279" s="83" t="str">
        <f aca="false">IFERROR(INDEX(c_Region,MATCH($C279,c_ID,0)),"غير معرّف")</f>
        <v>الشرقية</v>
      </c>
      <c r="F279" s="81" t="s">
        <v>183</v>
      </c>
      <c r="G279" s="83" t="str">
        <f aca="false">IFERROR(INDEX(p_Name,MATCH($F279,p_ID,0)),"غير معرّف")</f>
        <v>سجادة يوغا</v>
      </c>
      <c r="H279" s="83" t="str">
        <f aca="false">IFERROR(INDEX(p_Cat,MATCH($F279,p_ID,0)),"غير معرّف")</f>
        <v>رياضة</v>
      </c>
      <c r="I279" s="81" t="s">
        <v>463</v>
      </c>
      <c r="J279" s="81" t="s">
        <v>93</v>
      </c>
      <c r="K279" s="81" t="n">
        <v>4</v>
      </c>
      <c r="L279" s="84" t="n">
        <f aca="false">IFERROR(INDEX(p_Price,MATCH($F279,p_ID,0)),0)</f>
        <v>120</v>
      </c>
      <c r="M279" s="85" t="n">
        <v>0.1</v>
      </c>
      <c r="N279" s="81" t="s">
        <v>644</v>
      </c>
      <c r="O279" s="84" t="n">
        <f aca="false">IF($N279="مرتجع",0,K279*L279*(1-M279))</f>
        <v>432</v>
      </c>
      <c r="P279" s="84" t="n">
        <f aca="false">IF($N279="مرتجع",0,K279*IFERROR(INDEX(p_Cost,MATCH($F279,p_ID,0)),0))</f>
        <v>200</v>
      </c>
      <c r="Q279" s="84" t="n">
        <f aca="false">O279-P279</f>
        <v>232</v>
      </c>
      <c r="R279" s="86" t="n">
        <f aca="false">DATE(YEAR(B279),MONTH(B279),1)</f>
        <v>45962</v>
      </c>
      <c r="S279" s="83" t="str">
        <f aca="false">YEAR(B279)&amp;"-Q"&amp;ROUNDUP(MONTH(B279)/3,0)</f>
        <v>2025-Q4</v>
      </c>
      <c r="T279" s="87" t="n">
        <f aca="false">IF(O279&gt;0,Q279/O279,"")</f>
        <v>0.537037037037037</v>
      </c>
      <c r="U279" s="84" t="n">
        <f aca="false">IF(O279&gt;0,O279,"")</f>
        <v>432</v>
      </c>
    </row>
    <row r="280" customFormat="false" ht="15" hidden="false" customHeight="false" outlineLevel="0" collapsed="false">
      <c r="A280" s="81" t="s">
        <v>923</v>
      </c>
      <c r="B280" s="82" t="n">
        <v>45989</v>
      </c>
      <c r="C280" s="81" t="s">
        <v>266</v>
      </c>
      <c r="D280" s="83" t="str">
        <f aca="false">IFERROR(INDEX(c_Name,MATCH($C280,c_ID,0)),"غير معرّف")</f>
        <v>ياسر الشهري</v>
      </c>
      <c r="E280" s="83" t="str">
        <f aca="false">IFERROR(INDEX(c_Region,MATCH($C280,c_ID,0)),"غير معرّف")</f>
        <v>الوسطى</v>
      </c>
      <c r="F280" s="81" t="s">
        <v>164</v>
      </c>
      <c r="G280" s="83" t="str">
        <f aca="false">IFERROR(INDEX(p_Name,MATCH($F280,p_ID,0)),"غير معرّف")</f>
        <v>هاتف ذكي</v>
      </c>
      <c r="H280" s="83" t="str">
        <f aca="false">IFERROR(INDEX(p_Cat,MATCH($F280,p_ID,0)),"غير معرّف")</f>
        <v>إلكترونيات</v>
      </c>
      <c r="I280" s="81" t="s">
        <v>449</v>
      </c>
      <c r="J280" s="81" t="s">
        <v>93</v>
      </c>
      <c r="K280" s="81" t="n">
        <v>1</v>
      </c>
      <c r="L280" s="84" t="n">
        <f aca="false">IFERROR(INDEX(p_Price,MATCH($F280,p_ID,0)),0)</f>
        <v>2400</v>
      </c>
      <c r="M280" s="85" t="n">
        <v>0.1</v>
      </c>
      <c r="N280" s="81" t="s">
        <v>644</v>
      </c>
      <c r="O280" s="84" t="n">
        <f aca="false">IF($N280="مرتجع",0,K280*L280*(1-M280))</f>
        <v>2160</v>
      </c>
      <c r="P280" s="84" t="n">
        <f aca="false">IF($N280="مرتجع",0,K280*IFERROR(INDEX(p_Cost,MATCH($F280,p_ID,0)),0))</f>
        <v>1750</v>
      </c>
      <c r="Q280" s="84" t="n">
        <f aca="false">O280-P280</f>
        <v>410</v>
      </c>
      <c r="R280" s="86" t="n">
        <f aca="false">DATE(YEAR(B280),MONTH(B280),1)</f>
        <v>45962</v>
      </c>
      <c r="S280" s="83" t="str">
        <f aca="false">YEAR(B280)&amp;"-Q"&amp;ROUNDUP(MONTH(B280)/3,0)</f>
        <v>2025-Q4</v>
      </c>
      <c r="T280" s="87" t="n">
        <f aca="false">IF(O280&gt;0,Q280/O280,"")</f>
        <v>0.189814814814815</v>
      </c>
      <c r="U280" s="84" t="n">
        <f aca="false">IF(O280&gt;0,O280,"")</f>
        <v>2160</v>
      </c>
    </row>
    <row r="281" customFormat="false" ht="15" hidden="false" customHeight="false" outlineLevel="0" collapsed="false">
      <c r="A281" s="81" t="s">
        <v>924</v>
      </c>
      <c r="B281" s="82" t="n">
        <v>45989</v>
      </c>
      <c r="C281" s="81" t="s">
        <v>404</v>
      </c>
      <c r="D281" s="83" t="str">
        <f aca="false">IFERROR(INDEX(c_Name,MATCH($C281,c_ID,0)),"غير معرّف")</f>
        <v>عبدالله الحسيني</v>
      </c>
      <c r="E281" s="83" t="str">
        <f aca="false">IFERROR(INDEX(c_Region,MATCH($C281,c_ID,0)),"غير معرّف")</f>
        <v>الشرقية</v>
      </c>
      <c r="F281" s="81" t="s">
        <v>168</v>
      </c>
      <c r="G281" s="83" t="str">
        <f aca="false">IFERROR(INDEX(p_Name,MATCH($F281,p_ID,0)),"غير معرّف")</f>
        <v>مكنسة كهربائية</v>
      </c>
      <c r="H281" s="83" t="str">
        <f aca="false">IFERROR(INDEX(p_Cat,MATCH($F281,p_ID,0)),"غير معرّف")</f>
        <v>أجهزة منزلية</v>
      </c>
      <c r="I281" s="81" t="s">
        <v>463</v>
      </c>
      <c r="J281" s="81" t="s">
        <v>91</v>
      </c>
      <c r="K281" s="81" t="n">
        <v>1</v>
      </c>
      <c r="L281" s="84" t="n">
        <f aca="false">IFERROR(INDEX(p_Price,MATCH($F281,p_ID,0)),0)</f>
        <v>650</v>
      </c>
      <c r="M281" s="85" t="n">
        <v>0.15</v>
      </c>
      <c r="N281" s="81" t="s">
        <v>644</v>
      </c>
      <c r="O281" s="84" t="n">
        <f aca="false">IF($N281="مرتجع",0,K281*L281*(1-M281))</f>
        <v>552.5</v>
      </c>
      <c r="P281" s="84" t="n">
        <f aca="false">IF($N281="مرتجع",0,K281*IFERROR(INDEX(p_Cost,MATCH($F281,p_ID,0)),0))</f>
        <v>420</v>
      </c>
      <c r="Q281" s="84" t="n">
        <f aca="false">O281-P281</f>
        <v>132.5</v>
      </c>
      <c r="R281" s="86" t="n">
        <f aca="false">DATE(YEAR(B281),MONTH(B281),1)</f>
        <v>45962</v>
      </c>
      <c r="S281" s="83" t="str">
        <f aca="false">YEAR(B281)&amp;"-Q"&amp;ROUNDUP(MONTH(B281)/3,0)</f>
        <v>2025-Q4</v>
      </c>
      <c r="T281" s="87" t="n">
        <f aca="false">IF(O281&gt;0,Q281/O281,"")</f>
        <v>0.239819004524887</v>
      </c>
      <c r="U281" s="84" t="n">
        <f aca="false">IF(O281&gt;0,O281,"")</f>
        <v>552.5</v>
      </c>
    </row>
    <row r="282" customFormat="false" ht="15" hidden="false" customHeight="false" outlineLevel="0" collapsed="false">
      <c r="A282" s="81" t="s">
        <v>925</v>
      </c>
      <c r="B282" s="82" t="n">
        <v>45989</v>
      </c>
      <c r="C282" s="81" t="s">
        <v>289</v>
      </c>
      <c r="D282" s="83" t="str">
        <f aca="false">IFERROR(INDEX(c_Name,MATCH($C282,c_ID,0)),"غير معرّف")</f>
        <v>جود الشهري</v>
      </c>
      <c r="E282" s="83" t="str">
        <f aca="false">IFERROR(INDEX(c_Region,MATCH($C282,c_ID,0)),"غير معرّف")</f>
        <v>الوسطى</v>
      </c>
      <c r="F282" s="81" t="s">
        <v>166</v>
      </c>
      <c r="G282" s="83" t="str">
        <f aca="false">IFERROR(INDEX(p_Name,MATCH($F282,p_ID,0)),"غير معرّف")</f>
        <v>سماعات لاسلكية</v>
      </c>
      <c r="H282" s="83" t="str">
        <f aca="false">IFERROR(INDEX(p_Cat,MATCH($F282,p_ID,0)),"غير معرّف")</f>
        <v>إلكترونيات</v>
      </c>
      <c r="I282" s="81" t="s">
        <v>446</v>
      </c>
      <c r="J282" s="81" t="s">
        <v>95</v>
      </c>
      <c r="K282" s="81" t="n">
        <v>7</v>
      </c>
      <c r="L282" s="84" t="n">
        <f aca="false">IFERROR(INDEX(p_Price,MATCH($F282,p_ID,0)),0)</f>
        <v>450</v>
      </c>
      <c r="M282" s="85" t="n">
        <v>0.1</v>
      </c>
      <c r="N282" s="81" t="s">
        <v>644</v>
      </c>
      <c r="O282" s="84" t="n">
        <f aca="false">IF($N282="مرتجع",0,K282*L282*(1-M282))</f>
        <v>2835</v>
      </c>
      <c r="P282" s="84" t="n">
        <f aca="false">IF($N282="مرتجع",0,K282*IFERROR(INDEX(p_Cost,MATCH($F282,p_ID,0)),0))</f>
        <v>1820</v>
      </c>
      <c r="Q282" s="84" t="n">
        <f aca="false">O282-P282</f>
        <v>1015</v>
      </c>
      <c r="R282" s="86" t="n">
        <f aca="false">DATE(YEAR(B282),MONTH(B282),1)</f>
        <v>45962</v>
      </c>
      <c r="S282" s="83" t="str">
        <f aca="false">YEAR(B282)&amp;"-Q"&amp;ROUNDUP(MONTH(B282)/3,0)</f>
        <v>2025-Q4</v>
      </c>
      <c r="T282" s="87" t="n">
        <f aca="false">IF(O282&gt;0,Q282/O282,"")</f>
        <v>0.358024691358025</v>
      </c>
      <c r="U282" s="84" t="n">
        <f aca="false">IF(O282&gt;0,O282,"")</f>
        <v>2835</v>
      </c>
    </row>
    <row r="283" customFormat="false" ht="15" hidden="false" customHeight="false" outlineLevel="0" collapsed="false">
      <c r="A283" s="81" t="s">
        <v>926</v>
      </c>
      <c r="B283" s="82" t="n">
        <v>45989</v>
      </c>
      <c r="C283" s="81" t="s">
        <v>404</v>
      </c>
      <c r="D283" s="83" t="str">
        <f aca="false">IFERROR(INDEX(c_Name,MATCH($C283,c_ID,0)),"غير معرّف")</f>
        <v>عبدالله الحسيني</v>
      </c>
      <c r="E283" s="83" t="str">
        <f aca="false">IFERROR(INDEX(c_Region,MATCH($C283,c_ID,0)),"غير معرّف")</f>
        <v>الشرقية</v>
      </c>
      <c r="F283" s="81" t="s">
        <v>183</v>
      </c>
      <c r="G283" s="83" t="str">
        <f aca="false">IFERROR(INDEX(p_Name,MATCH($F283,p_ID,0)),"غير معرّف")</f>
        <v>سجادة يوغا</v>
      </c>
      <c r="H283" s="83" t="str">
        <f aca="false">IFERROR(INDEX(p_Cat,MATCH($F283,p_ID,0)),"غير معرّف")</f>
        <v>رياضة</v>
      </c>
      <c r="I283" s="81" t="s">
        <v>461</v>
      </c>
      <c r="J283" s="81" t="s">
        <v>91</v>
      </c>
      <c r="K283" s="81" t="n">
        <v>1</v>
      </c>
      <c r="L283" s="84" t="n">
        <f aca="false">IFERROR(INDEX(p_Price,MATCH($F283,p_ID,0)),0)</f>
        <v>120</v>
      </c>
      <c r="M283" s="85" t="n">
        <v>0</v>
      </c>
      <c r="N283" s="81" t="s">
        <v>644</v>
      </c>
      <c r="O283" s="84" t="n">
        <f aca="false">IF($N283="مرتجع",0,K283*L283*(1-M283))</f>
        <v>120</v>
      </c>
      <c r="P283" s="84" t="n">
        <f aca="false">IF($N283="مرتجع",0,K283*IFERROR(INDEX(p_Cost,MATCH($F283,p_ID,0)),0))</f>
        <v>50</v>
      </c>
      <c r="Q283" s="84" t="n">
        <f aca="false">O283-P283</f>
        <v>70</v>
      </c>
      <c r="R283" s="86" t="n">
        <f aca="false">DATE(YEAR(B283),MONTH(B283),1)</f>
        <v>45962</v>
      </c>
      <c r="S283" s="83" t="str">
        <f aca="false">YEAR(B283)&amp;"-Q"&amp;ROUNDUP(MONTH(B283)/3,0)</f>
        <v>2025-Q4</v>
      </c>
      <c r="T283" s="87" t="n">
        <f aca="false">IF(O283&gt;0,Q283/O283,"")</f>
        <v>0.583333333333333</v>
      </c>
      <c r="U283" s="84" t="n">
        <f aca="false">IF(O283&gt;0,O283,"")</f>
        <v>120</v>
      </c>
    </row>
    <row r="284" customFormat="false" ht="15" hidden="false" customHeight="false" outlineLevel="0" collapsed="false">
      <c r="A284" s="81" t="s">
        <v>927</v>
      </c>
      <c r="B284" s="82" t="n">
        <v>45990</v>
      </c>
      <c r="C284" s="81" t="s">
        <v>237</v>
      </c>
      <c r="D284" s="83" t="str">
        <f aca="false">IFERROR(INDEX(c_Name,MATCH($C284,c_ID,0)),"غير معرّف")</f>
        <v>محمد البلوي</v>
      </c>
      <c r="E284" s="83" t="str">
        <f aca="false">IFERROR(INDEX(c_Region,MATCH($C284,c_ID,0)),"غير معرّف")</f>
        <v>الوسطى</v>
      </c>
      <c r="F284" s="81" t="s">
        <v>168</v>
      </c>
      <c r="G284" s="83" t="str">
        <f aca="false">IFERROR(INDEX(p_Name,MATCH($F284,p_ID,0)),"غير معرّف")</f>
        <v>مكنسة كهربائية</v>
      </c>
      <c r="H284" s="83" t="str">
        <f aca="false">IFERROR(INDEX(p_Cat,MATCH($F284,p_ID,0)),"غير معرّف")</f>
        <v>أجهزة منزلية</v>
      </c>
      <c r="I284" s="81" t="s">
        <v>446</v>
      </c>
      <c r="J284" s="81" t="s">
        <v>93</v>
      </c>
      <c r="K284" s="81" t="n">
        <v>2</v>
      </c>
      <c r="L284" s="84" t="n">
        <f aca="false">IFERROR(INDEX(p_Price,MATCH($F284,p_ID,0)),0)</f>
        <v>650</v>
      </c>
      <c r="M284" s="85" t="n">
        <v>0.2</v>
      </c>
      <c r="N284" s="81" t="s">
        <v>644</v>
      </c>
      <c r="O284" s="84" t="n">
        <f aca="false">IF($N284="مرتجع",0,K284*L284*(1-M284))</f>
        <v>1040</v>
      </c>
      <c r="P284" s="84" t="n">
        <f aca="false">IF($N284="مرتجع",0,K284*IFERROR(INDEX(p_Cost,MATCH($F284,p_ID,0)),0))</f>
        <v>840</v>
      </c>
      <c r="Q284" s="84" t="n">
        <f aca="false">O284-P284</f>
        <v>200</v>
      </c>
      <c r="R284" s="86" t="n">
        <f aca="false">DATE(YEAR(B284),MONTH(B284),1)</f>
        <v>45962</v>
      </c>
      <c r="S284" s="83" t="str">
        <f aca="false">YEAR(B284)&amp;"-Q"&amp;ROUNDUP(MONTH(B284)/3,0)</f>
        <v>2025-Q4</v>
      </c>
      <c r="T284" s="87" t="n">
        <f aca="false">IF(O284&gt;0,Q284/O284,"")</f>
        <v>0.192307692307692</v>
      </c>
      <c r="U284" s="84" t="n">
        <f aca="false">IF(O284&gt;0,O284,"")</f>
        <v>1040</v>
      </c>
    </row>
    <row r="285" customFormat="false" ht="15" hidden="false" customHeight="false" outlineLevel="0" collapsed="false">
      <c r="A285" s="81" t="s">
        <v>928</v>
      </c>
      <c r="B285" s="82" t="n">
        <v>45990</v>
      </c>
      <c r="C285" s="81" t="s">
        <v>233</v>
      </c>
      <c r="D285" s="83" t="str">
        <f aca="false">IFERROR(INDEX(c_Name,MATCH($C285,c_ID,0)),"غير معرّف")</f>
        <v>سلمان الخالدي</v>
      </c>
      <c r="E285" s="83" t="str">
        <f aca="false">IFERROR(INDEX(c_Region,MATCH($C285,c_ID,0)),"غير معرّف")</f>
        <v>الشرقية</v>
      </c>
      <c r="F285" s="81" t="s">
        <v>169</v>
      </c>
      <c r="G285" s="83" t="str">
        <f aca="false">IFERROR(INDEX(p_Name,MATCH($F285,p_ID,0)),"غير معرّف")</f>
        <v>خلاط</v>
      </c>
      <c r="H285" s="83" t="str">
        <f aca="false">IFERROR(INDEX(p_Cat,MATCH($F285,p_ID,0)),"غير معرّف")</f>
        <v>أجهزة منزلية</v>
      </c>
      <c r="I285" s="81" t="s">
        <v>463</v>
      </c>
      <c r="J285" s="81" t="s">
        <v>91</v>
      </c>
      <c r="K285" s="81" t="n">
        <v>2</v>
      </c>
      <c r="L285" s="84" t="n">
        <f aca="false">IFERROR(INDEX(p_Price,MATCH($F285,p_ID,0)),0)</f>
        <v>300</v>
      </c>
      <c r="M285" s="85" t="n">
        <v>0.2</v>
      </c>
      <c r="N285" s="81" t="s">
        <v>650</v>
      </c>
      <c r="O285" s="84" t="n">
        <f aca="false">IF($N285="مرتجع",0,K285*L285*(1-M285))</f>
        <v>0</v>
      </c>
      <c r="P285" s="84" t="n">
        <f aca="false">IF($N285="مرتجع",0,K285*IFERROR(INDEX(p_Cost,MATCH($F285,p_ID,0)),0))</f>
        <v>0</v>
      </c>
      <c r="Q285" s="84" t="n">
        <f aca="false">O285-P285</f>
        <v>0</v>
      </c>
      <c r="R285" s="86" t="n">
        <f aca="false">DATE(YEAR(B285),MONTH(B285),1)</f>
        <v>45962</v>
      </c>
      <c r="S285" s="83" t="str">
        <f aca="false">YEAR(B285)&amp;"-Q"&amp;ROUNDUP(MONTH(B285)/3,0)</f>
        <v>2025-Q4</v>
      </c>
      <c r="T285" s="87" t="str">
        <f aca="false">IF(O285&gt;0,Q285/O285,"")</f>
        <v/>
      </c>
      <c r="U285" s="84" t="str">
        <f aca="false">IF(O285&gt;0,O285,"")</f>
        <v/>
      </c>
    </row>
    <row r="286" customFormat="false" ht="15" hidden="false" customHeight="false" outlineLevel="0" collapsed="false">
      <c r="A286" s="81" t="s">
        <v>929</v>
      </c>
      <c r="B286" s="82" t="n">
        <v>45990</v>
      </c>
      <c r="C286" s="81" t="s">
        <v>404</v>
      </c>
      <c r="D286" s="83" t="str">
        <f aca="false">IFERROR(INDEX(c_Name,MATCH($C286,c_ID,0)),"غير معرّف")</f>
        <v>عبدالله الحسيني</v>
      </c>
      <c r="E286" s="83" t="str">
        <f aca="false">IFERROR(INDEX(c_Region,MATCH($C286,c_ID,0)),"غير معرّف")</f>
        <v>الشرقية</v>
      </c>
      <c r="F286" s="81" t="s">
        <v>168</v>
      </c>
      <c r="G286" s="83" t="str">
        <f aca="false">IFERROR(INDEX(p_Name,MATCH($F286,p_ID,0)),"غير معرّف")</f>
        <v>مكنسة كهربائية</v>
      </c>
      <c r="H286" s="83" t="str">
        <f aca="false">IFERROR(INDEX(p_Cat,MATCH($F286,p_ID,0)),"غير معرّف")</f>
        <v>أجهزة منزلية</v>
      </c>
      <c r="I286" s="81" t="s">
        <v>463</v>
      </c>
      <c r="J286" s="81" t="s">
        <v>91</v>
      </c>
      <c r="K286" s="81" t="n">
        <v>1</v>
      </c>
      <c r="L286" s="84" t="n">
        <f aca="false">IFERROR(INDEX(p_Price,MATCH($F286,p_ID,0)),0)</f>
        <v>650</v>
      </c>
      <c r="M286" s="85" t="n">
        <v>0.1</v>
      </c>
      <c r="N286" s="81" t="s">
        <v>644</v>
      </c>
      <c r="O286" s="84" t="n">
        <f aca="false">IF($N286="مرتجع",0,K286*L286*(1-M286))</f>
        <v>585</v>
      </c>
      <c r="P286" s="84" t="n">
        <f aca="false">IF($N286="مرتجع",0,K286*IFERROR(INDEX(p_Cost,MATCH($F286,p_ID,0)),0))</f>
        <v>420</v>
      </c>
      <c r="Q286" s="84" t="n">
        <f aca="false">O286-P286</f>
        <v>165</v>
      </c>
      <c r="R286" s="86" t="n">
        <f aca="false">DATE(YEAR(B286),MONTH(B286),1)</f>
        <v>45962</v>
      </c>
      <c r="S286" s="83" t="str">
        <f aca="false">YEAR(B286)&amp;"-Q"&amp;ROUNDUP(MONTH(B286)/3,0)</f>
        <v>2025-Q4</v>
      </c>
      <c r="T286" s="87" t="n">
        <f aca="false">IF(O286&gt;0,Q286/O286,"")</f>
        <v>0.282051282051282</v>
      </c>
      <c r="U286" s="84" t="n">
        <f aca="false">IF(O286&gt;0,O286,"")</f>
        <v>585</v>
      </c>
    </row>
    <row r="287" customFormat="false" ht="15" hidden="false" customHeight="false" outlineLevel="0" collapsed="false">
      <c r="A287" s="81" t="s">
        <v>930</v>
      </c>
      <c r="B287" s="82" t="n">
        <v>45990</v>
      </c>
      <c r="C287" s="81" t="s">
        <v>373</v>
      </c>
      <c r="D287" s="83" t="str">
        <f aca="false">IFERROR(INDEX(c_Name,MATCH($C287,c_ID,0)),"غير معرّف")</f>
        <v>عبير البلوي</v>
      </c>
      <c r="E287" s="83" t="str">
        <f aca="false">IFERROR(INDEX(c_Region,MATCH($C287,c_ID,0)),"غير معرّف")</f>
        <v>الغربية</v>
      </c>
      <c r="F287" s="81" t="s">
        <v>178</v>
      </c>
      <c r="G287" s="83" t="str">
        <f aca="false">IFERROR(INDEX(p_Name,MATCH($F287,p_ID,0)),"غير معرّف")</f>
        <v>حقيبة لابتوب</v>
      </c>
      <c r="H287" s="83" t="str">
        <f aca="false">IFERROR(INDEX(p_Cat,MATCH($F287,p_ID,0)),"غير معرّف")</f>
        <v>مستلزمات مكتبية</v>
      </c>
      <c r="I287" s="81" t="s">
        <v>458</v>
      </c>
      <c r="J287" s="81" t="s">
        <v>91</v>
      </c>
      <c r="K287" s="81" t="n">
        <v>7</v>
      </c>
      <c r="L287" s="84" t="n">
        <f aca="false">IFERROR(INDEX(p_Price,MATCH($F287,p_ID,0)),0)</f>
        <v>260</v>
      </c>
      <c r="M287" s="85" t="n">
        <v>0.15</v>
      </c>
      <c r="N287" s="81" t="s">
        <v>644</v>
      </c>
      <c r="O287" s="84" t="n">
        <f aca="false">IF($N287="مرتجع",0,K287*L287*(1-M287))</f>
        <v>1547</v>
      </c>
      <c r="P287" s="84" t="n">
        <f aca="false">IF($N287="مرتجع",0,K287*IFERROR(INDEX(p_Cost,MATCH($F287,p_ID,0)),0))</f>
        <v>840</v>
      </c>
      <c r="Q287" s="84" t="n">
        <f aca="false">O287-P287</f>
        <v>707</v>
      </c>
      <c r="R287" s="86" t="n">
        <f aca="false">DATE(YEAR(B287),MONTH(B287),1)</f>
        <v>45962</v>
      </c>
      <c r="S287" s="83" t="str">
        <f aca="false">YEAR(B287)&amp;"-Q"&amp;ROUNDUP(MONTH(B287)/3,0)</f>
        <v>2025-Q4</v>
      </c>
      <c r="T287" s="87" t="n">
        <f aca="false">IF(O287&gt;0,Q287/O287,"")</f>
        <v>0.457013574660633</v>
      </c>
      <c r="U287" s="84" t="n">
        <f aca="false">IF(O287&gt;0,O287,"")</f>
        <v>1547</v>
      </c>
    </row>
    <row r="288" customFormat="false" ht="15" hidden="false" customHeight="false" outlineLevel="0" collapsed="false">
      <c r="A288" s="81" t="s">
        <v>931</v>
      </c>
      <c r="B288" s="82" t="n">
        <v>45990</v>
      </c>
      <c r="C288" s="81" t="s">
        <v>281</v>
      </c>
      <c r="D288" s="83" t="str">
        <f aca="false">IFERROR(INDEX(c_Name,MATCH($C288,c_ID,0)),"غير معرّف")</f>
        <v>ريم الخالدي</v>
      </c>
      <c r="E288" s="83" t="str">
        <f aca="false">IFERROR(INDEX(c_Region,MATCH($C288,c_ID,0)),"غير معرّف")</f>
        <v>الوسطى</v>
      </c>
      <c r="F288" s="81" t="s">
        <v>172</v>
      </c>
      <c r="G288" s="83" t="str">
        <f aca="false">IFERROR(INDEX(p_Name,MATCH($F288,p_ID,0)),"غير معرّف")</f>
        <v>مكتب عمل</v>
      </c>
      <c r="H288" s="83" t="str">
        <f aca="false">IFERROR(INDEX(p_Cat,MATCH($F288,p_ID,0)),"غير معرّف")</f>
        <v>أثاث</v>
      </c>
      <c r="I288" s="81" t="s">
        <v>449</v>
      </c>
      <c r="J288" s="81" t="s">
        <v>93</v>
      </c>
      <c r="K288" s="81" t="n">
        <v>3</v>
      </c>
      <c r="L288" s="84" t="n">
        <f aca="false">IFERROR(INDEX(p_Price,MATCH($F288,p_ID,0)),0)</f>
        <v>1200</v>
      </c>
      <c r="M288" s="85" t="n">
        <v>0.1</v>
      </c>
      <c r="N288" s="81" t="s">
        <v>644</v>
      </c>
      <c r="O288" s="84" t="n">
        <f aca="false">IF($N288="مرتجع",0,K288*L288*(1-M288))</f>
        <v>3240</v>
      </c>
      <c r="P288" s="84" t="n">
        <f aca="false">IF($N288="مرتجع",0,K288*IFERROR(INDEX(p_Cost,MATCH($F288,p_ID,0)),0))</f>
        <v>2100</v>
      </c>
      <c r="Q288" s="84" t="n">
        <f aca="false">O288-P288</f>
        <v>1140</v>
      </c>
      <c r="R288" s="86" t="n">
        <f aca="false">DATE(YEAR(B288),MONTH(B288),1)</f>
        <v>45962</v>
      </c>
      <c r="S288" s="83" t="str">
        <f aca="false">YEAR(B288)&amp;"-Q"&amp;ROUNDUP(MONTH(B288)/3,0)</f>
        <v>2025-Q4</v>
      </c>
      <c r="T288" s="87" t="n">
        <f aca="false">IF(O288&gt;0,Q288/O288,"")</f>
        <v>0.351851851851852</v>
      </c>
      <c r="U288" s="84" t="n">
        <f aca="false">IF(O288&gt;0,O288,"")</f>
        <v>3240</v>
      </c>
    </row>
    <row r="289" customFormat="false" ht="15" hidden="false" customHeight="false" outlineLevel="0" collapsed="false">
      <c r="A289" s="81" t="s">
        <v>932</v>
      </c>
      <c r="B289" s="82" t="n">
        <v>45990</v>
      </c>
      <c r="C289" s="81" t="s">
        <v>404</v>
      </c>
      <c r="D289" s="83" t="str">
        <f aca="false">IFERROR(INDEX(c_Name,MATCH($C289,c_ID,0)),"غير معرّف")</f>
        <v>عبدالله الحسيني</v>
      </c>
      <c r="E289" s="83" t="str">
        <f aca="false">IFERROR(INDEX(c_Region,MATCH($C289,c_ID,0)),"غير معرّف")</f>
        <v>الشرقية</v>
      </c>
      <c r="F289" s="81" t="s">
        <v>187</v>
      </c>
      <c r="G289" s="83" t="str">
        <f aca="false">IFERROR(INDEX(p_Name,MATCH($F289,p_ID,0)),"غير معرّف")</f>
        <v>جهاز تدليك</v>
      </c>
      <c r="H289" s="83" t="str">
        <f aca="false">IFERROR(INDEX(p_Cat,MATCH($F289,p_ID,0)),"غير معرّف")</f>
        <v>عناية شخصية</v>
      </c>
      <c r="I289" s="81" t="s">
        <v>463</v>
      </c>
      <c r="J289" s="81" t="s">
        <v>91</v>
      </c>
      <c r="K289" s="81" t="n">
        <v>1</v>
      </c>
      <c r="L289" s="84" t="n">
        <f aca="false">IFERROR(INDEX(p_Price,MATCH($F289,p_ID,0)),0)</f>
        <v>600</v>
      </c>
      <c r="M289" s="85" t="n">
        <v>0.15</v>
      </c>
      <c r="N289" s="81" t="s">
        <v>644</v>
      </c>
      <c r="O289" s="84" t="n">
        <f aca="false">IF($N289="مرتجع",0,K289*L289*(1-M289))</f>
        <v>510</v>
      </c>
      <c r="P289" s="84" t="n">
        <f aca="false">IF($N289="مرتجع",0,K289*IFERROR(INDEX(p_Cost,MATCH($F289,p_ID,0)),0))</f>
        <v>330</v>
      </c>
      <c r="Q289" s="84" t="n">
        <f aca="false">O289-P289</f>
        <v>180</v>
      </c>
      <c r="R289" s="86" t="n">
        <f aca="false">DATE(YEAR(B289),MONTH(B289),1)</f>
        <v>45962</v>
      </c>
      <c r="S289" s="83" t="str">
        <f aca="false">YEAR(B289)&amp;"-Q"&amp;ROUNDUP(MONTH(B289)/3,0)</f>
        <v>2025-Q4</v>
      </c>
      <c r="T289" s="87" t="n">
        <f aca="false">IF(O289&gt;0,Q289/O289,"")</f>
        <v>0.352941176470588</v>
      </c>
      <c r="U289" s="84" t="n">
        <f aca="false">IF(O289&gt;0,O289,"")</f>
        <v>510</v>
      </c>
    </row>
    <row r="290" customFormat="false" ht="15" hidden="false" customHeight="false" outlineLevel="0" collapsed="false">
      <c r="A290" s="81" t="s">
        <v>933</v>
      </c>
      <c r="B290" s="82" t="n">
        <v>45991</v>
      </c>
      <c r="C290" s="81" t="s">
        <v>404</v>
      </c>
      <c r="D290" s="83" t="str">
        <f aca="false">IFERROR(INDEX(c_Name,MATCH($C290,c_ID,0)),"غير معرّف")</f>
        <v>عبدالله الحسيني</v>
      </c>
      <c r="E290" s="83" t="str">
        <f aca="false">IFERROR(INDEX(c_Region,MATCH($C290,c_ID,0)),"غير معرّف")</f>
        <v>الشرقية</v>
      </c>
      <c r="F290" s="81" t="s">
        <v>174</v>
      </c>
      <c r="G290" s="83" t="str">
        <f aca="false">IFERROR(INDEX(p_Name,MATCH($F290,p_ID,0)),"غير معرّف")</f>
        <v>خزانة ملفات</v>
      </c>
      <c r="H290" s="83" t="str">
        <f aca="false">IFERROR(INDEX(p_Cat,MATCH($F290,p_ID,0)),"غير معرّف")</f>
        <v>أثاث</v>
      </c>
      <c r="I290" s="81" t="s">
        <v>463</v>
      </c>
      <c r="J290" s="81" t="s">
        <v>91</v>
      </c>
      <c r="K290" s="81" t="n">
        <v>1</v>
      </c>
      <c r="L290" s="84" t="n">
        <f aca="false">IFERROR(INDEX(p_Price,MATCH($F290,p_ID,0)),0)</f>
        <v>700</v>
      </c>
      <c r="M290" s="85" t="n">
        <v>0.1</v>
      </c>
      <c r="N290" s="81" t="s">
        <v>644</v>
      </c>
      <c r="O290" s="84" t="n">
        <f aca="false">IF($N290="مرتجع",0,K290*L290*(1-M290))</f>
        <v>630</v>
      </c>
      <c r="P290" s="84" t="n">
        <f aca="false">IF($N290="مرتجع",0,K290*IFERROR(INDEX(p_Cost,MATCH($F290,p_ID,0)),0))</f>
        <v>410</v>
      </c>
      <c r="Q290" s="84" t="n">
        <f aca="false">O290-P290</f>
        <v>220</v>
      </c>
      <c r="R290" s="86" t="n">
        <f aca="false">DATE(YEAR(B290),MONTH(B290),1)</f>
        <v>45962</v>
      </c>
      <c r="S290" s="83" t="str">
        <f aca="false">YEAR(B290)&amp;"-Q"&amp;ROUNDUP(MONTH(B290)/3,0)</f>
        <v>2025-Q4</v>
      </c>
      <c r="T290" s="87" t="n">
        <f aca="false">IF(O290&gt;0,Q290/O290,"")</f>
        <v>0.349206349206349</v>
      </c>
      <c r="U290" s="84" t="n">
        <f aca="false">IF(O290&gt;0,O290,"")</f>
        <v>630</v>
      </c>
    </row>
    <row r="291" customFormat="false" ht="15" hidden="false" customHeight="false" outlineLevel="0" collapsed="false">
      <c r="A291" s="81" t="s">
        <v>934</v>
      </c>
      <c r="B291" s="82" t="n">
        <v>45991</v>
      </c>
      <c r="C291" s="81" t="s">
        <v>266</v>
      </c>
      <c r="D291" s="83" t="str">
        <f aca="false">IFERROR(INDEX(c_Name,MATCH($C291,c_ID,0)),"غير معرّف")</f>
        <v>ياسر الشهري</v>
      </c>
      <c r="E291" s="83" t="str">
        <f aca="false">IFERROR(INDEX(c_Region,MATCH($C291,c_ID,0)),"غير معرّف")</f>
        <v>الوسطى</v>
      </c>
      <c r="F291" s="81" t="s">
        <v>169</v>
      </c>
      <c r="G291" s="83" t="str">
        <f aca="false">IFERROR(INDEX(p_Name,MATCH($F291,p_ID,0)),"غير معرّف")</f>
        <v>خلاط</v>
      </c>
      <c r="H291" s="83" t="str">
        <f aca="false">IFERROR(INDEX(p_Cat,MATCH($F291,p_ID,0)),"غير معرّف")</f>
        <v>أجهزة منزلية</v>
      </c>
      <c r="I291" s="81" t="s">
        <v>443</v>
      </c>
      <c r="J291" s="81" t="s">
        <v>91</v>
      </c>
      <c r="K291" s="81" t="n">
        <v>1</v>
      </c>
      <c r="L291" s="84" t="n">
        <f aca="false">IFERROR(INDEX(p_Price,MATCH($F291,p_ID,0)),0)</f>
        <v>300</v>
      </c>
      <c r="M291" s="85" t="n">
        <v>0.15</v>
      </c>
      <c r="N291" s="81" t="s">
        <v>644</v>
      </c>
      <c r="O291" s="84" t="n">
        <f aca="false">IF($N291="مرتجع",0,K291*L291*(1-M291))</f>
        <v>255</v>
      </c>
      <c r="P291" s="84" t="n">
        <f aca="false">IF($N291="مرتجع",0,K291*IFERROR(INDEX(p_Cost,MATCH($F291,p_ID,0)),0))</f>
        <v>175</v>
      </c>
      <c r="Q291" s="84" t="n">
        <f aca="false">O291-P291</f>
        <v>80</v>
      </c>
      <c r="R291" s="86" t="n">
        <f aca="false">DATE(YEAR(B291),MONTH(B291),1)</f>
        <v>45962</v>
      </c>
      <c r="S291" s="83" t="str">
        <f aca="false">YEAR(B291)&amp;"-Q"&amp;ROUNDUP(MONTH(B291)/3,0)</f>
        <v>2025-Q4</v>
      </c>
      <c r="T291" s="87" t="n">
        <f aca="false">IF(O291&gt;0,Q291/O291,"")</f>
        <v>0.313725490196078</v>
      </c>
      <c r="U291" s="84" t="n">
        <f aca="false">IF(O291&gt;0,O291,"")</f>
        <v>255</v>
      </c>
    </row>
    <row r="292" customFormat="false" ht="15" hidden="false" customHeight="false" outlineLevel="0" collapsed="false">
      <c r="A292" s="81" t="s">
        <v>935</v>
      </c>
      <c r="B292" s="82" t="n">
        <v>45991</v>
      </c>
      <c r="C292" s="81" t="s">
        <v>287</v>
      </c>
      <c r="D292" s="83" t="str">
        <f aca="false">IFERROR(INDEX(c_Name,MATCH($C292,c_ID,0)),"غير معرّف")</f>
        <v>محمد الشهري</v>
      </c>
      <c r="E292" s="83" t="str">
        <f aca="false">IFERROR(INDEX(c_Region,MATCH($C292,c_ID,0)),"غير معرّف")</f>
        <v>الغربية</v>
      </c>
      <c r="F292" s="81" t="s">
        <v>187</v>
      </c>
      <c r="G292" s="83" t="str">
        <f aca="false">IFERROR(INDEX(p_Name,MATCH($F292,p_ID,0)),"غير معرّف")</f>
        <v>جهاز تدليك</v>
      </c>
      <c r="H292" s="83" t="str">
        <f aca="false">IFERROR(INDEX(p_Cat,MATCH($F292,p_ID,0)),"غير معرّف")</f>
        <v>عناية شخصية</v>
      </c>
      <c r="I292" s="81" t="s">
        <v>455</v>
      </c>
      <c r="J292" s="81" t="s">
        <v>93</v>
      </c>
      <c r="K292" s="81" t="n">
        <v>6</v>
      </c>
      <c r="L292" s="84" t="n">
        <f aca="false">IFERROR(INDEX(p_Price,MATCH($F292,p_ID,0)),0)</f>
        <v>600</v>
      </c>
      <c r="M292" s="85" t="n">
        <v>0.1</v>
      </c>
      <c r="N292" s="81" t="s">
        <v>644</v>
      </c>
      <c r="O292" s="84" t="n">
        <f aca="false">IF($N292="مرتجع",0,K292*L292*(1-M292))</f>
        <v>3240</v>
      </c>
      <c r="P292" s="84" t="n">
        <f aca="false">IF($N292="مرتجع",0,K292*IFERROR(INDEX(p_Cost,MATCH($F292,p_ID,0)),0))</f>
        <v>1980</v>
      </c>
      <c r="Q292" s="84" t="n">
        <f aca="false">O292-P292</f>
        <v>1260</v>
      </c>
      <c r="R292" s="86" t="n">
        <f aca="false">DATE(YEAR(B292),MONTH(B292),1)</f>
        <v>45962</v>
      </c>
      <c r="S292" s="83" t="str">
        <f aca="false">YEAR(B292)&amp;"-Q"&amp;ROUNDUP(MONTH(B292)/3,0)</f>
        <v>2025-Q4</v>
      </c>
      <c r="T292" s="87" t="n">
        <f aca="false">IF(O292&gt;0,Q292/O292,"")</f>
        <v>0.388888888888889</v>
      </c>
      <c r="U292" s="84" t="n">
        <f aca="false">IF(O292&gt;0,O292,"")</f>
        <v>3240</v>
      </c>
    </row>
    <row r="293" customFormat="false" ht="15" hidden="false" customHeight="false" outlineLevel="0" collapsed="false">
      <c r="A293" s="81" t="s">
        <v>936</v>
      </c>
      <c r="B293" s="82" t="n">
        <v>45991</v>
      </c>
      <c r="C293" s="81" t="s">
        <v>235</v>
      </c>
      <c r="D293" s="83" t="str">
        <f aca="false">IFERROR(INDEX(c_Name,MATCH($C293,c_ID,0)),"غير معرّف")</f>
        <v>ليلى الزهراني</v>
      </c>
      <c r="E293" s="83" t="str">
        <f aca="false">IFERROR(INDEX(c_Region,MATCH($C293,c_ID,0)),"غير معرّف")</f>
        <v>الشرقية</v>
      </c>
      <c r="F293" s="81" t="s">
        <v>185</v>
      </c>
      <c r="G293" s="83" t="str">
        <f aca="false">IFERROR(INDEX(p_Name,MATCH($F293,p_ID,0)),"غير معرّف")</f>
        <v>ماكينة حلاقة</v>
      </c>
      <c r="H293" s="83" t="str">
        <f aca="false">IFERROR(INDEX(p_Cat,MATCH($F293,p_ID,0)),"غير معرّف")</f>
        <v>عناية شخصية</v>
      </c>
      <c r="I293" s="81" t="s">
        <v>463</v>
      </c>
      <c r="J293" s="81" t="s">
        <v>91</v>
      </c>
      <c r="K293" s="81" t="n">
        <v>1</v>
      </c>
      <c r="L293" s="84" t="n">
        <f aca="false">IFERROR(INDEX(p_Price,MATCH($F293,p_ID,0)),0)</f>
        <v>340</v>
      </c>
      <c r="M293" s="85" t="n">
        <v>0.15</v>
      </c>
      <c r="N293" s="81" t="s">
        <v>644</v>
      </c>
      <c r="O293" s="84" t="n">
        <f aca="false">IF($N293="مرتجع",0,K293*L293*(1-M293))</f>
        <v>289</v>
      </c>
      <c r="P293" s="84" t="n">
        <f aca="false">IF($N293="مرتجع",0,K293*IFERROR(INDEX(p_Cost,MATCH($F293,p_ID,0)),0))</f>
        <v>170</v>
      </c>
      <c r="Q293" s="84" t="n">
        <f aca="false">O293-P293</f>
        <v>119</v>
      </c>
      <c r="R293" s="86" t="n">
        <f aca="false">DATE(YEAR(B293),MONTH(B293),1)</f>
        <v>45962</v>
      </c>
      <c r="S293" s="83" t="str">
        <f aca="false">YEAR(B293)&amp;"-Q"&amp;ROUNDUP(MONTH(B293)/3,0)</f>
        <v>2025-Q4</v>
      </c>
      <c r="T293" s="87" t="n">
        <f aca="false">IF(O293&gt;0,Q293/O293,"")</f>
        <v>0.411764705882353</v>
      </c>
      <c r="U293" s="84" t="n">
        <f aca="false">IF(O293&gt;0,O293,"")</f>
        <v>289</v>
      </c>
    </row>
    <row r="294" customFormat="false" ht="15" hidden="false" customHeight="false" outlineLevel="0" collapsed="false">
      <c r="A294" s="81" t="s">
        <v>937</v>
      </c>
      <c r="B294" s="82" t="n">
        <v>45992</v>
      </c>
      <c r="C294" s="81" t="s">
        <v>394</v>
      </c>
      <c r="D294" s="83" t="str">
        <f aca="false">IFERROR(INDEX(c_Name,MATCH($C294,c_ID,0)),"غير معرّف")</f>
        <v>طارق الغامدي</v>
      </c>
      <c r="E294" s="83" t="str">
        <f aca="false">IFERROR(INDEX(c_Region,MATCH($C294,c_ID,0)),"غير معرّف")</f>
        <v>الشرقية</v>
      </c>
      <c r="F294" s="81" t="s">
        <v>183</v>
      </c>
      <c r="G294" s="83" t="str">
        <f aca="false">IFERROR(INDEX(p_Name,MATCH($F294,p_ID,0)),"غير معرّف")</f>
        <v>سجادة يوغا</v>
      </c>
      <c r="H294" s="83" t="str">
        <f aca="false">IFERROR(INDEX(p_Cat,MATCH($F294,p_ID,0)),"غير معرّف")</f>
        <v>رياضة</v>
      </c>
      <c r="I294" s="81" t="s">
        <v>463</v>
      </c>
      <c r="J294" s="81" t="s">
        <v>91</v>
      </c>
      <c r="K294" s="81" t="n">
        <v>2</v>
      </c>
      <c r="L294" s="84" t="n">
        <f aca="false">IFERROR(INDEX(p_Price,MATCH($F294,p_ID,0)),0)</f>
        <v>120</v>
      </c>
      <c r="M294" s="85" t="n">
        <v>0.05</v>
      </c>
      <c r="N294" s="81" t="s">
        <v>644</v>
      </c>
      <c r="O294" s="84" t="n">
        <f aca="false">IF($N294="مرتجع",0,K294*L294*(1-M294))</f>
        <v>228</v>
      </c>
      <c r="P294" s="84" t="n">
        <f aca="false">IF($N294="مرتجع",0,K294*IFERROR(INDEX(p_Cost,MATCH($F294,p_ID,0)),0))</f>
        <v>100</v>
      </c>
      <c r="Q294" s="84" t="n">
        <f aca="false">O294-P294</f>
        <v>128</v>
      </c>
      <c r="R294" s="86" t="n">
        <f aca="false">DATE(YEAR(B294),MONTH(B294),1)</f>
        <v>45992</v>
      </c>
      <c r="S294" s="83" t="str">
        <f aca="false">YEAR(B294)&amp;"-Q"&amp;ROUNDUP(MONTH(B294)/3,0)</f>
        <v>2025-Q4</v>
      </c>
      <c r="T294" s="87" t="n">
        <f aca="false">IF(O294&gt;0,Q294/O294,"")</f>
        <v>0.56140350877193</v>
      </c>
      <c r="U294" s="84" t="n">
        <f aca="false">IF(O294&gt;0,O294,"")</f>
        <v>228</v>
      </c>
    </row>
    <row r="295" customFormat="false" ht="15" hidden="false" customHeight="false" outlineLevel="0" collapsed="false">
      <c r="A295" s="81" t="s">
        <v>938</v>
      </c>
      <c r="B295" s="82" t="n">
        <v>45992</v>
      </c>
      <c r="C295" s="81" t="s">
        <v>420</v>
      </c>
      <c r="D295" s="83" t="str">
        <f aca="false">IFERROR(INDEX(c_Name,MATCH($C295,c_ID,0)),"غير معرّف")</f>
        <v>عبدالله الدوسري</v>
      </c>
      <c r="E295" s="83" t="str">
        <f aca="false">IFERROR(INDEX(c_Region,MATCH($C295,c_ID,0)),"غير معرّف")</f>
        <v>الجنوبية</v>
      </c>
      <c r="F295" s="81" t="s">
        <v>183</v>
      </c>
      <c r="G295" s="83" t="str">
        <f aca="false">IFERROR(INDEX(p_Name,MATCH($F295,p_ID,0)),"غير معرّف")</f>
        <v>سجادة يوغا</v>
      </c>
      <c r="H295" s="83" t="str">
        <f aca="false">IFERROR(INDEX(p_Cat,MATCH($F295,p_ID,0)),"غير معرّف")</f>
        <v>رياضة</v>
      </c>
      <c r="I295" s="81" t="s">
        <v>465</v>
      </c>
      <c r="J295" s="81" t="s">
        <v>91</v>
      </c>
      <c r="K295" s="81" t="n">
        <v>2</v>
      </c>
      <c r="L295" s="84" t="n">
        <f aca="false">IFERROR(INDEX(p_Price,MATCH($F295,p_ID,0)),0)</f>
        <v>120</v>
      </c>
      <c r="M295" s="85" t="n">
        <v>0.1</v>
      </c>
      <c r="N295" s="81" t="s">
        <v>644</v>
      </c>
      <c r="O295" s="84" t="n">
        <f aca="false">IF($N295="مرتجع",0,K295*L295*(1-M295))</f>
        <v>216</v>
      </c>
      <c r="P295" s="84" t="n">
        <f aca="false">IF($N295="مرتجع",0,K295*IFERROR(INDEX(p_Cost,MATCH($F295,p_ID,0)),0))</f>
        <v>100</v>
      </c>
      <c r="Q295" s="84" t="n">
        <f aca="false">O295-P295</f>
        <v>116</v>
      </c>
      <c r="R295" s="86" t="n">
        <f aca="false">DATE(YEAR(B295),MONTH(B295),1)</f>
        <v>45992</v>
      </c>
      <c r="S295" s="83" t="str">
        <f aca="false">YEAR(B295)&amp;"-Q"&amp;ROUNDUP(MONTH(B295)/3,0)</f>
        <v>2025-Q4</v>
      </c>
      <c r="T295" s="87" t="n">
        <f aca="false">IF(O295&gt;0,Q295/O295,"")</f>
        <v>0.537037037037037</v>
      </c>
      <c r="U295" s="84" t="n">
        <f aca="false">IF(O295&gt;0,O295,"")</f>
        <v>216</v>
      </c>
    </row>
    <row r="296" customFormat="false" ht="15" hidden="false" customHeight="false" outlineLevel="0" collapsed="false">
      <c r="A296" s="81" t="s">
        <v>939</v>
      </c>
      <c r="B296" s="82" t="n">
        <v>45992</v>
      </c>
      <c r="C296" s="81" t="s">
        <v>369</v>
      </c>
      <c r="D296" s="83" t="str">
        <f aca="false">IFERROR(INDEX(c_Name,MATCH($C296,c_ID,0)),"غير معرّف")</f>
        <v>منى الغامدي</v>
      </c>
      <c r="E296" s="83" t="str">
        <f aca="false">IFERROR(INDEX(c_Region,MATCH($C296,c_ID,0)),"غير معرّف")</f>
        <v>الوسطى</v>
      </c>
      <c r="F296" s="81" t="s">
        <v>175</v>
      </c>
      <c r="G296" s="83" t="str">
        <f aca="false">IFERROR(INDEX(p_Name,MATCH($F296,p_ID,0)),"غير معرّف")</f>
        <v>رف كتب</v>
      </c>
      <c r="H296" s="83" t="str">
        <f aca="false">IFERROR(INDEX(p_Cat,MATCH($F296,p_ID,0)),"غير معرّف")</f>
        <v>أثاث</v>
      </c>
      <c r="I296" s="81" t="s">
        <v>446</v>
      </c>
      <c r="J296" s="81" t="s">
        <v>93</v>
      </c>
      <c r="K296" s="81" t="n">
        <v>2</v>
      </c>
      <c r="L296" s="84" t="n">
        <f aca="false">IFERROR(INDEX(p_Price,MATCH($F296,p_ID,0)),0)</f>
        <v>400</v>
      </c>
      <c r="M296" s="85" t="n">
        <v>0</v>
      </c>
      <c r="N296" s="81" t="s">
        <v>644</v>
      </c>
      <c r="O296" s="84" t="n">
        <f aca="false">IF($N296="مرتجع",0,K296*L296*(1-M296))</f>
        <v>800</v>
      </c>
      <c r="P296" s="84" t="n">
        <f aca="false">IF($N296="مرتجع",0,K296*IFERROR(INDEX(p_Cost,MATCH($F296,p_ID,0)),0))</f>
        <v>440</v>
      </c>
      <c r="Q296" s="84" t="n">
        <f aca="false">O296-P296</f>
        <v>360</v>
      </c>
      <c r="R296" s="86" t="n">
        <f aca="false">DATE(YEAR(B296),MONTH(B296),1)</f>
        <v>45992</v>
      </c>
      <c r="S296" s="83" t="str">
        <f aca="false">YEAR(B296)&amp;"-Q"&amp;ROUNDUP(MONTH(B296)/3,0)</f>
        <v>2025-Q4</v>
      </c>
      <c r="T296" s="87" t="n">
        <f aca="false">IF(O296&gt;0,Q296/O296,"")</f>
        <v>0.45</v>
      </c>
      <c r="U296" s="84" t="n">
        <f aca="false">IF(O296&gt;0,O296,"")</f>
        <v>800</v>
      </c>
    </row>
    <row r="297" customFormat="false" ht="15" hidden="false" customHeight="false" outlineLevel="0" collapsed="false">
      <c r="A297" s="81" t="s">
        <v>940</v>
      </c>
      <c r="B297" s="82" t="n">
        <v>45992</v>
      </c>
      <c r="C297" s="81" t="s">
        <v>429</v>
      </c>
      <c r="D297" s="83" t="str">
        <f aca="false">IFERROR(INDEX(c_Name,MATCH($C297,c_ID,0)),"غير معرّف")</f>
        <v>سعد الحربي</v>
      </c>
      <c r="E297" s="83" t="str">
        <f aca="false">IFERROR(INDEX(c_Region,MATCH($C297,c_ID,0)),"غير معرّف")</f>
        <v>الغربية</v>
      </c>
      <c r="F297" s="81" t="s">
        <v>164</v>
      </c>
      <c r="G297" s="83" t="str">
        <f aca="false">IFERROR(INDEX(p_Name,MATCH($F297,p_ID,0)),"غير معرّف")</f>
        <v>هاتف ذكي</v>
      </c>
      <c r="H297" s="83" t="str">
        <f aca="false">IFERROR(INDEX(p_Cat,MATCH($F297,p_ID,0)),"غير معرّف")</f>
        <v>إلكترونيات</v>
      </c>
      <c r="I297" s="81" t="s">
        <v>458</v>
      </c>
      <c r="J297" s="81" t="s">
        <v>93</v>
      </c>
      <c r="K297" s="81" t="n">
        <v>1</v>
      </c>
      <c r="L297" s="84" t="n">
        <f aca="false">IFERROR(INDEX(p_Price,MATCH($F297,p_ID,0)),0)</f>
        <v>2400</v>
      </c>
      <c r="M297" s="85" t="n">
        <v>0.05</v>
      </c>
      <c r="N297" s="81" t="s">
        <v>650</v>
      </c>
      <c r="O297" s="84" t="n">
        <f aca="false">IF($N297="مرتجع",0,K297*L297*(1-M297))</f>
        <v>0</v>
      </c>
      <c r="P297" s="84" t="n">
        <f aca="false">IF($N297="مرتجع",0,K297*IFERROR(INDEX(p_Cost,MATCH($F297,p_ID,0)),0))</f>
        <v>0</v>
      </c>
      <c r="Q297" s="84" t="n">
        <f aca="false">O297-P297</f>
        <v>0</v>
      </c>
      <c r="R297" s="86" t="n">
        <f aca="false">DATE(YEAR(B297),MONTH(B297),1)</f>
        <v>45992</v>
      </c>
      <c r="S297" s="83" t="str">
        <f aca="false">YEAR(B297)&amp;"-Q"&amp;ROUNDUP(MONTH(B297)/3,0)</f>
        <v>2025-Q4</v>
      </c>
      <c r="T297" s="87" t="str">
        <f aca="false">IF(O297&gt;0,Q297/O297,"")</f>
        <v/>
      </c>
      <c r="U297" s="84" t="str">
        <f aca="false">IF(O297&gt;0,O297,"")</f>
        <v/>
      </c>
    </row>
    <row r="298" customFormat="false" ht="15" hidden="false" customHeight="false" outlineLevel="0" collapsed="false">
      <c r="A298" s="81" t="s">
        <v>941</v>
      </c>
      <c r="B298" s="82" t="n">
        <v>45992</v>
      </c>
      <c r="C298" s="81" t="s">
        <v>356</v>
      </c>
      <c r="D298" s="83" t="str">
        <f aca="false">IFERROR(INDEX(c_Name,MATCH($C298,c_ID,0)),"غير معرّف")</f>
        <v>هند البلوي</v>
      </c>
      <c r="E298" s="83" t="str">
        <f aca="false">IFERROR(INDEX(c_Region,MATCH($C298,c_ID,0)),"غير معرّف")</f>
        <v>الغربية</v>
      </c>
      <c r="F298" s="81" t="s">
        <v>183</v>
      </c>
      <c r="G298" s="83" t="str">
        <f aca="false">IFERROR(INDEX(p_Name,MATCH($F298,p_ID,0)),"غير معرّف")</f>
        <v>سجادة يوغا</v>
      </c>
      <c r="H298" s="83" t="str">
        <f aca="false">IFERROR(INDEX(p_Cat,MATCH($F298,p_ID,0)),"غير معرّف")</f>
        <v>رياضة</v>
      </c>
      <c r="I298" s="81" t="s">
        <v>458</v>
      </c>
      <c r="J298" s="81" t="s">
        <v>91</v>
      </c>
      <c r="K298" s="81" t="n">
        <v>1</v>
      </c>
      <c r="L298" s="84" t="n">
        <f aca="false">IFERROR(INDEX(p_Price,MATCH($F298,p_ID,0)),0)</f>
        <v>120</v>
      </c>
      <c r="M298" s="85" t="n">
        <v>0</v>
      </c>
      <c r="N298" s="81" t="s">
        <v>644</v>
      </c>
      <c r="O298" s="84" t="n">
        <f aca="false">IF($N298="مرتجع",0,K298*L298*(1-M298))</f>
        <v>120</v>
      </c>
      <c r="P298" s="84" t="n">
        <f aca="false">IF($N298="مرتجع",0,K298*IFERROR(INDEX(p_Cost,MATCH($F298,p_ID,0)),0))</f>
        <v>50</v>
      </c>
      <c r="Q298" s="84" t="n">
        <f aca="false">O298-P298</f>
        <v>70</v>
      </c>
      <c r="R298" s="86" t="n">
        <f aca="false">DATE(YEAR(B298),MONTH(B298),1)</f>
        <v>45992</v>
      </c>
      <c r="S298" s="83" t="str">
        <f aca="false">YEAR(B298)&amp;"-Q"&amp;ROUNDUP(MONTH(B298)/3,0)</f>
        <v>2025-Q4</v>
      </c>
      <c r="T298" s="87" t="n">
        <f aca="false">IF(O298&gt;0,Q298/O298,"")</f>
        <v>0.583333333333333</v>
      </c>
      <c r="U298" s="84" t="n">
        <f aca="false">IF(O298&gt;0,O298,"")</f>
        <v>120</v>
      </c>
    </row>
    <row r="299" customFormat="false" ht="15" hidden="false" customHeight="false" outlineLevel="0" collapsed="false">
      <c r="A299" s="81" t="s">
        <v>942</v>
      </c>
      <c r="B299" s="82" t="n">
        <v>45992</v>
      </c>
      <c r="C299" s="81" t="s">
        <v>326</v>
      </c>
      <c r="D299" s="83" t="str">
        <f aca="false">IFERROR(INDEX(c_Name,MATCH($C299,c_ID,0)),"غير معرّف")</f>
        <v>دانة القحطاني</v>
      </c>
      <c r="E299" s="83" t="str">
        <f aca="false">IFERROR(INDEX(c_Region,MATCH($C299,c_ID,0)),"غير معرّف")</f>
        <v>الوسطى</v>
      </c>
      <c r="F299" s="81" t="s">
        <v>178</v>
      </c>
      <c r="G299" s="83" t="str">
        <f aca="false">IFERROR(INDEX(p_Name,MATCH($F299,p_ID,0)),"غير معرّف")</f>
        <v>حقيبة لابتوب</v>
      </c>
      <c r="H299" s="83" t="str">
        <f aca="false">IFERROR(INDEX(p_Cat,MATCH($F299,p_ID,0)),"غير معرّف")</f>
        <v>مستلزمات مكتبية</v>
      </c>
      <c r="I299" s="81" t="s">
        <v>446</v>
      </c>
      <c r="J299" s="81" t="s">
        <v>91</v>
      </c>
      <c r="K299" s="81" t="n">
        <v>1</v>
      </c>
      <c r="L299" s="84" t="n">
        <f aca="false">IFERROR(INDEX(p_Price,MATCH($F299,p_ID,0)),0)</f>
        <v>260</v>
      </c>
      <c r="M299" s="85" t="n">
        <v>0</v>
      </c>
      <c r="N299" s="81" t="s">
        <v>644</v>
      </c>
      <c r="O299" s="84" t="n">
        <f aca="false">IF($N299="مرتجع",0,K299*L299*(1-M299))</f>
        <v>260</v>
      </c>
      <c r="P299" s="84" t="n">
        <f aca="false">IF($N299="مرتجع",0,K299*IFERROR(INDEX(p_Cost,MATCH($F299,p_ID,0)),0))</f>
        <v>120</v>
      </c>
      <c r="Q299" s="84" t="n">
        <f aca="false">O299-P299</f>
        <v>140</v>
      </c>
      <c r="R299" s="86" t="n">
        <f aca="false">DATE(YEAR(B299),MONTH(B299),1)</f>
        <v>45992</v>
      </c>
      <c r="S299" s="83" t="str">
        <f aca="false">YEAR(B299)&amp;"-Q"&amp;ROUNDUP(MONTH(B299)/3,0)</f>
        <v>2025-Q4</v>
      </c>
      <c r="T299" s="87" t="n">
        <f aca="false">IF(O299&gt;0,Q299/O299,"")</f>
        <v>0.538461538461538</v>
      </c>
      <c r="U299" s="84" t="n">
        <f aca="false">IF(O299&gt;0,O299,"")</f>
        <v>260</v>
      </c>
    </row>
    <row r="300" customFormat="false" ht="15" hidden="false" customHeight="false" outlineLevel="0" collapsed="false">
      <c r="A300" s="81" t="s">
        <v>943</v>
      </c>
      <c r="B300" s="82" t="n">
        <v>45993</v>
      </c>
      <c r="C300" s="81" t="s">
        <v>292</v>
      </c>
      <c r="D300" s="83" t="str">
        <f aca="false">IFERROR(INDEX(c_Name,MATCH($C300,c_ID,0)),"غير معرّف")</f>
        <v>نورة المطيري</v>
      </c>
      <c r="E300" s="83" t="str">
        <f aca="false">IFERROR(INDEX(c_Region,MATCH($C300,c_ID,0)),"غير معرّف")</f>
        <v>الوسطى</v>
      </c>
      <c r="F300" s="81" t="s">
        <v>166</v>
      </c>
      <c r="G300" s="83" t="str">
        <f aca="false">IFERROR(INDEX(p_Name,MATCH($F300,p_ID,0)),"غير معرّف")</f>
        <v>سماعات لاسلكية</v>
      </c>
      <c r="H300" s="83" t="str">
        <f aca="false">IFERROR(INDEX(p_Cat,MATCH($F300,p_ID,0)),"غير معرّف")</f>
        <v>إلكترونيات</v>
      </c>
      <c r="I300" s="81" t="s">
        <v>449</v>
      </c>
      <c r="J300" s="81" t="s">
        <v>93</v>
      </c>
      <c r="K300" s="81" t="n">
        <v>1</v>
      </c>
      <c r="L300" s="84" t="n">
        <f aca="false">IFERROR(INDEX(p_Price,MATCH($F300,p_ID,0)),0)</f>
        <v>450</v>
      </c>
      <c r="M300" s="85" t="n">
        <v>0</v>
      </c>
      <c r="N300" s="81" t="s">
        <v>644</v>
      </c>
      <c r="O300" s="84" t="n">
        <f aca="false">IF($N300="مرتجع",0,K300*L300*(1-M300))</f>
        <v>450</v>
      </c>
      <c r="P300" s="84" t="n">
        <f aca="false">IF($N300="مرتجع",0,K300*IFERROR(INDEX(p_Cost,MATCH($F300,p_ID,0)),0))</f>
        <v>260</v>
      </c>
      <c r="Q300" s="84" t="n">
        <f aca="false">O300-P300</f>
        <v>190</v>
      </c>
      <c r="R300" s="86" t="n">
        <f aca="false">DATE(YEAR(B300),MONTH(B300),1)</f>
        <v>45992</v>
      </c>
      <c r="S300" s="83" t="str">
        <f aca="false">YEAR(B300)&amp;"-Q"&amp;ROUNDUP(MONTH(B300)/3,0)</f>
        <v>2025-Q4</v>
      </c>
      <c r="T300" s="87" t="n">
        <f aca="false">IF(O300&gt;0,Q300/O300,"")</f>
        <v>0.422222222222222</v>
      </c>
      <c r="U300" s="84" t="n">
        <f aca="false">IF(O300&gt;0,O300,"")</f>
        <v>450</v>
      </c>
    </row>
    <row r="301" customFormat="false" ht="15" hidden="false" customHeight="false" outlineLevel="0" collapsed="false">
      <c r="A301" s="81" t="s">
        <v>944</v>
      </c>
      <c r="B301" s="82" t="n">
        <v>45993</v>
      </c>
      <c r="C301" s="81" t="s">
        <v>394</v>
      </c>
      <c r="D301" s="83" t="str">
        <f aca="false">IFERROR(INDEX(c_Name,MATCH($C301,c_ID,0)),"غير معرّف")</f>
        <v>طارق الغامدي</v>
      </c>
      <c r="E301" s="83" t="str">
        <f aca="false">IFERROR(INDEX(c_Region,MATCH($C301,c_ID,0)),"غير معرّف")</f>
        <v>الشرقية</v>
      </c>
      <c r="F301" s="81" t="s">
        <v>166</v>
      </c>
      <c r="G301" s="83" t="str">
        <f aca="false">IFERROR(INDEX(p_Name,MATCH($F301,p_ID,0)),"غير معرّف")</f>
        <v>سماعات لاسلكية</v>
      </c>
      <c r="H301" s="83" t="str">
        <f aca="false">IFERROR(INDEX(p_Cat,MATCH($F301,p_ID,0)),"غير معرّف")</f>
        <v>إلكترونيات</v>
      </c>
      <c r="I301" s="81" t="s">
        <v>463</v>
      </c>
      <c r="J301" s="81" t="s">
        <v>91</v>
      </c>
      <c r="K301" s="81" t="n">
        <v>1</v>
      </c>
      <c r="L301" s="84" t="n">
        <f aca="false">IFERROR(INDEX(p_Price,MATCH($F301,p_ID,0)),0)</f>
        <v>450</v>
      </c>
      <c r="M301" s="85" t="n">
        <v>0.1</v>
      </c>
      <c r="N301" s="81" t="s">
        <v>644</v>
      </c>
      <c r="O301" s="84" t="n">
        <f aca="false">IF($N301="مرتجع",0,K301*L301*(1-M301))</f>
        <v>405</v>
      </c>
      <c r="P301" s="84" t="n">
        <f aca="false">IF($N301="مرتجع",0,K301*IFERROR(INDEX(p_Cost,MATCH($F301,p_ID,0)),0))</f>
        <v>260</v>
      </c>
      <c r="Q301" s="84" t="n">
        <f aca="false">O301-P301</f>
        <v>145</v>
      </c>
      <c r="R301" s="86" t="n">
        <f aca="false">DATE(YEAR(B301),MONTH(B301),1)</f>
        <v>45992</v>
      </c>
      <c r="S301" s="83" t="str">
        <f aca="false">YEAR(B301)&amp;"-Q"&amp;ROUNDUP(MONTH(B301)/3,0)</f>
        <v>2025-Q4</v>
      </c>
      <c r="T301" s="87" t="n">
        <f aca="false">IF(O301&gt;0,Q301/O301,"")</f>
        <v>0.358024691358025</v>
      </c>
      <c r="U301" s="84" t="n">
        <f aca="false">IF(O301&gt;0,O301,"")</f>
        <v>405</v>
      </c>
    </row>
    <row r="302" customFormat="false" ht="15" hidden="false" customHeight="false" outlineLevel="0" collapsed="false">
      <c r="A302" s="81" t="s">
        <v>945</v>
      </c>
      <c r="B302" s="82" t="n">
        <v>45994</v>
      </c>
      <c r="C302" s="81" t="s">
        <v>339</v>
      </c>
      <c r="D302" s="83" t="str">
        <f aca="false">IFERROR(INDEX(c_Name,MATCH($C302,c_ID,0)),"غير معرّف")</f>
        <v>خالد السبيعي</v>
      </c>
      <c r="E302" s="83" t="str">
        <f aca="false">IFERROR(INDEX(c_Region,MATCH($C302,c_ID,0)),"غير معرّف")</f>
        <v>الجنوبية</v>
      </c>
      <c r="F302" s="81" t="s">
        <v>179</v>
      </c>
      <c r="G302" s="83" t="str">
        <f aca="false">IFERROR(INDEX(p_Name,MATCH($F302,p_ID,0)),"غير معرّف")</f>
        <v>طقم أدوات مكتبية</v>
      </c>
      <c r="H302" s="83" t="str">
        <f aca="false">IFERROR(INDEX(p_Cat,MATCH($F302,p_ID,0)),"غير معرّف")</f>
        <v>مستلزمات مكتبية</v>
      </c>
      <c r="I302" s="81" t="s">
        <v>465</v>
      </c>
      <c r="J302" s="81" t="s">
        <v>95</v>
      </c>
      <c r="K302" s="81" t="n">
        <v>6</v>
      </c>
      <c r="L302" s="84" t="n">
        <f aca="false">IFERROR(INDEX(p_Price,MATCH($F302,p_ID,0)),0)</f>
        <v>90</v>
      </c>
      <c r="M302" s="85" t="n">
        <v>0.1</v>
      </c>
      <c r="N302" s="81" t="s">
        <v>644</v>
      </c>
      <c r="O302" s="84" t="n">
        <f aca="false">IF($N302="مرتجع",0,K302*L302*(1-M302))</f>
        <v>486</v>
      </c>
      <c r="P302" s="84" t="n">
        <f aca="false">IF($N302="مرتجع",0,K302*IFERROR(INDEX(p_Cost,MATCH($F302,p_ID,0)),0))</f>
        <v>270</v>
      </c>
      <c r="Q302" s="84" t="n">
        <f aca="false">O302-P302</f>
        <v>216</v>
      </c>
      <c r="R302" s="86" t="n">
        <f aca="false">DATE(YEAR(B302),MONTH(B302),1)</f>
        <v>45992</v>
      </c>
      <c r="S302" s="83" t="str">
        <f aca="false">YEAR(B302)&amp;"-Q"&amp;ROUNDUP(MONTH(B302)/3,0)</f>
        <v>2025-Q4</v>
      </c>
      <c r="T302" s="87" t="n">
        <f aca="false">IF(O302&gt;0,Q302/O302,"")</f>
        <v>0.444444444444444</v>
      </c>
      <c r="U302" s="84" t="n">
        <f aca="false">IF(O302&gt;0,O302,"")</f>
        <v>486</v>
      </c>
    </row>
    <row r="303" customFormat="false" ht="15" hidden="false" customHeight="false" outlineLevel="0" collapsed="false">
      <c r="A303" s="81" t="s">
        <v>946</v>
      </c>
      <c r="B303" s="82" t="n">
        <v>45995</v>
      </c>
      <c r="C303" s="81" t="s">
        <v>312</v>
      </c>
      <c r="D303" s="83" t="str">
        <f aca="false">IFERROR(INDEX(c_Name,MATCH($C303,c_ID,0)),"غير معرّف")</f>
        <v>دانة الدوسري</v>
      </c>
      <c r="E303" s="83" t="str">
        <f aca="false">IFERROR(INDEX(c_Region,MATCH($C303,c_ID,0)),"غير معرّف")</f>
        <v>الشرقية</v>
      </c>
      <c r="F303" s="81" t="s">
        <v>171</v>
      </c>
      <c r="G303" s="83" t="str">
        <f aca="false">IFERROR(INDEX(p_Name,MATCH($F303,p_ID,0)),"غير معرّف")</f>
        <v>قلاية هوائية</v>
      </c>
      <c r="H303" s="83" t="str">
        <f aca="false">IFERROR(INDEX(p_Cat,MATCH($F303,p_ID,0)),"غير معرّف")</f>
        <v>أجهزة منزلية</v>
      </c>
      <c r="I303" s="81" t="s">
        <v>463</v>
      </c>
      <c r="J303" s="81" t="s">
        <v>91</v>
      </c>
      <c r="K303" s="81" t="n">
        <v>2</v>
      </c>
      <c r="L303" s="84" t="n">
        <f aca="false">IFERROR(INDEX(p_Price,MATCH($F303,p_ID,0)),0)</f>
        <v>520</v>
      </c>
      <c r="M303" s="85" t="n">
        <v>0.15</v>
      </c>
      <c r="N303" s="81" t="s">
        <v>644</v>
      </c>
      <c r="O303" s="84" t="n">
        <f aca="false">IF($N303="مرتجع",0,K303*L303*(1-M303))</f>
        <v>884</v>
      </c>
      <c r="P303" s="84" t="n">
        <f aca="false">IF($N303="مرتجع",0,K303*IFERROR(INDEX(p_Cost,MATCH($F303,p_ID,0)),0))</f>
        <v>600</v>
      </c>
      <c r="Q303" s="84" t="n">
        <f aca="false">O303-P303</f>
        <v>284</v>
      </c>
      <c r="R303" s="86" t="n">
        <f aca="false">DATE(YEAR(B303),MONTH(B303),1)</f>
        <v>45992</v>
      </c>
      <c r="S303" s="83" t="str">
        <f aca="false">YEAR(B303)&amp;"-Q"&amp;ROUNDUP(MONTH(B303)/3,0)</f>
        <v>2025-Q4</v>
      </c>
      <c r="T303" s="87" t="n">
        <f aca="false">IF(O303&gt;0,Q303/O303,"")</f>
        <v>0.321266968325792</v>
      </c>
      <c r="U303" s="84" t="n">
        <f aca="false">IF(O303&gt;0,O303,"")</f>
        <v>884</v>
      </c>
    </row>
    <row r="304" customFormat="false" ht="15" hidden="false" customHeight="false" outlineLevel="0" collapsed="false">
      <c r="A304" s="81" t="s">
        <v>947</v>
      </c>
      <c r="B304" s="82" t="n">
        <v>45995</v>
      </c>
      <c r="C304" s="81" t="s">
        <v>357</v>
      </c>
      <c r="D304" s="83" t="str">
        <f aca="false">IFERROR(INDEX(c_Name,MATCH($C304,c_ID,0)),"غير معرّف")</f>
        <v>منى الحربي</v>
      </c>
      <c r="E304" s="83" t="str">
        <f aca="false">IFERROR(INDEX(c_Region,MATCH($C304,c_ID,0)),"غير معرّف")</f>
        <v>الوسطى</v>
      </c>
      <c r="F304" s="81" t="s">
        <v>183</v>
      </c>
      <c r="G304" s="83" t="str">
        <f aca="false">IFERROR(INDEX(p_Name,MATCH($F304,p_ID,0)),"غير معرّف")</f>
        <v>سجادة يوغا</v>
      </c>
      <c r="H304" s="83" t="str">
        <f aca="false">IFERROR(INDEX(p_Cat,MATCH($F304,p_ID,0)),"غير معرّف")</f>
        <v>رياضة</v>
      </c>
      <c r="I304" s="81" t="s">
        <v>446</v>
      </c>
      <c r="J304" s="81" t="s">
        <v>93</v>
      </c>
      <c r="K304" s="81" t="n">
        <v>1</v>
      </c>
      <c r="L304" s="84" t="n">
        <f aca="false">IFERROR(INDEX(p_Price,MATCH($F304,p_ID,0)),0)</f>
        <v>120</v>
      </c>
      <c r="M304" s="85" t="n">
        <v>0.2</v>
      </c>
      <c r="N304" s="81" t="s">
        <v>644</v>
      </c>
      <c r="O304" s="84" t="n">
        <f aca="false">IF($N304="مرتجع",0,K304*L304*(1-M304))</f>
        <v>96</v>
      </c>
      <c r="P304" s="84" t="n">
        <f aca="false">IF($N304="مرتجع",0,K304*IFERROR(INDEX(p_Cost,MATCH($F304,p_ID,0)),0))</f>
        <v>50</v>
      </c>
      <c r="Q304" s="84" t="n">
        <f aca="false">O304-P304</f>
        <v>46</v>
      </c>
      <c r="R304" s="86" t="n">
        <f aca="false">DATE(YEAR(B304),MONTH(B304),1)</f>
        <v>45992</v>
      </c>
      <c r="S304" s="83" t="str">
        <f aca="false">YEAR(B304)&amp;"-Q"&amp;ROUNDUP(MONTH(B304)/3,0)</f>
        <v>2025-Q4</v>
      </c>
      <c r="T304" s="87" t="n">
        <f aca="false">IF(O304&gt;0,Q304/O304,"")</f>
        <v>0.479166666666667</v>
      </c>
      <c r="U304" s="84" t="n">
        <f aca="false">IF(O304&gt;0,O304,"")</f>
        <v>96</v>
      </c>
    </row>
    <row r="305" customFormat="false" ht="15" hidden="false" customHeight="false" outlineLevel="0" collapsed="false">
      <c r="A305" s="81" t="s">
        <v>948</v>
      </c>
      <c r="B305" s="82" t="n">
        <v>45995</v>
      </c>
      <c r="C305" s="81" t="s">
        <v>400</v>
      </c>
      <c r="D305" s="83" t="str">
        <f aca="false">IFERROR(INDEX(c_Name,MATCH($C305,c_ID,0)),"غير معرّف")</f>
        <v>عبير الشهري</v>
      </c>
      <c r="E305" s="83" t="str">
        <f aca="false">IFERROR(INDEX(c_Region,MATCH($C305,c_ID,0)),"غير معرّف")</f>
        <v>الوسطى</v>
      </c>
      <c r="F305" s="81" t="s">
        <v>169</v>
      </c>
      <c r="G305" s="83" t="str">
        <f aca="false">IFERROR(INDEX(p_Name,MATCH($F305,p_ID,0)),"غير معرّف")</f>
        <v>خلاط</v>
      </c>
      <c r="H305" s="83" t="str">
        <f aca="false">IFERROR(INDEX(p_Cat,MATCH($F305,p_ID,0)),"غير معرّف")</f>
        <v>أجهزة منزلية</v>
      </c>
      <c r="I305" s="81" t="s">
        <v>446</v>
      </c>
      <c r="J305" s="81" t="s">
        <v>93</v>
      </c>
      <c r="K305" s="81" t="n">
        <v>4</v>
      </c>
      <c r="L305" s="84" t="n">
        <f aca="false">IFERROR(INDEX(p_Price,MATCH($F305,p_ID,0)),0)</f>
        <v>300</v>
      </c>
      <c r="M305" s="85" t="n">
        <v>0</v>
      </c>
      <c r="N305" s="81" t="s">
        <v>644</v>
      </c>
      <c r="O305" s="84" t="n">
        <f aca="false">IF($N305="مرتجع",0,K305*L305*(1-M305))</f>
        <v>1200</v>
      </c>
      <c r="P305" s="84" t="n">
        <f aca="false">IF($N305="مرتجع",0,K305*IFERROR(INDEX(p_Cost,MATCH($F305,p_ID,0)),0))</f>
        <v>700</v>
      </c>
      <c r="Q305" s="84" t="n">
        <f aca="false">O305-P305</f>
        <v>500</v>
      </c>
      <c r="R305" s="86" t="n">
        <f aca="false">DATE(YEAR(B305),MONTH(B305),1)</f>
        <v>45992</v>
      </c>
      <c r="S305" s="83" t="str">
        <f aca="false">YEAR(B305)&amp;"-Q"&amp;ROUNDUP(MONTH(B305)/3,0)</f>
        <v>2025-Q4</v>
      </c>
      <c r="T305" s="87" t="n">
        <f aca="false">IF(O305&gt;0,Q305/O305,"")</f>
        <v>0.416666666666667</v>
      </c>
      <c r="U305" s="84" t="n">
        <f aca="false">IF(O305&gt;0,O305,"")</f>
        <v>1200</v>
      </c>
    </row>
    <row r="306" customFormat="false" ht="15" hidden="false" customHeight="false" outlineLevel="0" collapsed="false">
      <c r="A306" s="81" t="s">
        <v>949</v>
      </c>
      <c r="B306" s="82" t="n">
        <v>45995</v>
      </c>
      <c r="C306" s="81" t="s">
        <v>241</v>
      </c>
      <c r="D306" s="83" t="str">
        <f aca="false">IFERROR(INDEX(c_Name,MATCH($C306,c_ID,0)),"غير معرّف")</f>
        <v>فهد الزهراني</v>
      </c>
      <c r="E306" s="83" t="str">
        <f aca="false">IFERROR(INDEX(c_Region,MATCH($C306,c_ID,0)),"غير معرّف")</f>
        <v>الجنوبية</v>
      </c>
      <c r="F306" s="81" t="s">
        <v>168</v>
      </c>
      <c r="G306" s="83" t="str">
        <f aca="false">IFERROR(INDEX(p_Name,MATCH($F306,p_ID,0)),"غير معرّف")</f>
        <v>مكنسة كهربائية</v>
      </c>
      <c r="H306" s="83" t="str">
        <f aca="false">IFERROR(INDEX(p_Cat,MATCH($F306,p_ID,0)),"غير معرّف")</f>
        <v>أجهزة منزلية</v>
      </c>
      <c r="I306" s="81" t="s">
        <v>465</v>
      </c>
      <c r="J306" s="81" t="s">
        <v>93</v>
      </c>
      <c r="K306" s="81" t="n">
        <v>1</v>
      </c>
      <c r="L306" s="84" t="n">
        <f aca="false">IFERROR(INDEX(p_Price,MATCH($F306,p_ID,0)),0)</f>
        <v>650</v>
      </c>
      <c r="M306" s="85" t="n">
        <v>0.1</v>
      </c>
      <c r="N306" s="81" t="s">
        <v>644</v>
      </c>
      <c r="O306" s="84" t="n">
        <f aca="false">IF($N306="مرتجع",0,K306*L306*(1-M306))</f>
        <v>585</v>
      </c>
      <c r="P306" s="84" t="n">
        <f aca="false">IF($N306="مرتجع",0,K306*IFERROR(INDEX(p_Cost,MATCH($F306,p_ID,0)),0))</f>
        <v>420</v>
      </c>
      <c r="Q306" s="84" t="n">
        <f aca="false">O306-P306</f>
        <v>165</v>
      </c>
      <c r="R306" s="86" t="n">
        <f aca="false">DATE(YEAR(B306),MONTH(B306),1)</f>
        <v>45992</v>
      </c>
      <c r="S306" s="83" t="str">
        <f aca="false">YEAR(B306)&amp;"-Q"&amp;ROUNDUP(MONTH(B306)/3,0)</f>
        <v>2025-Q4</v>
      </c>
      <c r="T306" s="87" t="n">
        <f aca="false">IF(O306&gt;0,Q306/O306,"")</f>
        <v>0.282051282051282</v>
      </c>
      <c r="U306" s="84" t="n">
        <f aca="false">IF(O306&gt;0,O306,"")</f>
        <v>585</v>
      </c>
    </row>
    <row r="307" customFormat="false" ht="15" hidden="false" customHeight="false" outlineLevel="0" collapsed="false">
      <c r="A307" s="81" t="s">
        <v>950</v>
      </c>
      <c r="B307" s="82" t="n">
        <v>45996</v>
      </c>
      <c r="C307" s="81" t="s">
        <v>403</v>
      </c>
      <c r="D307" s="83" t="str">
        <f aca="false">IFERROR(INDEX(c_Name,MATCH($C307,c_ID,0)),"غير معرّف")</f>
        <v>ياسر المطيري</v>
      </c>
      <c r="E307" s="83" t="str">
        <f aca="false">IFERROR(INDEX(c_Region,MATCH($C307,c_ID,0)),"غير معرّف")</f>
        <v>الجنوبية</v>
      </c>
      <c r="F307" s="81" t="s">
        <v>178</v>
      </c>
      <c r="G307" s="83" t="str">
        <f aca="false">IFERROR(INDEX(p_Name,MATCH($F307,p_ID,0)),"غير معرّف")</f>
        <v>حقيبة لابتوب</v>
      </c>
      <c r="H307" s="83" t="str">
        <f aca="false">IFERROR(INDEX(p_Cat,MATCH($F307,p_ID,0)),"غير معرّف")</f>
        <v>مستلزمات مكتبية</v>
      </c>
      <c r="I307" s="81" t="s">
        <v>465</v>
      </c>
      <c r="J307" s="81" t="s">
        <v>91</v>
      </c>
      <c r="K307" s="81" t="n">
        <v>3</v>
      </c>
      <c r="L307" s="84" t="n">
        <f aca="false">IFERROR(INDEX(p_Price,MATCH($F307,p_ID,0)),0)</f>
        <v>260</v>
      </c>
      <c r="M307" s="85" t="n">
        <v>0</v>
      </c>
      <c r="N307" s="81" t="s">
        <v>644</v>
      </c>
      <c r="O307" s="84" t="n">
        <f aca="false">IF($N307="مرتجع",0,K307*L307*(1-M307))</f>
        <v>780</v>
      </c>
      <c r="P307" s="84" t="n">
        <f aca="false">IF($N307="مرتجع",0,K307*IFERROR(INDEX(p_Cost,MATCH($F307,p_ID,0)),0))</f>
        <v>360</v>
      </c>
      <c r="Q307" s="84" t="n">
        <f aca="false">O307-P307</f>
        <v>420</v>
      </c>
      <c r="R307" s="86" t="n">
        <f aca="false">DATE(YEAR(B307),MONTH(B307),1)</f>
        <v>45992</v>
      </c>
      <c r="S307" s="83" t="str">
        <f aca="false">YEAR(B307)&amp;"-Q"&amp;ROUNDUP(MONTH(B307)/3,0)</f>
        <v>2025-Q4</v>
      </c>
      <c r="T307" s="87" t="n">
        <f aca="false">IF(O307&gt;0,Q307/O307,"")</f>
        <v>0.538461538461538</v>
      </c>
      <c r="U307" s="84" t="n">
        <f aca="false">IF(O307&gt;0,O307,"")</f>
        <v>780</v>
      </c>
    </row>
    <row r="308" customFormat="false" ht="15" hidden="false" customHeight="false" outlineLevel="0" collapsed="false">
      <c r="A308" s="81" t="s">
        <v>951</v>
      </c>
      <c r="B308" s="82" t="n">
        <v>45996</v>
      </c>
      <c r="C308" s="81" t="s">
        <v>391</v>
      </c>
      <c r="D308" s="83" t="str">
        <f aca="false">IFERROR(INDEX(c_Name,MATCH($C308,c_ID,0)),"غير معرّف")</f>
        <v>أحمد المطيري</v>
      </c>
      <c r="E308" s="83" t="str">
        <f aca="false">IFERROR(INDEX(c_Region,MATCH($C308,c_ID,0)),"غير معرّف")</f>
        <v>الوسطى</v>
      </c>
      <c r="F308" s="81" t="s">
        <v>182</v>
      </c>
      <c r="G308" s="83" t="str">
        <f aca="false">IFERROR(INDEX(p_Name,MATCH($F308,p_ID,0)),"غير معرّف")</f>
        <v>طقم أوزان</v>
      </c>
      <c r="H308" s="83" t="str">
        <f aca="false">IFERROR(INDEX(p_Cat,MATCH($F308,p_ID,0)),"غير معرّف")</f>
        <v>رياضة</v>
      </c>
      <c r="I308" s="81" t="s">
        <v>443</v>
      </c>
      <c r="J308" s="81" t="s">
        <v>93</v>
      </c>
      <c r="K308" s="81" t="n">
        <v>1</v>
      </c>
      <c r="L308" s="84" t="n">
        <f aca="false">IFERROR(INDEX(p_Price,MATCH($F308,p_ID,0)),0)</f>
        <v>380</v>
      </c>
      <c r="M308" s="85" t="n">
        <v>0.05</v>
      </c>
      <c r="N308" s="81" t="s">
        <v>644</v>
      </c>
      <c r="O308" s="84" t="n">
        <f aca="false">IF($N308="مرتجع",0,K308*L308*(1-M308))</f>
        <v>361</v>
      </c>
      <c r="P308" s="84" t="n">
        <f aca="false">IF($N308="مرتجع",0,K308*IFERROR(INDEX(p_Cost,MATCH($F308,p_ID,0)),0))</f>
        <v>210</v>
      </c>
      <c r="Q308" s="84" t="n">
        <f aca="false">O308-P308</f>
        <v>151</v>
      </c>
      <c r="R308" s="86" t="n">
        <f aca="false">DATE(YEAR(B308),MONTH(B308),1)</f>
        <v>45992</v>
      </c>
      <c r="S308" s="83" t="str">
        <f aca="false">YEAR(B308)&amp;"-Q"&amp;ROUNDUP(MONTH(B308)/3,0)</f>
        <v>2025-Q4</v>
      </c>
      <c r="T308" s="87" t="n">
        <f aca="false">IF(O308&gt;0,Q308/O308,"")</f>
        <v>0.418282548476454</v>
      </c>
      <c r="U308" s="84" t="n">
        <f aca="false">IF(O308&gt;0,O308,"")</f>
        <v>361</v>
      </c>
    </row>
    <row r="309" customFormat="false" ht="15" hidden="false" customHeight="false" outlineLevel="0" collapsed="false">
      <c r="A309" s="81" t="s">
        <v>952</v>
      </c>
      <c r="B309" s="82" t="n">
        <v>45996</v>
      </c>
      <c r="C309" s="81" t="s">
        <v>387</v>
      </c>
      <c r="D309" s="83" t="str">
        <f aca="false">IFERROR(INDEX(c_Name,MATCH($C309,c_ID,0)),"غير معرّف")</f>
        <v>لمى الشمري</v>
      </c>
      <c r="E309" s="83" t="str">
        <f aca="false">IFERROR(INDEX(c_Region,MATCH($C309,c_ID,0)),"غير معرّف")</f>
        <v>الوسطى</v>
      </c>
      <c r="F309" s="81" t="s">
        <v>182</v>
      </c>
      <c r="G309" s="83" t="str">
        <f aca="false">IFERROR(INDEX(p_Name,MATCH($F309,p_ID,0)),"غير معرّف")</f>
        <v>طقم أوزان</v>
      </c>
      <c r="H309" s="83" t="str">
        <f aca="false">IFERROR(INDEX(p_Cat,MATCH($F309,p_ID,0)),"غير معرّف")</f>
        <v>رياضة</v>
      </c>
      <c r="I309" s="81" t="s">
        <v>446</v>
      </c>
      <c r="J309" s="81" t="s">
        <v>91</v>
      </c>
      <c r="K309" s="81" t="n">
        <v>4</v>
      </c>
      <c r="L309" s="84" t="n">
        <f aca="false">IFERROR(INDEX(p_Price,MATCH($F309,p_ID,0)),0)</f>
        <v>380</v>
      </c>
      <c r="M309" s="85" t="n">
        <v>0</v>
      </c>
      <c r="N309" s="81" t="s">
        <v>644</v>
      </c>
      <c r="O309" s="84" t="n">
        <f aca="false">IF($N309="مرتجع",0,K309*L309*(1-M309))</f>
        <v>1520</v>
      </c>
      <c r="P309" s="84" t="n">
        <f aca="false">IF($N309="مرتجع",0,K309*IFERROR(INDEX(p_Cost,MATCH($F309,p_ID,0)),0))</f>
        <v>840</v>
      </c>
      <c r="Q309" s="84" t="n">
        <f aca="false">O309-P309</f>
        <v>680</v>
      </c>
      <c r="R309" s="86" t="n">
        <f aca="false">DATE(YEAR(B309),MONTH(B309),1)</f>
        <v>45992</v>
      </c>
      <c r="S309" s="83" t="str">
        <f aca="false">YEAR(B309)&amp;"-Q"&amp;ROUNDUP(MONTH(B309)/3,0)</f>
        <v>2025-Q4</v>
      </c>
      <c r="T309" s="87" t="n">
        <f aca="false">IF(O309&gt;0,Q309/O309,"")</f>
        <v>0.447368421052632</v>
      </c>
      <c r="U309" s="84" t="n">
        <f aca="false">IF(O309&gt;0,O309,"")</f>
        <v>1520</v>
      </c>
    </row>
    <row r="310" customFormat="false" ht="15" hidden="false" customHeight="false" outlineLevel="0" collapsed="false">
      <c r="A310" s="81" t="s">
        <v>953</v>
      </c>
      <c r="B310" s="82" t="n">
        <v>45996</v>
      </c>
      <c r="C310" s="81" t="s">
        <v>361</v>
      </c>
      <c r="D310" s="83" t="str">
        <f aca="false">IFERROR(INDEX(c_Name,MATCH($C310,c_ID,0)),"غير معرّف")</f>
        <v>دانة المطيري</v>
      </c>
      <c r="E310" s="83" t="str">
        <f aca="false">IFERROR(INDEX(c_Region,MATCH($C310,c_ID,0)),"غير معرّف")</f>
        <v>الشرقية</v>
      </c>
      <c r="F310" s="81" t="s">
        <v>166</v>
      </c>
      <c r="G310" s="83" t="str">
        <f aca="false">IFERROR(INDEX(p_Name,MATCH($F310,p_ID,0)),"غير معرّف")</f>
        <v>سماعات لاسلكية</v>
      </c>
      <c r="H310" s="83" t="str">
        <f aca="false">IFERROR(INDEX(p_Cat,MATCH($F310,p_ID,0)),"غير معرّف")</f>
        <v>إلكترونيات</v>
      </c>
      <c r="I310" s="81" t="s">
        <v>463</v>
      </c>
      <c r="J310" s="81" t="s">
        <v>93</v>
      </c>
      <c r="K310" s="81" t="n">
        <v>2</v>
      </c>
      <c r="L310" s="84" t="n">
        <f aca="false">IFERROR(INDEX(p_Price,MATCH($F310,p_ID,0)),0)</f>
        <v>450</v>
      </c>
      <c r="M310" s="85" t="n">
        <v>0.05</v>
      </c>
      <c r="N310" s="81" t="s">
        <v>644</v>
      </c>
      <c r="O310" s="84" t="n">
        <f aca="false">IF($N310="مرتجع",0,K310*L310*(1-M310))</f>
        <v>855</v>
      </c>
      <c r="P310" s="84" t="n">
        <f aca="false">IF($N310="مرتجع",0,K310*IFERROR(INDEX(p_Cost,MATCH($F310,p_ID,0)),0))</f>
        <v>520</v>
      </c>
      <c r="Q310" s="84" t="n">
        <f aca="false">O310-P310</f>
        <v>335</v>
      </c>
      <c r="R310" s="86" t="n">
        <f aca="false">DATE(YEAR(B310),MONTH(B310),1)</f>
        <v>45992</v>
      </c>
      <c r="S310" s="83" t="str">
        <f aca="false">YEAR(B310)&amp;"-Q"&amp;ROUNDUP(MONTH(B310)/3,0)</f>
        <v>2025-Q4</v>
      </c>
      <c r="T310" s="87" t="n">
        <f aca="false">IF(O310&gt;0,Q310/O310,"")</f>
        <v>0.391812865497076</v>
      </c>
      <c r="U310" s="84" t="n">
        <f aca="false">IF(O310&gt;0,O310,"")</f>
        <v>855</v>
      </c>
    </row>
    <row r="311" customFormat="false" ht="15" hidden="false" customHeight="false" outlineLevel="0" collapsed="false">
      <c r="A311" s="81" t="s">
        <v>954</v>
      </c>
      <c r="B311" s="82" t="n">
        <v>45996</v>
      </c>
      <c r="C311" s="81" t="s">
        <v>294</v>
      </c>
      <c r="D311" s="83" t="str">
        <f aca="false">IFERROR(INDEX(c_Name,MATCH($C311,c_ID,0)),"غير معرّف")</f>
        <v>خالد البلوي</v>
      </c>
      <c r="E311" s="83" t="str">
        <f aca="false">IFERROR(INDEX(c_Region,MATCH($C311,c_ID,0)),"غير معرّف")</f>
        <v>الوسطى</v>
      </c>
      <c r="F311" s="81" t="s">
        <v>177</v>
      </c>
      <c r="G311" s="83" t="str">
        <f aca="false">IFERROR(INDEX(p_Name,MATCH($F311,p_ID,0)),"غير معرّف")</f>
        <v>ورق A4 (صندوق)</v>
      </c>
      <c r="H311" s="83" t="str">
        <f aca="false">IFERROR(INDEX(p_Cat,MATCH($F311,p_ID,0)),"غير معرّف")</f>
        <v>مستلزمات مكتبية</v>
      </c>
      <c r="I311" s="81" t="s">
        <v>446</v>
      </c>
      <c r="J311" s="81" t="s">
        <v>93</v>
      </c>
      <c r="K311" s="81" t="n">
        <v>21</v>
      </c>
      <c r="L311" s="84" t="n">
        <f aca="false">IFERROR(INDEX(p_Price,MATCH($F311,p_ID,0)),0)</f>
        <v>140</v>
      </c>
      <c r="M311" s="85" t="n">
        <v>0</v>
      </c>
      <c r="N311" s="81" t="s">
        <v>644</v>
      </c>
      <c r="O311" s="84" t="n">
        <f aca="false">IF($N311="مرتجع",0,K311*L311*(1-M311))</f>
        <v>2940</v>
      </c>
      <c r="P311" s="84" t="n">
        <f aca="false">IF($N311="مرتجع",0,K311*IFERROR(INDEX(p_Cost,MATCH($F311,p_ID,0)),0))</f>
        <v>1995</v>
      </c>
      <c r="Q311" s="84" t="n">
        <f aca="false">O311-P311</f>
        <v>945</v>
      </c>
      <c r="R311" s="86" t="n">
        <f aca="false">DATE(YEAR(B311),MONTH(B311),1)</f>
        <v>45992</v>
      </c>
      <c r="S311" s="83" t="str">
        <f aca="false">YEAR(B311)&amp;"-Q"&amp;ROUNDUP(MONTH(B311)/3,0)</f>
        <v>2025-Q4</v>
      </c>
      <c r="T311" s="87" t="n">
        <f aca="false">IF(O311&gt;0,Q311/O311,"")</f>
        <v>0.321428571428571</v>
      </c>
      <c r="U311" s="84" t="n">
        <f aca="false">IF(O311&gt;0,O311,"")</f>
        <v>2940</v>
      </c>
    </row>
    <row r="312" customFormat="false" ht="15" hidden="false" customHeight="false" outlineLevel="0" collapsed="false">
      <c r="A312" s="81" t="s">
        <v>955</v>
      </c>
      <c r="B312" s="82" t="n">
        <v>45997</v>
      </c>
      <c r="C312" s="81" t="s">
        <v>239</v>
      </c>
      <c r="D312" s="83" t="str">
        <f aca="false">IFERROR(INDEX(c_Name,MATCH($C312,c_ID,0)),"غير معرّف")</f>
        <v>سلمان الحربي</v>
      </c>
      <c r="E312" s="83" t="str">
        <f aca="false">IFERROR(INDEX(c_Region,MATCH($C312,c_ID,0)),"غير معرّف")</f>
        <v>الغربية</v>
      </c>
      <c r="F312" s="81" t="s">
        <v>185</v>
      </c>
      <c r="G312" s="83" t="str">
        <f aca="false">IFERROR(INDEX(p_Name,MATCH($F312,p_ID,0)),"غير معرّف")</f>
        <v>ماكينة حلاقة</v>
      </c>
      <c r="H312" s="83" t="str">
        <f aca="false">IFERROR(INDEX(p_Cat,MATCH($F312,p_ID,0)),"غير معرّف")</f>
        <v>عناية شخصية</v>
      </c>
      <c r="I312" s="81" t="s">
        <v>455</v>
      </c>
      <c r="J312" s="81" t="s">
        <v>93</v>
      </c>
      <c r="K312" s="81" t="n">
        <v>4</v>
      </c>
      <c r="L312" s="84" t="n">
        <f aca="false">IFERROR(INDEX(p_Price,MATCH($F312,p_ID,0)),0)</f>
        <v>340</v>
      </c>
      <c r="M312" s="85" t="n">
        <v>0</v>
      </c>
      <c r="N312" s="81" t="s">
        <v>644</v>
      </c>
      <c r="O312" s="84" t="n">
        <f aca="false">IF($N312="مرتجع",0,K312*L312*(1-M312))</f>
        <v>1360</v>
      </c>
      <c r="P312" s="84" t="n">
        <f aca="false">IF($N312="مرتجع",0,K312*IFERROR(INDEX(p_Cost,MATCH($F312,p_ID,0)),0))</f>
        <v>680</v>
      </c>
      <c r="Q312" s="84" t="n">
        <f aca="false">O312-P312</f>
        <v>680</v>
      </c>
      <c r="R312" s="86" t="n">
        <f aca="false">DATE(YEAR(B312),MONTH(B312),1)</f>
        <v>45992</v>
      </c>
      <c r="S312" s="83" t="str">
        <f aca="false">YEAR(B312)&amp;"-Q"&amp;ROUNDUP(MONTH(B312)/3,0)</f>
        <v>2025-Q4</v>
      </c>
      <c r="T312" s="87" t="n">
        <f aca="false">IF(O312&gt;0,Q312/O312,"")</f>
        <v>0.5</v>
      </c>
      <c r="U312" s="84" t="n">
        <f aca="false">IF(O312&gt;0,O312,"")</f>
        <v>1360</v>
      </c>
    </row>
    <row r="313" customFormat="false" ht="15" hidden="false" customHeight="false" outlineLevel="0" collapsed="false">
      <c r="A313" s="81" t="s">
        <v>956</v>
      </c>
      <c r="B313" s="82" t="n">
        <v>45997</v>
      </c>
      <c r="C313" s="81" t="s">
        <v>387</v>
      </c>
      <c r="D313" s="83" t="str">
        <f aca="false">IFERROR(INDEX(c_Name,MATCH($C313,c_ID,0)),"غير معرّف")</f>
        <v>لمى الشمري</v>
      </c>
      <c r="E313" s="83" t="str">
        <f aca="false">IFERROR(INDEX(c_Region,MATCH($C313,c_ID,0)),"غير معرّف")</f>
        <v>الوسطى</v>
      </c>
      <c r="F313" s="81" t="s">
        <v>168</v>
      </c>
      <c r="G313" s="83" t="str">
        <f aca="false">IFERROR(INDEX(p_Name,MATCH($F313,p_ID,0)),"غير معرّف")</f>
        <v>مكنسة كهربائية</v>
      </c>
      <c r="H313" s="83" t="str">
        <f aca="false">IFERROR(INDEX(p_Cat,MATCH($F313,p_ID,0)),"غير معرّف")</f>
        <v>أجهزة منزلية</v>
      </c>
      <c r="I313" s="81" t="s">
        <v>446</v>
      </c>
      <c r="J313" s="81" t="s">
        <v>91</v>
      </c>
      <c r="K313" s="81" t="n">
        <v>1</v>
      </c>
      <c r="L313" s="84" t="n">
        <f aca="false">IFERROR(INDEX(p_Price,MATCH($F313,p_ID,0)),0)</f>
        <v>650</v>
      </c>
      <c r="M313" s="85" t="n">
        <v>0</v>
      </c>
      <c r="N313" s="81" t="s">
        <v>644</v>
      </c>
      <c r="O313" s="84" t="n">
        <f aca="false">IF($N313="مرتجع",0,K313*L313*(1-M313))</f>
        <v>650</v>
      </c>
      <c r="P313" s="84" t="n">
        <f aca="false">IF($N313="مرتجع",0,K313*IFERROR(INDEX(p_Cost,MATCH($F313,p_ID,0)),0))</f>
        <v>420</v>
      </c>
      <c r="Q313" s="84" t="n">
        <f aca="false">O313-P313</f>
        <v>230</v>
      </c>
      <c r="R313" s="86" t="n">
        <f aca="false">DATE(YEAR(B313),MONTH(B313),1)</f>
        <v>45992</v>
      </c>
      <c r="S313" s="83" t="str">
        <f aca="false">YEAR(B313)&amp;"-Q"&amp;ROUNDUP(MONTH(B313)/3,0)</f>
        <v>2025-Q4</v>
      </c>
      <c r="T313" s="87" t="n">
        <f aca="false">IF(O313&gt;0,Q313/O313,"")</f>
        <v>0.353846153846154</v>
      </c>
      <c r="U313" s="84" t="n">
        <f aca="false">IF(O313&gt;0,O313,"")</f>
        <v>650</v>
      </c>
    </row>
    <row r="314" customFormat="false" ht="15" hidden="false" customHeight="false" outlineLevel="0" collapsed="false">
      <c r="A314" s="81" t="s">
        <v>957</v>
      </c>
      <c r="B314" s="82" t="n">
        <v>45997</v>
      </c>
      <c r="C314" s="81" t="s">
        <v>425</v>
      </c>
      <c r="D314" s="83" t="str">
        <f aca="false">IFERROR(INDEX(c_Name,MATCH($C314,c_ID,0)),"غير معرّف")</f>
        <v>عبدالله الشمري</v>
      </c>
      <c r="E314" s="83" t="str">
        <f aca="false">IFERROR(INDEX(c_Region,MATCH($C314,c_ID,0)),"غير معرّف")</f>
        <v>الجنوبية</v>
      </c>
      <c r="F314" s="81" t="s">
        <v>183</v>
      </c>
      <c r="G314" s="83" t="str">
        <f aca="false">IFERROR(INDEX(p_Name,MATCH($F314,p_ID,0)),"غير معرّف")</f>
        <v>سجادة يوغا</v>
      </c>
      <c r="H314" s="83" t="str">
        <f aca="false">IFERROR(INDEX(p_Cat,MATCH($F314,p_ID,0)),"غير معرّف")</f>
        <v>رياضة</v>
      </c>
      <c r="I314" s="81" t="s">
        <v>467</v>
      </c>
      <c r="J314" s="81" t="s">
        <v>91</v>
      </c>
      <c r="K314" s="81" t="n">
        <v>2</v>
      </c>
      <c r="L314" s="84" t="n">
        <f aca="false">IFERROR(INDEX(p_Price,MATCH($F314,p_ID,0)),0)</f>
        <v>120</v>
      </c>
      <c r="M314" s="85" t="n">
        <v>0.1</v>
      </c>
      <c r="N314" s="81" t="s">
        <v>644</v>
      </c>
      <c r="O314" s="84" t="n">
        <f aca="false">IF($N314="مرتجع",0,K314*L314*(1-M314))</f>
        <v>216</v>
      </c>
      <c r="P314" s="84" t="n">
        <f aca="false">IF($N314="مرتجع",0,K314*IFERROR(INDEX(p_Cost,MATCH($F314,p_ID,0)),0))</f>
        <v>100</v>
      </c>
      <c r="Q314" s="84" t="n">
        <f aca="false">O314-P314</f>
        <v>116</v>
      </c>
      <c r="R314" s="86" t="n">
        <f aca="false">DATE(YEAR(B314),MONTH(B314),1)</f>
        <v>45992</v>
      </c>
      <c r="S314" s="83" t="str">
        <f aca="false">YEAR(B314)&amp;"-Q"&amp;ROUNDUP(MONTH(B314)/3,0)</f>
        <v>2025-Q4</v>
      </c>
      <c r="T314" s="87" t="n">
        <f aca="false">IF(O314&gt;0,Q314/O314,"")</f>
        <v>0.537037037037037</v>
      </c>
      <c r="U314" s="84" t="n">
        <f aca="false">IF(O314&gt;0,O314,"")</f>
        <v>216</v>
      </c>
    </row>
    <row r="315" customFormat="false" ht="15" hidden="false" customHeight="false" outlineLevel="0" collapsed="false">
      <c r="A315" s="81" t="s">
        <v>958</v>
      </c>
      <c r="B315" s="82" t="n">
        <v>45997</v>
      </c>
      <c r="C315" s="81" t="s">
        <v>306</v>
      </c>
      <c r="D315" s="83" t="str">
        <f aca="false">IFERROR(INDEX(c_Name,MATCH($C315,c_ID,0)),"غير معرّف")</f>
        <v>أحمد العنزي</v>
      </c>
      <c r="E315" s="83" t="str">
        <f aca="false">IFERROR(INDEX(c_Region,MATCH($C315,c_ID,0)),"غير معرّف")</f>
        <v>الغربية</v>
      </c>
      <c r="F315" s="81" t="s">
        <v>187</v>
      </c>
      <c r="G315" s="83" t="str">
        <f aca="false">IFERROR(INDEX(p_Name,MATCH($F315,p_ID,0)),"غير معرّف")</f>
        <v>جهاز تدليك</v>
      </c>
      <c r="H315" s="83" t="str">
        <f aca="false">IFERROR(INDEX(p_Cat,MATCH($F315,p_ID,0)),"غير معرّف")</f>
        <v>عناية شخصية</v>
      </c>
      <c r="I315" s="81" t="s">
        <v>455</v>
      </c>
      <c r="J315" s="81" t="s">
        <v>91</v>
      </c>
      <c r="K315" s="81" t="n">
        <v>4</v>
      </c>
      <c r="L315" s="84" t="n">
        <f aca="false">IFERROR(INDEX(p_Price,MATCH($F315,p_ID,0)),0)</f>
        <v>600</v>
      </c>
      <c r="M315" s="85" t="n">
        <v>0.1</v>
      </c>
      <c r="N315" s="81" t="s">
        <v>644</v>
      </c>
      <c r="O315" s="84" t="n">
        <f aca="false">IF($N315="مرتجع",0,K315*L315*(1-M315))</f>
        <v>2160</v>
      </c>
      <c r="P315" s="84" t="n">
        <f aca="false">IF($N315="مرتجع",0,K315*IFERROR(INDEX(p_Cost,MATCH($F315,p_ID,0)),0))</f>
        <v>1320</v>
      </c>
      <c r="Q315" s="84" t="n">
        <f aca="false">O315-P315</f>
        <v>840</v>
      </c>
      <c r="R315" s="86" t="n">
        <f aca="false">DATE(YEAR(B315),MONTH(B315),1)</f>
        <v>45992</v>
      </c>
      <c r="S315" s="83" t="str">
        <f aca="false">YEAR(B315)&amp;"-Q"&amp;ROUNDUP(MONTH(B315)/3,0)</f>
        <v>2025-Q4</v>
      </c>
      <c r="T315" s="87" t="n">
        <f aca="false">IF(O315&gt;0,Q315/O315,"")</f>
        <v>0.388888888888889</v>
      </c>
      <c r="U315" s="84" t="n">
        <f aca="false">IF(O315&gt;0,O315,"")</f>
        <v>2160</v>
      </c>
    </row>
    <row r="316" customFormat="false" ht="15" hidden="false" customHeight="false" outlineLevel="0" collapsed="false">
      <c r="A316" s="81" t="s">
        <v>959</v>
      </c>
      <c r="B316" s="82" t="n">
        <v>45998</v>
      </c>
      <c r="C316" s="81" t="s">
        <v>345</v>
      </c>
      <c r="D316" s="83" t="str">
        <f aca="false">IFERROR(INDEX(c_Name,MATCH($C316,c_ID,0)),"غير معرّف")</f>
        <v>عبدالله العنزي</v>
      </c>
      <c r="E316" s="83" t="str">
        <f aca="false">IFERROR(INDEX(c_Region,MATCH($C316,c_ID,0)),"غير معرّف")</f>
        <v>الغربية</v>
      </c>
      <c r="F316" s="81" t="s">
        <v>181</v>
      </c>
      <c r="G316" s="83" t="str">
        <f aca="false">IFERROR(INDEX(p_Name,MATCH($F316,p_ID,0)),"غير معرّف")</f>
        <v>دراجة ثابتة</v>
      </c>
      <c r="H316" s="83" t="str">
        <f aca="false">IFERROR(INDEX(p_Cat,MATCH($F316,p_ID,0)),"غير معرّف")</f>
        <v>رياضة</v>
      </c>
      <c r="I316" s="81" t="s">
        <v>458</v>
      </c>
      <c r="J316" s="81" t="s">
        <v>91</v>
      </c>
      <c r="K316" s="81" t="n">
        <v>1</v>
      </c>
      <c r="L316" s="84" t="n">
        <f aca="false">IFERROR(INDEX(p_Price,MATCH($F316,p_ID,0)),0)</f>
        <v>1800</v>
      </c>
      <c r="M316" s="85" t="n">
        <v>0.1</v>
      </c>
      <c r="N316" s="81" t="s">
        <v>644</v>
      </c>
      <c r="O316" s="84" t="n">
        <f aca="false">IF($N316="مرتجع",0,K316*L316*(1-M316))</f>
        <v>1620</v>
      </c>
      <c r="P316" s="84" t="n">
        <f aca="false">IF($N316="مرتجع",0,K316*IFERROR(INDEX(p_Cost,MATCH($F316,p_ID,0)),0))</f>
        <v>1200</v>
      </c>
      <c r="Q316" s="84" t="n">
        <f aca="false">O316-P316</f>
        <v>420</v>
      </c>
      <c r="R316" s="86" t="n">
        <f aca="false">DATE(YEAR(B316),MONTH(B316),1)</f>
        <v>45992</v>
      </c>
      <c r="S316" s="83" t="str">
        <f aca="false">YEAR(B316)&amp;"-Q"&amp;ROUNDUP(MONTH(B316)/3,0)</f>
        <v>2025-Q4</v>
      </c>
      <c r="T316" s="87" t="n">
        <f aca="false">IF(O316&gt;0,Q316/O316,"")</f>
        <v>0.259259259259259</v>
      </c>
      <c r="U316" s="84" t="n">
        <f aca="false">IF(O316&gt;0,O316,"")</f>
        <v>1620</v>
      </c>
    </row>
    <row r="317" customFormat="false" ht="15" hidden="false" customHeight="false" outlineLevel="0" collapsed="false">
      <c r="A317" s="81" t="s">
        <v>960</v>
      </c>
      <c r="B317" s="82" t="n">
        <v>45998</v>
      </c>
      <c r="C317" s="81" t="s">
        <v>324</v>
      </c>
      <c r="D317" s="83" t="str">
        <f aca="false">IFERROR(INDEX(c_Name,MATCH($C317,c_ID,0)),"غير معرّف")</f>
        <v>عبير الحسيني</v>
      </c>
      <c r="E317" s="83" t="str">
        <f aca="false">IFERROR(INDEX(c_Region,MATCH($C317,c_ID,0)),"غير معرّف")</f>
        <v>الشرقية</v>
      </c>
      <c r="F317" s="81" t="s">
        <v>176</v>
      </c>
      <c r="G317" s="83" t="str">
        <f aca="false">IFERROR(INDEX(p_Name,MATCH($F317,p_ID,0)),"غير معرّف")</f>
        <v>طابعة ليزر</v>
      </c>
      <c r="H317" s="83" t="str">
        <f aca="false">IFERROR(INDEX(p_Cat,MATCH($F317,p_ID,0)),"غير معرّف")</f>
        <v>مستلزمات مكتبية</v>
      </c>
      <c r="I317" s="81" t="s">
        <v>461</v>
      </c>
      <c r="J317" s="81" t="s">
        <v>93</v>
      </c>
      <c r="K317" s="81" t="n">
        <v>6</v>
      </c>
      <c r="L317" s="84" t="n">
        <f aca="false">IFERROR(INDEX(p_Price,MATCH($F317,p_ID,0)),0)</f>
        <v>1300</v>
      </c>
      <c r="M317" s="85" t="n">
        <v>0.05</v>
      </c>
      <c r="N317" s="81" t="s">
        <v>650</v>
      </c>
      <c r="O317" s="84" t="n">
        <f aca="false">IF($N317="مرتجع",0,K317*L317*(1-M317))</f>
        <v>0</v>
      </c>
      <c r="P317" s="84" t="n">
        <f aca="false">IF($N317="مرتجع",0,K317*IFERROR(INDEX(p_Cost,MATCH($F317,p_ID,0)),0))</f>
        <v>0</v>
      </c>
      <c r="Q317" s="84" t="n">
        <f aca="false">O317-P317</f>
        <v>0</v>
      </c>
      <c r="R317" s="86" t="n">
        <f aca="false">DATE(YEAR(B317),MONTH(B317),1)</f>
        <v>45992</v>
      </c>
      <c r="S317" s="83" t="str">
        <f aca="false">YEAR(B317)&amp;"-Q"&amp;ROUNDUP(MONTH(B317)/3,0)</f>
        <v>2025-Q4</v>
      </c>
      <c r="T317" s="87" t="str">
        <f aca="false">IF(O317&gt;0,Q317/O317,"")</f>
        <v/>
      </c>
      <c r="U317" s="84" t="str">
        <f aca="false">IF(O317&gt;0,O317,"")</f>
        <v/>
      </c>
    </row>
    <row r="318" customFormat="false" ht="15" hidden="false" customHeight="false" outlineLevel="0" collapsed="false">
      <c r="A318" s="81" t="s">
        <v>961</v>
      </c>
      <c r="B318" s="82" t="n">
        <v>45998</v>
      </c>
      <c r="C318" s="81" t="s">
        <v>400</v>
      </c>
      <c r="D318" s="83" t="str">
        <f aca="false">IFERROR(INDEX(c_Name,MATCH($C318,c_ID,0)),"غير معرّف")</f>
        <v>عبير الشهري</v>
      </c>
      <c r="E318" s="83" t="str">
        <f aca="false">IFERROR(INDEX(c_Region,MATCH($C318,c_ID,0)),"غير معرّف")</f>
        <v>الوسطى</v>
      </c>
      <c r="F318" s="81" t="s">
        <v>175</v>
      </c>
      <c r="G318" s="83" t="str">
        <f aca="false">IFERROR(INDEX(p_Name,MATCH($F318,p_ID,0)),"غير معرّف")</f>
        <v>رف كتب</v>
      </c>
      <c r="H318" s="83" t="str">
        <f aca="false">IFERROR(INDEX(p_Cat,MATCH($F318,p_ID,0)),"غير معرّف")</f>
        <v>أثاث</v>
      </c>
      <c r="I318" s="81" t="s">
        <v>449</v>
      </c>
      <c r="J318" s="81" t="s">
        <v>91</v>
      </c>
      <c r="K318" s="81" t="n">
        <v>1</v>
      </c>
      <c r="L318" s="84" t="n">
        <f aca="false">IFERROR(INDEX(p_Price,MATCH($F318,p_ID,0)),0)</f>
        <v>400</v>
      </c>
      <c r="M318" s="85" t="n">
        <v>0.05</v>
      </c>
      <c r="N318" s="81" t="s">
        <v>644</v>
      </c>
      <c r="O318" s="84" t="n">
        <f aca="false">IF($N318="مرتجع",0,K318*L318*(1-M318))</f>
        <v>380</v>
      </c>
      <c r="P318" s="84" t="n">
        <f aca="false">IF($N318="مرتجع",0,K318*IFERROR(INDEX(p_Cost,MATCH($F318,p_ID,0)),0))</f>
        <v>220</v>
      </c>
      <c r="Q318" s="84" t="n">
        <f aca="false">O318-P318</f>
        <v>160</v>
      </c>
      <c r="R318" s="86" t="n">
        <f aca="false">DATE(YEAR(B318),MONTH(B318),1)</f>
        <v>45992</v>
      </c>
      <c r="S318" s="83" t="str">
        <f aca="false">YEAR(B318)&amp;"-Q"&amp;ROUNDUP(MONTH(B318)/3,0)</f>
        <v>2025-Q4</v>
      </c>
      <c r="T318" s="87" t="n">
        <f aca="false">IF(O318&gt;0,Q318/O318,"")</f>
        <v>0.421052631578947</v>
      </c>
      <c r="U318" s="84" t="n">
        <f aca="false">IF(O318&gt;0,O318,"")</f>
        <v>380</v>
      </c>
    </row>
    <row r="319" customFormat="false" ht="15" hidden="false" customHeight="false" outlineLevel="0" collapsed="false">
      <c r="A319" s="81" t="s">
        <v>962</v>
      </c>
      <c r="B319" s="82" t="n">
        <v>45998</v>
      </c>
      <c r="C319" s="81" t="s">
        <v>275</v>
      </c>
      <c r="D319" s="83" t="str">
        <f aca="false">IFERROR(INDEX(c_Name,MATCH($C319,c_ID,0)),"غير معرّف")</f>
        <v>طارق البلوي</v>
      </c>
      <c r="E319" s="83" t="str">
        <f aca="false">IFERROR(INDEX(c_Region,MATCH($C319,c_ID,0)),"غير معرّف")</f>
        <v>الشرقية</v>
      </c>
      <c r="F319" s="81" t="s">
        <v>186</v>
      </c>
      <c r="G319" s="83" t="str">
        <f aca="false">IFERROR(INDEX(p_Name,MATCH($F319,p_ID,0)),"غير معرّف")</f>
        <v>مجفف شعر</v>
      </c>
      <c r="H319" s="83" t="str">
        <f aca="false">IFERROR(INDEX(p_Cat,MATCH($F319,p_ID,0)),"غير معرّف")</f>
        <v>عناية شخصية</v>
      </c>
      <c r="I319" s="81" t="s">
        <v>463</v>
      </c>
      <c r="J319" s="81" t="s">
        <v>91</v>
      </c>
      <c r="K319" s="81" t="n">
        <v>3</v>
      </c>
      <c r="L319" s="84" t="n">
        <f aca="false">IFERROR(INDEX(p_Price,MATCH($F319,p_ID,0)),0)</f>
        <v>280</v>
      </c>
      <c r="M319" s="85" t="n">
        <v>0.05</v>
      </c>
      <c r="N319" s="81" t="s">
        <v>644</v>
      </c>
      <c r="O319" s="84" t="n">
        <f aca="false">IF($N319="مرتجع",0,K319*L319*(1-M319))</f>
        <v>798</v>
      </c>
      <c r="P319" s="84" t="n">
        <f aca="false">IF($N319="مرتجع",0,K319*IFERROR(INDEX(p_Cost,MATCH($F319,p_ID,0)),0))</f>
        <v>420</v>
      </c>
      <c r="Q319" s="84" t="n">
        <f aca="false">O319-P319</f>
        <v>378</v>
      </c>
      <c r="R319" s="86" t="n">
        <f aca="false">DATE(YEAR(B319),MONTH(B319),1)</f>
        <v>45992</v>
      </c>
      <c r="S319" s="83" t="str">
        <f aca="false">YEAR(B319)&amp;"-Q"&amp;ROUNDUP(MONTH(B319)/3,0)</f>
        <v>2025-Q4</v>
      </c>
      <c r="T319" s="87" t="n">
        <f aca="false">IF(O319&gt;0,Q319/O319,"")</f>
        <v>0.473684210526316</v>
      </c>
      <c r="U319" s="84" t="n">
        <f aca="false">IF(O319&gt;0,O319,"")</f>
        <v>798</v>
      </c>
    </row>
    <row r="320" customFormat="false" ht="15" hidden="false" customHeight="false" outlineLevel="0" collapsed="false">
      <c r="A320" s="81" t="s">
        <v>963</v>
      </c>
      <c r="B320" s="82" t="n">
        <v>45998</v>
      </c>
      <c r="C320" s="81" t="s">
        <v>409</v>
      </c>
      <c r="D320" s="83" t="str">
        <f aca="false">IFERROR(INDEX(c_Name,MATCH($C320,c_ID,0)),"غير معرّف")</f>
        <v>هند العنزي</v>
      </c>
      <c r="E320" s="83" t="str">
        <f aca="false">IFERROR(INDEX(c_Region,MATCH($C320,c_ID,0)),"غير معرّف")</f>
        <v>الغربية</v>
      </c>
      <c r="F320" s="81" t="s">
        <v>175</v>
      </c>
      <c r="G320" s="83" t="str">
        <f aca="false">IFERROR(INDEX(p_Name,MATCH($F320,p_ID,0)),"غير معرّف")</f>
        <v>رف كتب</v>
      </c>
      <c r="H320" s="83" t="str">
        <f aca="false">IFERROR(INDEX(p_Cat,MATCH($F320,p_ID,0)),"غير معرّف")</f>
        <v>أثاث</v>
      </c>
      <c r="I320" s="81" t="s">
        <v>452</v>
      </c>
      <c r="J320" s="81" t="s">
        <v>93</v>
      </c>
      <c r="K320" s="81" t="n">
        <v>1</v>
      </c>
      <c r="L320" s="84" t="n">
        <f aca="false">IFERROR(INDEX(p_Price,MATCH($F320,p_ID,0)),0)</f>
        <v>400</v>
      </c>
      <c r="M320" s="85" t="n">
        <v>0.1</v>
      </c>
      <c r="N320" s="81" t="s">
        <v>644</v>
      </c>
      <c r="O320" s="84" t="n">
        <f aca="false">IF($N320="مرتجع",0,K320*L320*(1-M320))</f>
        <v>360</v>
      </c>
      <c r="P320" s="84" t="n">
        <f aca="false">IF($N320="مرتجع",0,K320*IFERROR(INDEX(p_Cost,MATCH($F320,p_ID,0)),0))</f>
        <v>220</v>
      </c>
      <c r="Q320" s="84" t="n">
        <f aca="false">O320-P320</f>
        <v>140</v>
      </c>
      <c r="R320" s="86" t="n">
        <f aca="false">DATE(YEAR(B320),MONTH(B320),1)</f>
        <v>45992</v>
      </c>
      <c r="S320" s="83" t="str">
        <f aca="false">YEAR(B320)&amp;"-Q"&amp;ROUNDUP(MONTH(B320)/3,0)</f>
        <v>2025-Q4</v>
      </c>
      <c r="T320" s="87" t="n">
        <f aca="false">IF(O320&gt;0,Q320/O320,"")</f>
        <v>0.388888888888889</v>
      </c>
      <c r="U320" s="84" t="n">
        <f aca="false">IF(O320&gt;0,O320,"")</f>
        <v>360</v>
      </c>
    </row>
    <row r="321" customFormat="false" ht="15" hidden="false" customHeight="false" outlineLevel="0" collapsed="false">
      <c r="A321" s="81" t="s">
        <v>964</v>
      </c>
      <c r="B321" s="82" t="n">
        <v>45999</v>
      </c>
      <c r="C321" s="81" t="s">
        <v>337</v>
      </c>
      <c r="D321" s="83" t="str">
        <f aca="false">IFERROR(INDEX(c_Name,MATCH($C321,c_ID,0)),"غير معرّف")</f>
        <v>ليلى السبيعي</v>
      </c>
      <c r="E321" s="83" t="str">
        <f aca="false">IFERROR(INDEX(c_Region,MATCH($C321,c_ID,0)),"غير معرّف")</f>
        <v>الجنوبية</v>
      </c>
      <c r="F321" s="81" t="s">
        <v>168</v>
      </c>
      <c r="G321" s="83" t="str">
        <f aca="false">IFERROR(INDEX(p_Name,MATCH($F321,p_ID,0)),"غير معرّف")</f>
        <v>مكنسة كهربائية</v>
      </c>
      <c r="H321" s="83" t="str">
        <f aca="false">IFERROR(INDEX(p_Cat,MATCH($F321,p_ID,0)),"غير معرّف")</f>
        <v>أجهزة منزلية</v>
      </c>
      <c r="I321" s="81" t="s">
        <v>465</v>
      </c>
      <c r="J321" s="81" t="s">
        <v>93</v>
      </c>
      <c r="K321" s="81" t="n">
        <v>1</v>
      </c>
      <c r="L321" s="84" t="n">
        <f aca="false">IFERROR(INDEX(p_Price,MATCH($F321,p_ID,0)),0)</f>
        <v>650</v>
      </c>
      <c r="M321" s="85" t="n">
        <v>0.1</v>
      </c>
      <c r="N321" s="81" t="s">
        <v>644</v>
      </c>
      <c r="O321" s="84" t="n">
        <f aca="false">IF($N321="مرتجع",0,K321*L321*(1-M321))</f>
        <v>585</v>
      </c>
      <c r="P321" s="84" t="n">
        <f aca="false">IF($N321="مرتجع",0,K321*IFERROR(INDEX(p_Cost,MATCH($F321,p_ID,0)),0))</f>
        <v>420</v>
      </c>
      <c r="Q321" s="84" t="n">
        <f aca="false">O321-P321</f>
        <v>165</v>
      </c>
      <c r="R321" s="86" t="n">
        <f aca="false">DATE(YEAR(B321),MONTH(B321),1)</f>
        <v>45992</v>
      </c>
      <c r="S321" s="83" t="str">
        <f aca="false">YEAR(B321)&amp;"-Q"&amp;ROUNDUP(MONTH(B321)/3,0)</f>
        <v>2025-Q4</v>
      </c>
      <c r="T321" s="87" t="n">
        <f aca="false">IF(O321&gt;0,Q321/O321,"")</f>
        <v>0.282051282051282</v>
      </c>
      <c r="U321" s="84" t="n">
        <f aca="false">IF(O321&gt;0,O321,"")</f>
        <v>585</v>
      </c>
    </row>
    <row r="322" customFormat="false" ht="15" hidden="false" customHeight="false" outlineLevel="0" collapsed="false">
      <c r="A322" s="81" t="s">
        <v>965</v>
      </c>
      <c r="B322" s="82" t="n">
        <v>45999</v>
      </c>
      <c r="C322" s="81" t="s">
        <v>278</v>
      </c>
      <c r="D322" s="83" t="str">
        <f aca="false">IFERROR(INDEX(c_Name,MATCH($C322,c_ID,0)),"غير معرّف")</f>
        <v>طارق الشمري</v>
      </c>
      <c r="E322" s="83" t="str">
        <f aca="false">IFERROR(INDEX(c_Region,MATCH($C322,c_ID,0)),"غير معرّف")</f>
        <v>الجنوبية</v>
      </c>
      <c r="F322" s="81" t="s">
        <v>179</v>
      </c>
      <c r="G322" s="83" t="str">
        <f aca="false">IFERROR(INDEX(p_Name,MATCH($F322,p_ID,0)),"غير معرّف")</f>
        <v>طقم أدوات مكتبية</v>
      </c>
      <c r="H322" s="83" t="str">
        <f aca="false">IFERROR(INDEX(p_Cat,MATCH($F322,p_ID,0)),"غير معرّف")</f>
        <v>مستلزمات مكتبية</v>
      </c>
      <c r="I322" s="81" t="s">
        <v>467</v>
      </c>
      <c r="J322" s="81" t="s">
        <v>95</v>
      </c>
      <c r="K322" s="81" t="n">
        <v>21</v>
      </c>
      <c r="L322" s="84" t="n">
        <f aca="false">IFERROR(INDEX(p_Price,MATCH($F322,p_ID,0)),0)</f>
        <v>90</v>
      </c>
      <c r="M322" s="85" t="n">
        <v>0.05</v>
      </c>
      <c r="N322" s="81" t="s">
        <v>644</v>
      </c>
      <c r="O322" s="84" t="n">
        <f aca="false">IF($N322="مرتجع",0,K322*L322*(1-M322))</f>
        <v>1795.5</v>
      </c>
      <c r="P322" s="84" t="n">
        <f aca="false">IF($N322="مرتجع",0,K322*IFERROR(INDEX(p_Cost,MATCH($F322,p_ID,0)),0))</f>
        <v>945</v>
      </c>
      <c r="Q322" s="84" t="n">
        <f aca="false">O322-P322</f>
        <v>850.5</v>
      </c>
      <c r="R322" s="86" t="n">
        <f aca="false">DATE(YEAR(B322),MONTH(B322),1)</f>
        <v>45992</v>
      </c>
      <c r="S322" s="83" t="str">
        <f aca="false">YEAR(B322)&amp;"-Q"&amp;ROUNDUP(MONTH(B322)/3,0)</f>
        <v>2025-Q4</v>
      </c>
      <c r="T322" s="87" t="n">
        <f aca="false">IF(O322&gt;0,Q322/O322,"")</f>
        <v>0.473684210526316</v>
      </c>
      <c r="U322" s="84" t="n">
        <f aca="false">IF(O322&gt;0,O322,"")</f>
        <v>1795.5</v>
      </c>
    </row>
    <row r="323" customFormat="false" ht="15" hidden="false" customHeight="false" outlineLevel="0" collapsed="false">
      <c r="A323" s="81" t="s">
        <v>966</v>
      </c>
      <c r="B323" s="82" t="n">
        <v>45999</v>
      </c>
      <c r="C323" s="81" t="s">
        <v>369</v>
      </c>
      <c r="D323" s="83" t="str">
        <f aca="false">IFERROR(INDEX(c_Name,MATCH($C323,c_ID,0)),"غير معرّف")</f>
        <v>منى الغامدي</v>
      </c>
      <c r="E323" s="83" t="str">
        <f aca="false">IFERROR(INDEX(c_Region,MATCH($C323,c_ID,0)),"غير معرّف")</f>
        <v>الوسطى</v>
      </c>
      <c r="F323" s="81" t="s">
        <v>178</v>
      </c>
      <c r="G323" s="83" t="str">
        <f aca="false">IFERROR(INDEX(p_Name,MATCH($F323,p_ID,0)),"غير معرّف")</f>
        <v>حقيبة لابتوب</v>
      </c>
      <c r="H323" s="83" t="str">
        <f aca="false">IFERROR(INDEX(p_Cat,MATCH($F323,p_ID,0)),"غير معرّف")</f>
        <v>مستلزمات مكتبية</v>
      </c>
      <c r="I323" s="81" t="s">
        <v>449</v>
      </c>
      <c r="J323" s="81" t="s">
        <v>93</v>
      </c>
      <c r="K323" s="81" t="n">
        <v>7</v>
      </c>
      <c r="L323" s="84" t="n">
        <f aca="false">IFERROR(INDEX(p_Price,MATCH($F323,p_ID,0)),0)</f>
        <v>260</v>
      </c>
      <c r="M323" s="85" t="n">
        <v>0.05</v>
      </c>
      <c r="N323" s="81" t="s">
        <v>644</v>
      </c>
      <c r="O323" s="84" t="n">
        <f aca="false">IF($N323="مرتجع",0,K323*L323*(1-M323))</f>
        <v>1729</v>
      </c>
      <c r="P323" s="84" t="n">
        <f aca="false">IF($N323="مرتجع",0,K323*IFERROR(INDEX(p_Cost,MATCH($F323,p_ID,0)),0))</f>
        <v>840</v>
      </c>
      <c r="Q323" s="84" t="n">
        <f aca="false">O323-P323</f>
        <v>889</v>
      </c>
      <c r="R323" s="86" t="n">
        <f aca="false">DATE(YEAR(B323),MONTH(B323),1)</f>
        <v>45992</v>
      </c>
      <c r="S323" s="83" t="str">
        <f aca="false">YEAR(B323)&amp;"-Q"&amp;ROUNDUP(MONTH(B323)/3,0)</f>
        <v>2025-Q4</v>
      </c>
      <c r="T323" s="87" t="n">
        <f aca="false">IF(O323&gt;0,Q323/O323,"")</f>
        <v>0.51417004048583</v>
      </c>
      <c r="U323" s="84" t="n">
        <f aca="false">IF(O323&gt;0,O323,"")</f>
        <v>1729</v>
      </c>
    </row>
    <row r="324" customFormat="false" ht="15" hidden="false" customHeight="false" outlineLevel="0" collapsed="false">
      <c r="A324" s="81" t="s">
        <v>967</v>
      </c>
      <c r="B324" s="82" t="n">
        <v>45999</v>
      </c>
      <c r="C324" s="81" t="s">
        <v>382</v>
      </c>
      <c r="D324" s="83" t="str">
        <f aca="false">IFERROR(INDEX(c_Name,MATCH($C324,c_ID,0)),"غير معرّف")</f>
        <v>دانة العتيبي</v>
      </c>
      <c r="E324" s="83" t="str">
        <f aca="false">IFERROR(INDEX(c_Region,MATCH($C324,c_ID,0)),"غير معرّف")</f>
        <v>الشرقية</v>
      </c>
      <c r="F324" s="81" t="s">
        <v>172</v>
      </c>
      <c r="G324" s="83" t="str">
        <f aca="false">IFERROR(INDEX(p_Name,MATCH($F324,p_ID,0)),"غير معرّف")</f>
        <v>مكتب عمل</v>
      </c>
      <c r="H324" s="83" t="str">
        <f aca="false">IFERROR(INDEX(p_Cat,MATCH($F324,p_ID,0)),"غير معرّف")</f>
        <v>أثاث</v>
      </c>
      <c r="I324" s="81" t="s">
        <v>463</v>
      </c>
      <c r="J324" s="81" t="s">
        <v>95</v>
      </c>
      <c r="K324" s="81" t="n">
        <v>12</v>
      </c>
      <c r="L324" s="84" t="n">
        <f aca="false">IFERROR(INDEX(p_Price,MATCH($F324,p_ID,0)),0)</f>
        <v>1200</v>
      </c>
      <c r="M324" s="85" t="n">
        <v>0.05</v>
      </c>
      <c r="N324" s="81" t="s">
        <v>644</v>
      </c>
      <c r="O324" s="84" t="n">
        <f aca="false">IF($N324="مرتجع",0,K324*L324*(1-M324))</f>
        <v>13680</v>
      </c>
      <c r="P324" s="84" t="n">
        <f aca="false">IF($N324="مرتجع",0,K324*IFERROR(INDEX(p_Cost,MATCH($F324,p_ID,0)),0))</f>
        <v>8400</v>
      </c>
      <c r="Q324" s="84" t="n">
        <f aca="false">O324-P324</f>
        <v>5280</v>
      </c>
      <c r="R324" s="86" t="n">
        <f aca="false">DATE(YEAR(B324),MONTH(B324),1)</f>
        <v>45992</v>
      </c>
      <c r="S324" s="83" t="str">
        <f aca="false">YEAR(B324)&amp;"-Q"&amp;ROUNDUP(MONTH(B324)/3,0)</f>
        <v>2025-Q4</v>
      </c>
      <c r="T324" s="87" t="n">
        <f aca="false">IF(O324&gt;0,Q324/O324,"")</f>
        <v>0.385964912280702</v>
      </c>
      <c r="U324" s="84" t="n">
        <f aca="false">IF(O324&gt;0,O324,"")</f>
        <v>13680</v>
      </c>
    </row>
    <row r="325" customFormat="false" ht="15" hidden="false" customHeight="false" outlineLevel="0" collapsed="false">
      <c r="A325" s="81" t="s">
        <v>968</v>
      </c>
      <c r="B325" s="82" t="n">
        <v>45999</v>
      </c>
      <c r="C325" s="81" t="s">
        <v>306</v>
      </c>
      <c r="D325" s="83" t="str">
        <f aca="false">IFERROR(INDEX(c_Name,MATCH($C325,c_ID,0)),"غير معرّف")</f>
        <v>أحمد العنزي</v>
      </c>
      <c r="E325" s="83" t="str">
        <f aca="false">IFERROR(INDEX(c_Region,MATCH($C325,c_ID,0)),"غير معرّف")</f>
        <v>الغربية</v>
      </c>
      <c r="F325" s="81" t="s">
        <v>172</v>
      </c>
      <c r="G325" s="83" t="str">
        <f aca="false">IFERROR(INDEX(p_Name,MATCH($F325,p_ID,0)),"غير معرّف")</f>
        <v>مكتب عمل</v>
      </c>
      <c r="H325" s="83" t="str">
        <f aca="false">IFERROR(INDEX(p_Cat,MATCH($F325,p_ID,0)),"غير معرّف")</f>
        <v>أثاث</v>
      </c>
      <c r="I325" s="81" t="s">
        <v>455</v>
      </c>
      <c r="J325" s="81" t="s">
        <v>93</v>
      </c>
      <c r="K325" s="81" t="n">
        <v>2</v>
      </c>
      <c r="L325" s="84" t="n">
        <f aca="false">IFERROR(INDEX(p_Price,MATCH($F325,p_ID,0)),0)</f>
        <v>1200</v>
      </c>
      <c r="M325" s="85" t="n">
        <v>0.1</v>
      </c>
      <c r="N325" s="81" t="s">
        <v>644</v>
      </c>
      <c r="O325" s="84" t="n">
        <f aca="false">IF($N325="مرتجع",0,K325*L325*(1-M325))</f>
        <v>2160</v>
      </c>
      <c r="P325" s="84" t="n">
        <f aca="false">IF($N325="مرتجع",0,K325*IFERROR(INDEX(p_Cost,MATCH($F325,p_ID,0)),0))</f>
        <v>1400</v>
      </c>
      <c r="Q325" s="84" t="n">
        <f aca="false">O325-P325</f>
        <v>760</v>
      </c>
      <c r="R325" s="86" t="n">
        <f aca="false">DATE(YEAR(B325),MONTH(B325),1)</f>
        <v>45992</v>
      </c>
      <c r="S325" s="83" t="str">
        <f aca="false">YEAR(B325)&amp;"-Q"&amp;ROUNDUP(MONTH(B325)/3,0)</f>
        <v>2025-Q4</v>
      </c>
      <c r="T325" s="87" t="n">
        <f aca="false">IF(O325&gt;0,Q325/O325,"")</f>
        <v>0.351851851851852</v>
      </c>
      <c r="U325" s="84" t="n">
        <f aca="false">IF(O325&gt;0,O325,"")</f>
        <v>2160</v>
      </c>
    </row>
    <row r="326" customFormat="false" ht="15" hidden="false" customHeight="false" outlineLevel="0" collapsed="false">
      <c r="A326" s="81" t="s">
        <v>969</v>
      </c>
      <c r="B326" s="82" t="n">
        <v>45999</v>
      </c>
      <c r="C326" s="81" t="s">
        <v>275</v>
      </c>
      <c r="D326" s="83" t="str">
        <f aca="false">IFERROR(INDEX(c_Name,MATCH($C326,c_ID,0)),"غير معرّف")</f>
        <v>طارق البلوي</v>
      </c>
      <c r="E326" s="83" t="str">
        <f aca="false">IFERROR(INDEX(c_Region,MATCH($C326,c_ID,0)),"غير معرّف")</f>
        <v>الشرقية</v>
      </c>
      <c r="F326" s="81" t="s">
        <v>184</v>
      </c>
      <c r="G326" s="83" t="str">
        <f aca="false">IFERROR(INDEX(p_Name,MATCH($F326,p_ID,0)),"غير معرّف")</f>
        <v>عطر فاخر</v>
      </c>
      <c r="H326" s="83" t="str">
        <f aca="false">IFERROR(INDEX(p_Cat,MATCH($F326,p_ID,0)),"غير معرّف")</f>
        <v>عناية شخصية</v>
      </c>
      <c r="I326" s="81" t="s">
        <v>461</v>
      </c>
      <c r="J326" s="81" t="s">
        <v>91</v>
      </c>
      <c r="K326" s="81" t="n">
        <v>1</v>
      </c>
      <c r="L326" s="84" t="n">
        <f aca="false">IFERROR(INDEX(p_Price,MATCH($F326,p_ID,0)),0)</f>
        <v>520</v>
      </c>
      <c r="M326" s="85" t="n">
        <v>0.1</v>
      </c>
      <c r="N326" s="81" t="s">
        <v>644</v>
      </c>
      <c r="O326" s="84" t="n">
        <f aca="false">IF($N326="مرتجع",0,K326*L326*(1-M326))</f>
        <v>468</v>
      </c>
      <c r="P326" s="84" t="n">
        <f aca="false">IF($N326="مرتجع",0,K326*IFERROR(INDEX(p_Cost,MATCH($F326,p_ID,0)),0))</f>
        <v>210</v>
      </c>
      <c r="Q326" s="84" t="n">
        <f aca="false">O326-P326</f>
        <v>258</v>
      </c>
      <c r="R326" s="86" t="n">
        <f aca="false">DATE(YEAR(B326),MONTH(B326),1)</f>
        <v>45992</v>
      </c>
      <c r="S326" s="83" t="str">
        <f aca="false">YEAR(B326)&amp;"-Q"&amp;ROUNDUP(MONTH(B326)/3,0)</f>
        <v>2025-Q4</v>
      </c>
      <c r="T326" s="87" t="n">
        <f aca="false">IF(O326&gt;0,Q326/O326,"")</f>
        <v>0.551282051282051</v>
      </c>
      <c r="U326" s="84" t="n">
        <f aca="false">IF(O326&gt;0,O326,"")</f>
        <v>468</v>
      </c>
    </row>
    <row r="327" customFormat="false" ht="15" hidden="false" customHeight="false" outlineLevel="0" collapsed="false">
      <c r="A327" s="81" t="s">
        <v>970</v>
      </c>
      <c r="B327" s="82" t="n">
        <v>45999</v>
      </c>
      <c r="C327" s="81" t="s">
        <v>295</v>
      </c>
      <c r="D327" s="83" t="str">
        <f aca="false">IFERROR(INDEX(c_Name,MATCH($C327,c_ID,0)),"غير معرّف")</f>
        <v>عبير الزهراني</v>
      </c>
      <c r="E327" s="83" t="str">
        <f aca="false">IFERROR(INDEX(c_Region,MATCH($C327,c_ID,0)),"غير معرّف")</f>
        <v>الوسطى</v>
      </c>
      <c r="F327" s="81" t="s">
        <v>173</v>
      </c>
      <c r="G327" s="83" t="str">
        <f aca="false">IFERROR(INDEX(p_Name,MATCH($F327,p_ID,0)),"غير معرّف")</f>
        <v>كرسي مريح</v>
      </c>
      <c r="H327" s="83" t="str">
        <f aca="false">IFERROR(INDEX(p_Cat,MATCH($F327,p_ID,0)),"غير معرّف")</f>
        <v>أثاث</v>
      </c>
      <c r="I327" s="81" t="s">
        <v>449</v>
      </c>
      <c r="J327" s="81" t="s">
        <v>91</v>
      </c>
      <c r="K327" s="81" t="n">
        <v>6</v>
      </c>
      <c r="L327" s="84" t="n">
        <f aca="false">IFERROR(INDEX(p_Price,MATCH($F327,p_ID,0)),0)</f>
        <v>850</v>
      </c>
      <c r="M327" s="85" t="n">
        <v>0.15</v>
      </c>
      <c r="N327" s="81" t="s">
        <v>644</v>
      </c>
      <c r="O327" s="84" t="n">
        <f aca="false">IF($N327="مرتجع",0,K327*L327*(1-M327))</f>
        <v>4335</v>
      </c>
      <c r="P327" s="84" t="n">
        <f aca="false">IF($N327="مرتجع",0,K327*IFERROR(INDEX(p_Cost,MATCH($F327,p_ID,0)),0))</f>
        <v>2880</v>
      </c>
      <c r="Q327" s="84" t="n">
        <f aca="false">O327-P327</f>
        <v>1455</v>
      </c>
      <c r="R327" s="86" t="n">
        <f aca="false">DATE(YEAR(B327),MONTH(B327),1)</f>
        <v>45992</v>
      </c>
      <c r="S327" s="83" t="str">
        <f aca="false">YEAR(B327)&amp;"-Q"&amp;ROUNDUP(MONTH(B327)/3,0)</f>
        <v>2025-Q4</v>
      </c>
      <c r="T327" s="87" t="n">
        <f aca="false">IF(O327&gt;0,Q327/O327,"")</f>
        <v>0.335640138408305</v>
      </c>
      <c r="U327" s="84" t="n">
        <f aca="false">IF(O327&gt;0,O327,"")</f>
        <v>4335</v>
      </c>
    </row>
    <row r="328" customFormat="false" ht="15" hidden="false" customHeight="false" outlineLevel="0" collapsed="false">
      <c r="A328" s="81" t="s">
        <v>971</v>
      </c>
      <c r="B328" s="82" t="n">
        <v>46000</v>
      </c>
      <c r="C328" s="81" t="s">
        <v>414</v>
      </c>
      <c r="D328" s="83" t="str">
        <f aca="false">IFERROR(INDEX(c_Name,MATCH($C328,c_ID,0)),"غير معرّف")</f>
        <v>هند المطيري</v>
      </c>
      <c r="E328" s="83" t="str">
        <f aca="false">IFERROR(INDEX(c_Region,MATCH($C328,c_ID,0)),"غير معرّف")</f>
        <v>الشرقية</v>
      </c>
      <c r="F328" s="81" t="s">
        <v>179</v>
      </c>
      <c r="G328" s="83" t="str">
        <f aca="false">IFERROR(INDEX(p_Name,MATCH($F328,p_ID,0)),"غير معرّف")</f>
        <v>طقم أدوات مكتبية</v>
      </c>
      <c r="H328" s="83" t="str">
        <f aca="false">IFERROR(INDEX(p_Cat,MATCH($F328,p_ID,0)),"غير معرّف")</f>
        <v>مستلزمات مكتبية</v>
      </c>
      <c r="I328" s="81" t="s">
        <v>463</v>
      </c>
      <c r="J328" s="81" t="s">
        <v>91</v>
      </c>
      <c r="K328" s="81" t="n">
        <v>3</v>
      </c>
      <c r="L328" s="84" t="n">
        <f aca="false">IFERROR(INDEX(p_Price,MATCH($F328,p_ID,0)),0)</f>
        <v>90</v>
      </c>
      <c r="M328" s="85" t="n">
        <v>0.05</v>
      </c>
      <c r="N328" s="81" t="s">
        <v>644</v>
      </c>
      <c r="O328" s="84" t="n">
        <f aca="false">IF($N328="مرتجع",0,K328*L328*(1-M328))</f>
        <v>256.5</v>
      </c>
      <c r="P328" s="84" t="n">
        <f aca="false">IF($N328="مرتجع",0,K328*IFERROR(INDEX(p_Cost,MATCH($F328,p_ID,0)),0))</f>
        <v>135</v>
      </c>
      <c r="Q328" s="84" t="n">
        <f aca="false">O328-P328</f>
        <v>121.5</v>
      </c>
      <c r="R328" s="86" t="n">
        <f aca="false">DATE(YEAR(B328),MONTH(B328),1)</f>
        <v>45992</v>
      </c>
      <c r="S328" s="83" t="str">
        <f aca="false">YEAR(B328)&amp;"-Q"&amp;ROUNDUP(MONTH(B328)/3,0)</f>
        <v>2025-Q4</v>
      </c>
      <c r="T328" s="87" t="n">
        <f aca="false">IF(O328&gt;0,Q328/O328,"")</f>
        <v>0.473684210526316</v>
      </c>
      <c r="U328" s="84" t="n">
        <f aca="false">IF(O328&gt;0,O328,"")</f>
        <v>256.5</v>
      </c>
    </row>
    <row r="329" customFormat="false" ht="15" hidden="false" customHeight="false" outlineLevel="0" collapsed="false">
      <c r="A329" s="81" t="s">
        <v>972</v>
      </c>
      <c r="B329" s="82" t="n">
        <v>46000</v>
      </c>
      <c r="C329" s="81" t="s">
        <v>347</v>
      </c>
      <c r="D329" s="83" t="str">
        <f aca="false">IFERROR(INDEX(c_Name,MATCH($C329,c_ID,0)),"غير معرّف")</f>
        <v>محمد الشمري</v>
      </c>
      <c r="E329" s="83" t="str">
        <f aca="false">IFERROR(INDEX(c_Region,MATCH($C329,c_ID,0)),"غير معرّف")</f>
        <v>الغربية</v>
      </c>
      <c r="F329" s="81" t="s">
        <v>166</v>
      </c>
      <c r="G329" s="83" t="str">
        <f aca="false">IFERROR(INDEX(p_Name,MATCH($F329,p_ID,0)),"غير معرّف")</f>
        <v>سماعات لاسلكية</v>
      </c>
      <c r="H329" s="83" t="str">
        <f aca="false">IFERROR(INDEX(p_Cat,MATCH($F329,p_ID,0)),"غير معرّف")</f>
        <v>إلكترونيات</v>
      </c>
      <c r="I329" s="81" t="s">
        <v>455</v>
      </c>
      <c r="J329" s="81" t="s">
        <v>93</v>
      </c>
      <c r="K329" s="81" t="n">
        <v>1</v>
      </c>
      <c r="L329" s="84" t="n">
        <f aca="false">IFERROR(INDEX(p_Price,MATCH($F329,p_ID,0)),0)</f>
        <v>450</v>
      </c>
      <c r="M329" s="85" t="n">
        <v>0</v>
      </c>
      <c r="N329" s="81" t="s">
        <v>644</v>
      </c>
      <c r="O329" s="84" t="n">
        <f aca="false">IF($N329="مرتجع",0,K329*L329*(1-M329))</f>
        <v>450</v>
      </c>
      <c r="P329" s="84" t="n">
        <f aca="false">IF($N329="مرتجع",0,K329*IFERROR(INDEX(p_Cost,MATCH($F329,p_ID,0)),0))</f>
        <v>260</v>
      </c>
      <c r="Q329" s="84" t="n">
        <f aca="false">O329-P329</f>
        <v>190</v>
      </c>
      <c r="R329" s="86" t="n">
        <f aca="false">DATE(YEAR(B329),MONTH(B329),1)</f>
        <v>45992</v>
      </c>
      <c r="S329" s="83" t="str">
        <f aca="false">YEAR(B329)&amp;"-Q"&amp;ROUNDUP(MONTH(B329)/3,0)</f>
        <v>2025-Q4</v>
      </c>
      <c r="T329" s="87" t="n">
        <f aca="false">IF(O329&gt;0,Q329/O329,"")</f>
        <v>0.422222222222222</v>
      </c>
      <c r="U329" s="84" t="n">
        <f aca="false">IF(O329&gt;0,O329,"")</f>
        <v>450</v>
      </c>
    </row>
    <row r="330" customFormat="false" ht="15" hidden="false" customHeight="false" outlineLevel="0" collapsed="false">
      <c r="A330" s="81" t="s">
        <v>973</v>
      </c>
      <c r="B330" s="82" t="n">
        <v>46000</v>
      </c>
      <c r="C330" s="81" t="s">
        <v>404</v>
      </c>
      <c r="D330" s="83" t="str">
        <f aca="false">IFERROR(INDEX(c_Name,MATCH($C330,c_ID,0)),"غير معرّف")</f>
        <v>عبدالله الحسيني</v>
      </c>
      <c r="E330" s="83" t="str">
        <f aca="false">IFERROR(INDEX(c_Region,MATCH($C330,c_ID,0)),"غير معرّف")</f>
        <v>الشرقية</v>
      </c>
      <c r="F330" s="81" t="s">
        <v>181</v>
      </c>
      <c r="G330" s="83" t="str">
        <f aca="false">IFERROR(INDEX(p_Name,MATCH($F330,p_ID,0)),"غير معرّف")</f>
        <v>دراجة ثابتة</v>
      </c>
      <c r="H330" s="83" t="str">
        <f aca="false">IFERROR(INDEX(p_Cat,MATCH($F330,p_ID,0)),"غير معرّف")</f>
        <v>رياضة</v>
      </c>
      <c r="I330" s="81" t="s">
        <v>463</v>
      </c>
      <c r="J330" s="81" t="s">
        <v>93</v>
      </c>
      <c r="K330" s="81" t="n">
        <v>1</v>
      </c>
      <c r="L330" s="84" t="n">
        <f aca="false">IFERROR(INDEX(p_Price,MATCH($F330,p_ID,0)),0)</f>
        <v>1800</v>
      </c>
      <c r="M330" s="85" t="n">
        <v>0.05</v>
      </c>
      <c r="N330" s="81" t="s">
        <v>644</v>
      </c>
      <c r="O330" s="84" t="n">
        <f aca="false">IF($N330="مرتجع",0,K330*L330*(1-M330))</f>
        <v>1710</v>
      </c>
      <c r="P330" s="84" t="n">
        <f aca="false">IF($N330="مرتجع",0,K330*IFERROR(INDEX(p_Cost,MATCH($F330,p_ID,0)),0))</f>
        <v>1200</v>
      </c>
      <c r="Q330" s="84" t="n">
        <f aca="false">O330-P330</f>
        <v>510</v>
      </c>
      <c r="R330" s="86" t="n">
        <f aca="false">DATE(YEAR(B330),MONTH(B330),1)</f>
        <v>45992</v>
      </c>
      <c r="S330" s="83" t="str">
        <f aca="false">YEAR(B330)&amp;"-Q"&amp;ROUNDUP(MONTH(B330)/3,0)</f>
        <v>2025-Q4</v>
      </c>
      <c r="T330" s="87" t="n">
        <f aca="false">IF(O330&gt;0,Q330/O330,"")</f>
        <v>0.298245614035088</v>
      </c>
      <c r="U330" s="84" t="n">
        <f aca="false">IF(O330&gt;0,O330,"")</f>
        <v>1710</v>
      </c>
    </row>
    <row r="331" customFormat="false" ht="15" hidden="false" customHeight="false" outlineLevel="0" collapsed="false">
      <c r="A331" s="81" t="s">
        <v>974</v>
      </c>
      <c r="B331" s="82" t="n">
        <v>46000</v>
      </c>
      <c r="C331" s="81" t="s">
        <v>285</v>
      </c>
      <c r="D331" s="83" t="str">
        <f aca="false">IFERROR(INDEX(c_Name,MATCH($C331,c_ID,0)),"غير معرّف")</f>
        <v>ياسر التميمي</v>
      </c>
      <c r="E331" s="83" t="str">
        <f aca="false">IFERROR(INDEX(c_Region,MATCH($C331,c_ID,0)),"غير معرّف")</f>
        <v>الغربية</v>
      </c>
      <c r="F331" s="81" t="s">
        <v>164</v>
      </c>
      <c r="G331" s="83" t="str">
        <f aca="false">IFERROR(INDEX(p_Name,MATCH($F331,p_ID,0)),"غير معرّف")</f>
        <v>هاتف ذكي</v>
      </c>
      <c r="H331" s="83" t="str">
        <f aca="false">IFERROR(INDEX(p_Cat,MATCH($F331,p_ID,0)),"غير معرّف")</f>
        <v>إلكترونيات</v>
      </c>
      <c r="I331" s="81" t="s">
        <v>455</v>
      </c>
      <c r="J331" s="81" t="s">
        <v>91</v>
      </c>
      <c r="K331" s="81" t="n">
        <v>1</v>
      </c>
      <c r="L331" s="84" t="n">
        <f aca="false">IFERROR(INDEX(p_Price,MATCH($F331,p_ID,0)),0)</f>
        <v>2400</v>
      </c>
      <c r="M331" s="85" t="n">
        <v>0.1</v>
      </c>
      <c r="N331" s="81" t="s">
        <v>644</v>
      </c>
      <c r="O331" s="84" t="n">
        <f aca="false">IF($N331="مرتجع",0,K331*L331*(1-M331))</f>
        <v>2160</v>
      </c>
      <c r="P331" s="84" t="n">
        <f aca="false">IF($N331="مرتجع",0,K331*IFERROR(INDEX(p_Cost,MATCH($F331,p_ID,0)),0))</f>
        <v>1750</v>
      </c>
      <c r="Q331" s="84" t="n">
        <f aca="false">O331-P331</f>
        <v>410</v>
      </c>
      <c r="R331" s="86" t="n">
        <f aca="false">DATE(YEAR(B331),MONTH(B331),1)</f>
        <v>45992</v>
      </c>
      <c r="S331" s="83" t="str">
        <f aca="false">YEAR(B331)&amp;"-Q"&amp;ROUNDUP(MONTH(B331)/3,0)</f>
        <v>2025-Q4</v>
      </c>
      <c r="T331" s="87" t="n">
        <f aca="false">IF(O331&gt;0,Q331/O331,"")</f>
        <v>0.189814814814815</v>
      </c>
      <c r="U331" s="84" t="n">
        <f aca="false">IF(O331&gt;0,O331,"")</f>
        <v>2160</v>
      </c>
    </row>
    <row r="332" customFormat="false" ht="15" hidden="false" customHeight="false" outlineLevel="0" collapsed="false">
      <c r="A332" s="81" t="s">
        <v>975</v>
      </c>
      <c r="B332" s="82" t="n">
        <v>46000</v>
      </c>
      <c r="C332" s="81" t="s">
        <v>392</v>
      </c>
      <c r="D332" s="83" t="str">
        <f aca="false">IFERROR(INDEX(c_Name,MATCH($C332,c_ID,0)),"غير معرّف")</f>
        <v>ريم الزهراني</v>
      </c>
      <c r="E332" s="83" t="str">
        <f aca="false">IFERROR(INDEX(c_Region,MATCH($C332,c_ID,0)),"غير معرّف")</f>
        <v>الوسطى</v>
      </c>
      <c r="F332" s="81" t="s">
        <v>185</v>
      </c>
      <c r="G332" s="83" t="str">
        <f aca="false">IFERROR(INDEX(p_Name,MATCH($F332,p_ID,0)),"غير معرّف")</f>
        <v>ماكينة حلاقة</v>
      </c>
      <c r="H332" s="83" t="str">
        <f aca="false">IFERROR(INDEX(p_Cat,MATCH($F332,p_ID,0)),"غير معرّف")</f>
        <v>عناية شخصية</v>
      </c>
      <c r="I332" s="81" t="s">
        <v>449</v>
      </c>
      <c r="J332" s="81" t="s">
        <v>93</v>
      </c>
      <c r="K332" s="81" t="n">
        <v>4</v>
      </c>
      <c r="L332" s="84" t="n">
        <f aca="false">IFERROR(INDEX(p_Price,MATCH($F332,p_ID,0)),0)</f>
        <v>340</v>
      </c>
      <c r="M332" s="85" t="n">
        <v>0</v>
      </c>
      <c r="N332" s="81" t="s">
        <v>644</v>
      </c>
      <c r="O332" s="84" t="n">
        <f aca="false">IF($N332="مرتجع",0,K332*L332*(1-M332))</f>
        <v>1360</v>
      </c>
      <c r="P332" s="84" t="n">
        <f aca="false">IF($N332="مرتجع",0,K332*IFERROR(INDEX(p_Cost,MATCH($F332,p_ID,0)),0))</f>
        <v>680</v>
      </c>
      <c r="Q332" s="84" t="n">
        <f aca="false">O332-P332</f>
        <v>680</v>
      </c>
      <c r="R332" s="86" t="n">
        <f aca="false">DATE(YEAR(B332),MONTH(B332),1)</f>
        <v>45992</v>
      </c>
      <c r="S332" s="83" t="str">
        <f aca="false">YEAR(B332)&amp;"-Q"&amp;ROUNDUP(MONTH(B332)/3,0)</f>
        <v>2025-Q4</v>
      </c>
      <c r="T332" s="87" t="n">
        <f aca="false">IF(O332&gt;0,Q332/O332,"")</f>
        <v>0.5</v>
      </c>
      <c r="U332" s="84" t="n">
        <f aca="false">IF(O332&gt;0,O332,"")</f>
        <v>1360</v>
      </c>
    </row>
    <row r="333" customFormat="false" ht="15" hidden="false" customHeight="false" outlineLevel="0" collapsed="false">
      <c r="A333" s="81" t="s">
        <v>976</v>
      </c>
      <c r="B333" s="82" t="n">
        <v>46001</v>
      </c>
      <c r="C333" s="81" t="s">
        <v>420</v>
      </c>
      <c r="D333" s="83" t="str">
        <f aca="false">IFERROR(INDEX(c_Name,MATCH($C333,c_ID,0)),"غير معرّف")</f>
        <v>عبدالله الدوسري</v>
      </c>
      <c r="E333" s="83" t="str">
        <f aca="false">IFERROR(INDEX(c_Region,MATCH($C333,c_ID,0)),"غير معرّف")</f>
        <v>الجنوبية</v>
      </c>
      <c r="F333" s="81" t="s">
        <v>184</v>
      </c>
      <c r="G333" s="83" t="str">
        <f aca="false">IFERROR(INDEX(p_Name,MATCH($F333,p_ID,0)),"غير معرّف")</f>
        <v>عطر فاخر</v>
      </c>
      <c r="H333" s="83" t="str">
        <f aca="false">IFERROR(INDEX(p_Cat,MATCH($F333,p_ID,0)),"غير معرّف")</f>
        <v>عناية شخصية</v>
      </c>
      <c r="I333" s="81" t="s">
        <v>467</v>
      </c>
      <c r="J333" s="81" t="s">
        <v>91</v>
      </c>
      <c r="K333" s="81" t="n">
        <v>2</v>
      </c>
      <c r="L333" s="84" t="n">
        <f aca="false">IFERROR(INDEX(p_Price,MATCH($F333,p_ID,0)),0)</f>
        <v>520</v>
      </c>
      <c r="M333" s="85" t="n">
        <v>0</v>
      </c>
      <c r="N333" s="81" t="s">
        <v>644</v>
      </c>
      <c r="O333" s="84" t="n">
        <f aca="false">IF($N333="مرتجع",0,K333*L333*(1-M333))</f>
        <v>1040</v>
      </c>
      <c r="P333" s="84" t="n">
        <f aca="false">IF($N333="مرتجع",0,K333*IFERROR(INDEX(p_Cost,MATCH($F333,p_ID,0)),0))</f>
        <v>420</v>
      </c>
      <c r="Q333" s="84" t="n">
        <f aca="false">O333-P333</f>
        <v>620</v>
      </c>
      <c r="R333" s="86" t="n">
        <f aca="false">DATE(YEAR(B333),MONTH(B333),1)</f>
        <v>45992</v>
      </c>
      <c r="S333" s="83" t="str">
        <f aca="false">YEAR(B333)&amp;"-Q"&amp;ROUNDUP(MONTH(B333)/3,0)</f>
        <v>2025-Q4</v>
      </c>
      <c r="T333" s="87" t="n">
        <f aca="false">IF(O333&gt;0,Q333/O333,"")</f>
        <v>0.596153846153846</v>
      </c>
      <c r="U333" s="84" t="n">
        <f aca="false">IF(O333&gt;0,O333,"")</f>
        <v>1040</v>
      </c>
    </row>
    <row r="334" customFormat="false" ht="15" hidden="false" customHeight="false" outlineLevel="0" collapsed="false">
      <c r="A334" s="81" t="s">
        <v>977</v>
      </c>
      <c r="B334" s="82" t="n">
        <v>46001</v>
      </c>
      <c r="C334" s="81" t="s">
        <v>378</v>
      </c>
      <c r="D334" s="83" t="str">
        <f aca="false">IFERROR(INDEX(c_Name,MATCH($C334,c_ID,0)),"غير معرّف")</f>
        <v>هند الغامدي</v>
      </c>
      <c r="E334" s="83" t="str">
        <f aca="false">IFERROR(INDEX(c_Region,MATCH($C334,c_ID,0)),"غير معرّف")</f>
        <v>الوسطى</v>
      </c>
      <c r="F334" s="81" t="s">
        <v>175</v>
      </c>
      <c r="G334" s="83" t="str">
        <f aca="false">IFERROR(INDEX(p_Name,MATCH($F334,p_ID,0)),"غير معرّف")</f>
        <v>رف كتب</v>
      </c>
      <c r="H334" s="83" t="str">
        <f aca="false">IFERROR(INDEX(p_Cat,MATCH($F334,p_ID,0)),"غير معرّف")</f>
        <v>أثاث</v>
      </c>
      <c r="I334" s="81" t="s">
        <v>446</v>
      </c>
      <c r="J334" s="81" t="s">
        <v>91</v>
      </c>
      <c r="K334" s="81" t="n">
        <v>1</v>
      </c>
      <c r="L334" s="84" t="n">
        <f aca="false">IFERROR(INDEX(p_Price,MATCH($F334,p_ID,0)),0)</f>
        <v>400</v>
      </c>
      <c r="M334" s="85" t="n">
        <v>0.2</v>
      </c>
      <c r="N334" s="81" t="s">
        <v>644</v>
      </c>
      <c r="O334" s="84" t="n">
        <f aca="false">IF($N334="مرتجع",0,K334*L334*(1-M334))</f>
        <v>320</v>
      </c>
      <c r="P334" s="84" t="n">
        <f aca="false">IF($N334="مرتجع",0,K334*IFERROR(INDEX(p_Cost,MATCH($F334,p_ID,0)),0))</f>
        <v>220</v>
      </c>
      <c r="Q334" s="84" t="n">
        <f aca="false">O334-P334</f>
        <v>100</v>
      </c>
      <c r="R334" s="86" t="n">
        <f aca="false">DATE(YEAR(B334),MONTH(B334),1)</f>
        <v>45992</v>
      </c>
      <c r="S334" s="83" t="str">
        <f aca="false">YEAR(B334)&amp;"-Q"&amp;ROUNDUP(MONTH(B334)/3,0)</f>
        <v>2025-Q4</v>
      </c>
      <c r="T334" s="87" t="n">
        <f aca="false">IF(O334&gt;0,Q334/O334,"")</f>
        <v>0.3125</v>
      </c>
      <c r="U334" s="84" t="n">
        <f aca="false">IF(O334&gt;0,O334,"")</f>
        <v>320</v>
      </c>
    </row>
    <row r="335" customFormat="false" ht="15" hidden="false" customHeight="false" outlineLevel="0" collapsed="false">
      <c r="A335" s="81" t="s">
        <v>978</v>
      </c>
      <c r="B335" s="82" t="n">
        <v>46001</v>
      </c>
      <c r="C335" s="81" t="s">
        <v>406</v>
      </c>
      <c r="D335" s="83" t="str">
        <f aca="false">IFERROR(INDEX(c_Name,MATCH($C335,c_ID,0)),"غير معرّف")</f>
        <v>نورة الشهري</v>
      </c>
      <c r="E335" s="83" t="str">
        <f aca="false">IFERROR(INDEX(c_Region,MATCH($C335,c_ID,0)),"غير معرّف")</f>
        <v>الجنوبية</v>
      </c>
      <c r="F335" s="81" t="s">
        <v>179</v>
      </c>
      <c r="G335" s="83" t="str">
        <f aca="false">IFERROR(INDEX(p_Name,MATCH($F335,p_ID,0)),"غير معرّف")</f>
        <v>طقم أدوات مكتبية</v>
      </c>
      <c r="H335" s="83" t="str">
        <f aca="false">IFERROR(INDEX(p_Cat,MATCH($F335,p_ID,0)),"غير معرّف")</f>
        <v>مستلزمات مكتبية</v>
      </c>
      <c r="I335" s="81" t="s">
        <v>465</v>
      </c>
      <c r="J335" s="81" t="s">
        <v>95</v>
      </c>
      <c r="K335" s="81" t="n">
        <v>20</v>
      </c>
      <c r="L335" s="84" t="n">
        <f aca="false">IFERROR(INDEX(p_Price,MATCH($F335,p_ID,0)),0)</f>
        <v>90</v>
      </c>
      <c r="M335" s="85" t="n">
        <v>0.1</v>
      </c>
      <c r="N335" s="81" t="s">
        <v>644</v>
      </c>
      <c r="O335" s="84" t="n">
        <f aca="false">IF($N335="مرتجع",0,K335*L335*(1-M335))</f>
        <v>1620</v>
      </c>
      <c r="P335" s="84" t="n">
        <f aca="false">IF($N335="مرتجع",0,K335*IFERROR(INDEX(p_Cost,MATCH($F335,p_ID,0)),0))</f>
        <v>900</v>
      </c>
      <c r="Q335" s="84" t="n">
        <f aca="false">O335-P335</f>
        <v>720</v>
      </c>
      <c r="R335" s="86" t="n">
        <f aca="false">DATE(YEAR(B335),MONTH(B335),1)</f>
        <v>45992</v>
      </c>
      <c r="S335" s="83" t="str">
        <f aca="false">YEAR(B335)&amp;"-Q"&amp;ROUNDUP(MONTH(B335)/3,0)</f>
        <v>2025-Q4</v>
      </c>
      <c r="T335" s="87" t="n">
        <f aca="false">IF(O335&gt;0,Q335/O335,"")</f>
        <v>0.444444444444444</v>
      </c>
      <c r="U335" s="84" t="n">
        <f aca="false">IF(O335&gt;0,O335,"")</f>
        <v>1620</v>
      </c>
    </row>
    <row r="336" customFormat="false" ht="15" hidden="false" customHeight="false" outlineLevel="0" collapsed="false">
      <c r="A336" s="81" t="s">
        <v>979</v>
      </c>
      <c r="B336" s="82" t="n">
        <v>46002</v>
      </c>
      <c r="C336" s="81" t="s">
        <v>255</v>
      </c>
      <c r="D336" s="83" t="str">
        <f aca="false">IFERROR(INDEX(c_Name,MATCH($C336,c_ID,0)),"غير معرّف")</f>
        <v>سارة العتيبي</v>
      </c>
      <c r="E336" s="83" t="str">
        <f aca="false">IFERROR(INDEX(c_Region,MATCH($C336,c_ID,0)),"غير معرّف")</f>
        <v>الغربية</v>
      </c>
      <c r="F336" s="81" t="s">
        <v>176</v>
      </c>
      <c r="G336" s="83" t="str">
        <f aca="false">IFERROR(INDEX(p_Name,MATCH($F336,p_ID,0)),"غير معرّف")</f>
        <v>طابعة ليزر</v>
      </c>
      <c r="H336" s="83" t="str">
        <f aca="false">IFERROR(INDEX(p_Cat,MATCH($F336,p_ID,0)),"غير معرّف")</f>
        <v>مستلزمات مكتبية</v>
      </c>
      <c r="I336" s="81" t="s">
        <v>455</v>
      </c>
      <c r="J336" s="81" t="s">
        <v>91</v>
      </c>
      <c r="K336" s="81" t="n">
        <v>2</v>
      </c>
      <c r="L336" s="84" t="n">
        <f aca="false">IFERROR(INDEX(p_Price,MATCH($F336,p_ID,0)),0)</f>
        <v>1300</v>
      </c>
      <c r="M336" s="85" t="n">
        <v>0.15</v>
      </c>
      <c r="N336" s="81" t="s">
        <v>644</v>
      </c>
      <c r="O336" s="84" t="n">
        <f aca="false">IF($N336="مرتجع",0,K336*L336*(1-M336))</f>
        <v>2210</v>
      </c>
      <c r="P336" s="84" t="n">
        <f aca="false">IF($N336="مرتجع",0,K336*IFERROR(INDEX(p_Cost,MATCH($F336,p_ID,0)),0))</f>
        <v>1900</v>
      </c>
      <c r="Q336" s="84" t="n">
        <f aca="false">O336-P336</f>
        <v>310</v>
      </c>
      <c r="R336" s="86" t="n">
        <f aca="false">DATE(YEAR(B336),MONTH(B336),1)</f>
        <v>45992</v>
      </c>
      <c r="S336" s="83" t="str">
        <f aca="false">YEAR(B336)&amp;"-Q"&amp;ROUNDUP(MONTH(B336)/3,0)</f>
        <v>2025-Q4</v>
      </c>
      <c r="T336" s="87" t="n">
        <f aca="false">IF(O336&gt;0,Q336/O336,"")</f>
        <v>0.14027149321267</v>
      </c>
      <c r="U336" s="84" t="n">
        <f aca="false">IF(O336&gt;0,O336,"")</f>
        <v>2210</v>
      </c>
    </row>
    <row r="337" customFormat="false" ht="15" hidden="false" customHeight="false" outlineLevel="0" collapsed="false">
      <c r="A337" s="81" t="s">
        <v>980</v>
      </c>
      <c r="B337" s="82" t="n">
        <v>46002</v>
      </c>
      <c r="C337" s="81" t="s">
        <v>309</v>
      </c>
      <c r="D337" s="83" t="str">
        <f aca="false">IFERROR(INDEX(c_Name,MATCH($C337,c_ID,0)),"غير معرّف")</f>
        <v>ياسر العنزي</v>
      </c>
      <c r="E337" s="83" t="str">
        <f aca="false">IFERROR(INDEX(c_Region,MATCH($C337,c_ID,0)),"غير معرّف")</f>
        <v>الوسطى</v>
      </c>
      <c r="F337" s="81" t="s">
        <v>168</v>
      </c>
      <c r="G337" s="83" t="str">
        <f aca="false">IFERROR(INDEX(p_Name,MATCH($F337,p_ID,0)),"غير معرّف")</f>
        <v>مكنسة كهربائية</v>
      </c>
      <c r="H337" s="83" t="str">
        <f aca="false">IFERROR(INDEX(p_Cat,MATCH($F337,p_ID,0)),"غير معرّف")</f>
        <v>أجهزة منزلية</v>
      </c>
      <c r="I337" s="81" t="s">
        <v>446</v>
      </c>
      <c r="J337" s="81" t="s">
        <v>91</v>
      </c>
      <c r="K337" s="81" t="n">
        <v>1</v>
      </c>
      <c r="L337" s="84" t="n">
        <f aca="false">IFERROR(INDEX(p_Price,MATCH($F337,p_ID,0)),0)</f>
        <v>650</v>
      </c>
      <c r="M337" s="85" t="n">
        <v>0</v>
      </c>
      <c r="N337" s="81" t="s">
        <v>644</v>
      </c>
      <c r="O337" s="84" t="n">
        <f aca="false">IF($N337="مرتجع",0,K337*L337*(1-M337))</f>
        <v>650</v>
      </c>
      <c r="P337" s="84" t="n">
        <f aca="false">IF($N337="مرتجع",0,K337*IFERROR(INDEX(p_Cost,MATCH($F337,p_ID,0)),0))</f>
        <v>420</v>
      </c>
      <c r="Q337" s="84" t="n">
        <f aca="false">O337-P337</f>
        <v>230</v>
      </c>
      <c r="R337" s="86" t="n">
        <f aca="false">DATE(YEAR(B337),MONTH(B337),1)</f>
        <v>45992</v>
      </c>
      <c r="S337" s="83" t="str">
        <f aca="false">YEAR(B337)&amp;"-Q"&amp;ROUNDUP(MONTH(B337)/3,0)</f>
        <v>2025-Q4</v>
      </c>
      <c r="T337" s="87" t="n">
        <f aca="false">IF(O337&gt;0,Q337/O337,"")</f>
        <v>0.353846153846154</v>
      </c>
      <c r="U337" s="84" t="n">
        <f aca="false">IF(O337&gt;0,O337,"")</f>
        <v>650</v>
      </c>
    </row>
    <row r="338" customFormat="false" ht="15" hidden="false" customHeight="false" outlineLevel="0" collapsed="false">
      <c r="A338" s="81" t="s">
        <v>981</v>
      </c>
      <c r="B338" s="82" t="n">
        <v>46002</v>
      </c>
      <c r="C338" s="81" t="s">
        <v>235</v>
      </c>
      <c r="D338" s="83" t="str">
        <f aca="false">IFERROR(INDEX(c_Name,MATCH($C338,c_ID,0)),"غير معرّف")</f>
        <v>ليلى الزهراني</v>
      </c>
      <c r="E338" s="83" t="str">
        <f aca="false">IFERROR(INDEX(c_Region,MATCH($C338,c_ID,0)),"غير معرّف")</f>
        <v>الشرقية</v>
      </c>
      <c r="F338" s="81" t="s">
        <v>168</v>
      </c>
      <c r="G338" s="83" t="str">
        <f aca="false">IFERROR(INDEX(p_Name,MATCH($F338,p_ID,0)),"غير معرّف")</f>
        <v>مكنسة كهربائية</v>
      </c>
      <c r="H338" s="83" t="str">
        <f aca="false">IFERROR(INDEX(p_Cat,MATCH($F338,p_ID,0)),"غير معرّف")</f>
        <v>أجهزة منزلية</v>
      </c>
      <c r="I338" s="81" t="s">
        <v>461</v>
      </c>
      <c r="J338" s="81" t="s">
        <v>91</v>
      </c>
      <c r="K338" s="81" t="n">
        <v>2</v>
      </c>
      <c r="L338" s="84" t="n">
        <f aca="false">IFERROR(INDEX(p_Price,MATCH($F338,p_ID,0)),0)</f>
        <v>650</v>
      </c>
      <c r="M338" s="85" t="n">
        <v>0.1</v>
      </c>
      <c r="N338" s="81" t="s">
        <v>644</v>
      </c>
      <c r="O338" s="84" t="n">
        <f aca="false">IF($N338="مرتجع",0,K338*L338*(1-M338))</f>
        <v>1170</v>
      </c>
      <c r="P338" s="84" t="n">
        <f aca="false">IF($N338="مرتجع",0,K338*IFERROR(INDEX(p_Cost,MATCH($F338,p_ID,0)),0))</f>
        <v>840</v>
      </c>
      <c r="Q338" s="84" t="n">
        <f aca="false">O338-P338</f>
        <v>330</v>
      </c>
      <c r="R338" s="86" t="n">
        <f aca="false">DATE(YEAR(B338),MONTH(B338),1)</f>
        <v>45992</v>
      </c>
      <c r="S338" s="83" t="str">
        <f aca="false">YEAR(B338)&amp;"-Q"&amp;ROUNDUP(MONTH(B338)/3,0)</f>
        <v>2025-Q4</v>
      </c>
      <c r="T338" s="87" t="n">
        <f aca="false">IF(O338&gt;0,Q338/O338,"")</f>
        <v>0.282051282051282</v>
      </c>
      <c r="U338" s="84" t="n">
        <f aca="false">IF(O338&gt;0,O338,"")</f>
        <v>1170</v>
      </c>
    </row>
    <row r="339" customFormat="false" ht="15" hidden="false" customHeight="false" outlineLevel="0" collapsed="false">
      <c r="A339" s="81" t="s">
        <v>982</v>
      </c>
      <c r="B339" s="82" t="n">
        <v>46002</v>
      </c>
      <c r="C339" s="81" t="s">
        <v>365</v>
      </c>
      <c r="D339" s="83" t="str">
        <f aca="false">IFERROR(INDEX(c_Name,MATCH($C339,c_ID,0)),"غير معرّف")</f>
        <v>نورة الغامدي</v>
      </c>
      <c r="E339" s="83" t="str">
        <f aca="false">IFERROR(INDEX(c_Region,MATCH($C339,c_ID,0)),"غير معرّف")</f>
        <v>الوسطى</v>
      </c>
      <c r="F339" s="81" t="s">
        <v>183</v>
      </c>
      <c r="G339" s="83" t="str">
        <f aca="false">IFERROR(INDEX(p_Name,MATCH($F339,p_ID,0)),"غير معرّف")</f>
        <v>سجادة يوغا</v>
      </c>
      <c r="H339" s="83" t="str">
        <f aca="false">IFERROR(INDEX(p_Cat,MATCH($F339,p_ID,0)),"غير معرّف")</f>
        <v>رياضة</v>
      </c>
      <c r="I339" s="81" t="s">
        <v>443</v>
      </c>
      <c r="J339" s="81" t="s">
        <v>93</v>
      </c>
      <c r="K339" s="81" t="n">
        <v>2</v>
      </c>
      <c r="L339" s="84" t="n">
        <f aca="false">IFERROR(INDEX(p_Price,MATCH($F339,p_ID,0)),0)</f>
        <v>120</v>
      </c>
      <c r="M339" s="85" t="n">
        <v>0</v>
      </c>
      <c r="N339" s="81" t="s">
        <v>644</v>
      </c>
      <c r="O339" s="84" t="n">
        <f aca="false">IF($N339="مرتجع",0,K339*L339*(1-M339))</f>
        <v>240</v>
      </c>
      <c r="P339" s="84" t="n">
        <f aca="false">IF($N339="مرتجع",0,K339*IFERROR(INDEX(p_Cost,MATCH($F339,p_ID,0)),0))</f>
        <v>100</v>
      </c>
      <c r="Q339" s="84" t="n">
        <f aca="false">O339-P339</f>
        <v>140</v>
      </c>
      <c r="R339" s="86" t="n">
        <f aca="false">DATE(YEAR(B339),MONTH(B339),1)</f>
        <v>45992</v>
      </c>
      <c r="S339" s="83" t="str">
        <f aca="false">YEAR(B339)&amp;"-Q"&amp;ROUNDUP(MONTH(B339)/3,0)</f>
        <v>2025-Q4</v>
      </c>
      <c r="T339" s="87" t="n">
        <f aca="false">IF(O339&gt;0,Q339/O339,"")</f>
        <v>0.583333333333333</v>
      </c>
      <c r="U339" s="84" t="n">
        <f aca="false">IF(O339&gt;0,O339,"")</f>
        <v>240</v>
      </c>
    </row>
    <row r="340" customFormat="false" ht="15" hidden="false" customHeight="false" outlineLevel="0" collapsed="false">
      <c r="A340" s="81" t="s">
        <v>983</v>
      </c>
      <c r="B340" s="82" t="n">
        <v>46002</v>
      </c>
      <c r="C340" s="81" t="s">
        <v>404</v>
      </c>
      <c r="D340" s="83" t="str">
        <f aca="false">IFERROR(INDEX(c_Name,MATCH($C340,c_ID,0)),"غير معرّف")</f>
        <v>عبدالله الحسيني</v>
      </c>
      <c r="E340" s="83" t="str">
        <f aca="false">IFERROR(INDEX(c_Region,MATCH($C340,c_ID,0)),"غير معرّف")</f>
        <v>الشرقية</v>
      </c>
      <c r="F340" s="81" t="s">
        <v>169</v>
      </c>
      <c r="G340" s="83" t="str">
        <f aca="false">IFERROR(INDEX(p_Name,MATCH($F340,p_ID,0)),"غير معرّف")</f>
        <v>خلاط</v>
      </c>
      <c r="H340" s="83" t="str">
        <f aca="false">IFERROR(INDEX(p_Cat,MATCH($F340,p_ID,0)),"غير معرّف")</f>
        <v>أجهزة منزلية</v>
      </c>
      <c r="I340" s="81" t="s">
        <v>463</v>
      </c>
      <c r="J340" s="81" t="s">
        <v>93</v>
      </c>
      <c r="K340" s="81" t="n">
        <v>1</v>
      </c>
      <c r="L340" s="84" t="n">
        <f aca="false">IFERROR(INDEX(p_Price,MATCH($F340,p_ID,0)),0)</f>
        <v>300</v>
      </c>
      <c r="M340" s="85" t="n">
        <v>0.1</v>
      </c>
      <c r="N340" s="81" t="s">
        <v>644</v>
      </c>
      <c r="O340" s="84" t="n">
        <f aca="false">IF($N340="مرتجع",0,K340*L340*(1-M340))</f>
        <v>270</v>
      </c>
      <c r="P340" s="84" t="n">
        <f aca="false">IF($N340="مرتجع",0,K340*IFERROR(INDEX(p_Cost,MATCH($F340,p_ID,0)),0))</f>
        <v>175</v>
      </c>
      <c r="Q340" s="84" t="n">
        <f aca="false">O340-P340</f>
        <v>95</v>
      </c>
      <c r="R340" s="86" t="n">
        <f aca="false">DATE(YEAR(B340),MONTH(B340),1)</f>
        <v>45992</v>
      </c>
      <c r="S340" s="83" t="str">
        <f aca="false">YEAR(B340)&amp;"-Q"&amp;ROUNDUP(MONTH(B340)/3,0)</f>
        <v>2025-Q4</v>
      </c>
      <c r="T340" s="87" t="n">
        <f aca="false">IF(O340&gt;0,Q340/O340,"")</f>
        <v>0.351851851851852</v>
      </c>
      <c r="U340" s="84" t="n">
        <f aca="false">IF(O340&gt;0,O340,"")</f>
        <v>270</v>
      </c>
    </row>
    <row r="341" customFormat="false" ht="15" hidden="false" customHeight="false" outlineLevel="0" collapsed="false">
      <c r="A341" s="81" t="s">
        <v>984</v>
      </c>
      <c r="B341" s="82" t="n">
        <v>46002</v>
      </c>
      <c r="C341" s="81" t="s">
        <v>364</v>
      </c>
      <c r="D341" s="83" t="str">
        <f aca="false">IFERROR(INDEX(c_Name,MATCH($C341,c_ID,0)),"غير معرّف")</f>
        <v>عبير الدوسري</v>
      </c>
      <c r="E341" s="83" t="str">
        <f aca="false">IFERROR(INDEX(c_Region,MATCH($C341,c_ID,0)),"غير معرّف")</f>
        <v>الشرقية</v>
      </c>
      <c r="F341" s="81" t="s">
        <v>186</v>
      </c>
      <c r="G341" s="83" t="str">
        <f aca="false">IFERROR(INDEX(p_Name,MATCH($F341,p_ID,0)),"غير معرّف")</f>
        <v>مجفف شعر</v>
      </c>
      <c r="H341" s="83" t="str">
        <f aca="false">IFERROR(INDEX(p_Cat,MATCH($F341,p_ID,0)),"غير معرّف")</f>
        <v>عناية شخصية</v>
      </c>
      <c r="I341" s="81" t="s">
        <v>463</v>
      </c>
      <c r="J341" s="81" t="s">
        <v>91</v>
      </c>
      <c r="K341" s="81" t="n">
        <v>1</v>
      </c>
      <c r="L341" s="84" t="n">
        <f aca="false">IFERROR(INDEX(p_Price,MATCH($F341,p_ID,0)),0)</f>
        <v>280</v>
      </c>
      <c r="M341" s="85" t="n">
        <v>0.05</v>
      </c>
      <c r="N341" s="81" t="s">
        <v>644</v>
      </c>
      <c r="O341" s="84" t="n">
        <f aca="false">IF($N341="مرتجع",0,K341*L341*(1-M341))</f>
        <v>266</v>
      </c>
      <c r="P341" s="84" t="n">
        <f aca="false">IF($N341="مرتجع",0,K341*IFERROR(INDEX(p_Cost,MATCH($F341,p_ID,0)),0))</f>
        <v>140</v>
      </c>
      <c r="Q341" s="84" t="n">
        <f aca="false">O341-P341</f>
        <v>126</v>
      </c>
      <c r="R341" s="86" t="n">
        <f aca="false">DATE(YEAR(B341),MONTH(B341),1)</f>
        <v>45992</v>
      </c>
      <c r="S341" s="83" t="str">
        <f aca="false">YEAR(B341)&amp;"-Q"&amp;ROUNDUP(MONTH(B341)/3,0)</f>
        <v>2025-Q4</v>
      </c>
      <c r="T341" s="87" t="n">
        <f aca="false">IF(O341&gt;0,Q341/O341,"")</f>
        <v>0.473684210526316</v>
      </c>
      <c r="U341" s="84" t="n">
        <f aca="false">IF(O341&gt;0,O341,"")</f>
        <v>266</v>
      </c>
    </row>
    <row r="342" customFormat="false" ht="15" hidden="false" customHeight="false" outlineLevel="0" collapsed="false">
      <c r="A342" s="81" t="s">
        <v>985</v>
      </c>
      <c r="B342" s="82" t="n">
        <v>46003</v>
      </c>
      <c r="C342" s="81" t="s">
        <v>419</v>
      </c>
      <c r="D342" s="83" t="str">
        <f aca="false">IFERROR(INDEX(c_Name,MATCH($C342,c_ID,0)),"غير معرّف")</f>
        <v>خالد العتيبي</v>
      </c>
      <c r="E342" s="83" t="str">
        <f aca="false">IFERROR(INDEX(c_Region,MATCH($C342,c_ID,0)),"غير معرّف")</f>
        <v>الجنوبية</v>
      </c>
      <c r="F342" s="81" t="s">
        <v>167</v>
      </c>
      <c r="G342" s="83" t="str">
        <f aca="false">IFERROR(INDEX(p_Name,MATCH($F342,p_ID,0)),"غير معرّف")</f>
        <v>شاشة 27 بوصة</v>
      </c>
      <c r="H342" s="83" t="str">
        <f aca="false">IFERROR(INDEX(p_Cat,MATCH($F342,p_ID,0)),"غير معرّف")</f>
        <v>إلكترونيات</v>
      </c>
      <c r="I342" s="81" t="s">
        <v>465</v>
      </c>
      <c r="J342" s="81" t="s">
        <v>91</v>
      </c>
      <c r="K342" s="81" t="n">
        <v>2</v>
      </c>
      <c r="L342" s="84" t="n">
        <f aca="false">IFERROR(INDEX(p_Price,MATCH($F342,p_ID,0)),0)</f>
        <v>1100</v>
      </c>
      <c r="M342" s="85" t="n">
        <v>0.15</v>
      </c>
      <c r="N342" s="81" t="s">
        <v>644</v>
      </c>
      <c r="O342" s="84" t="n">
        <f aca="false">IF($N342="مرتجع",0,K342*L342*(1-M342))</f>
        <v>1870</v>
      </c>
      <c r="P342" s="84" t="n">
        <f aca="false">IF($N342="مرتجع",0,K342*IFERROR(INDEX(p_Cost,MATCH($F342,p_ID,0)),0))</f>
        <v>1560</v>
      </c>
      <c r="Q342" s="84" t="n">
        <f aca="false">O342-P342</f>
        <v>310</v>
      </c>
      <c r="R342" s="86" t="n">
        <f aca="false">DATE(YEAR(B342),MONTH(B342),1)</f>
        <v>45992</v>
      </c>
      <c r="S342" s="83" t="str">
        <f aca="false">YEAR(B342)&amp;"-Q"&amp;ROUNDUP(MONTH(B342)/3,0)</f>
        <v>2025-Q4</v>
      </c>
      <c r="T342" s="87" t="n">
        <f aca="false">IF(O342&gt;0,Q342/O342,"")</f>
        <v>0.165775401069519</v>
      </c>
      <c r="U342" s="84" t="n">
        <f aca="false">IF(O342&gt;0,O342,"")</f>
        <v>1870</v>
      </c>
    </row>
    <row r="343" customFormat="false" ht="15" hidden="false" customHeight="false" outlineLevel="0" collapsed="false">
      <c r="A343" s="81" t="s">
        <v>986</v>
      </c>
      <c r="B343" s="82" t="n">
        <v>46003</v>
      </c>
      <c r="C343" s="81" t="s">
        <v>287</v>
      </c>
      <c r="D343" s="83" t="str">
        <f aca="false">IFERROR(INDEX(c_Name,MATCH($C343,c_ID,0)),"غير معرّف")</f>
        <v>محمد الشهري</v>
      </c>
      <c r="E343" s="83" t="str">
        <f aca="false">IFERROR(INDEX(c_Region,MATCH($C343,c_ID,0)),"غير معرّف")</f>
        <v>الغربية</v>
      </c>
      <c r="F343" s="81" t="s">
        <v>179</v>
      </c>
      <c r="G343" s="83" t="str">
        <f aca="false">IFERROR(INDEX(p_Name,MATCH($F343,p_ID,0)),"غير معرّف")</f>
        <v>طقم أدوات مكتبية</v>
      </c>
      <c r="H343" s="83" t="str">
        <f aca="false">IFERROR(INDEX(p_Cat,MATCH($F343,p_ID,0)),"غير معرّف")</f>
        <v>مستلزمات مكتبية</v>
      </c>
      <c r="I343" s="81" t="s">
        <v>452</v>
      </c>
      <c r="J343" s="81" t="s">
        <v>93</v>
      </c>
      <c r="K343" s="81" t="n">
        <v>3</v>
      </c>
      <c r="L343" s="84" t="n">
        <f aca="false">IFERROR(INDEX(p_Price,MATCH($F343,p_ID,0)),0)</f>
        <v>90</v>
      </c>
      <c r="M343" s="85" t="n">
        <v>0</v>
      </c>
      <c r="N343" s="81" t="s">
        <v>644</v>
      </c>
      <c r="O343" s="84" t="n">
        <f aca="false">IF($N343="مرتجع",0,K343*L343*(1-M343))</f>
        <v>270</v>
      </c>
      <c r="P343" s="84" t="n">
        <f aca="false">IF($N343="مرتجع",0,K343*IFERROR(INDEX(p_Cost,MATCH($F343,p_ID,0)),0))</f>
        <v>135</v>
      </c>
      <c r="Q343" s="84" t="n">
        <f aca="false">O343-P343</f>
        <v>135</v>
      </c>
      <c r="R343" s="86" t="n">
        <f aca="false">DATE(YEAR(B343),MONTH(B343),1)</f>
        <v>45992</v>
      </c>
      <c r="S343" s="83" t="str">
        <f aca="false">YEAR(B343)&amp;"-Q"&amp;ROUNDUP(MONTH(B343)/3,0)</f>
        <v>2025-Q4</v>
      </c>
      <c r="T343" s="87" t="n">
        <f aca="false">IF(O343&gt;0,Q343/O343,"")</f>
        <v>0.5</v>
      </c>
      <c r="U343" s="84" t="n">
        <f aca="false">IF(O343&gt;0,O343,"")</f>
        <v>270</v>
      </c>
    </row>
    <row r="344" customFormat="false" ht="15" hidden="false" customHeight="false" outlineLevel="0" collapsed="false">
      <c r="A344" s="81" t="s">
        <v>987</v>
      </c>
      <c r="B344" s="82" t="n">
        <v>46003</v>
      </c>
      <c r="C344" s="81" t="s">
        <v>414</v>
      </c>
      <c r="D344" s="83" t="str">
        <f aca="false">IFERROR(INDEX(c_Name,MATCH($C344,c_ID,0)),"غير معرّف")</f>
        <v>هند المطيري</v>
      </c>
      <c r="E344" s="83" t="str">
        <f aca="false">IFERROR(INDEX(c_Region,MATCH($C344,c_ID,0)),"غير معرّف")</f>
        <v>الشرقية</v>
      </c>
      <c r="F344" s="81" t="s">
        <v>179</v>
      </c>
      <c r="G344" s="83" t="str">
        <f aca="false">IFERROR(INDEX(p_Name,MATCH($F344,p_ID,0)),"غير معرّف")</f>
        <v>طقم أدوات مكتبية</v>
      </c>
      <c r="H344" s="83" t="str">
        <f aca="false">IFERROR(INDEX(p_Cat,MATCH($F344,p_ID,0)),"غير معرّف")</f>
        <v>مستلزمات مكتبية</v>
      </c>
      <c r="I344" s="81" t="s">
        <v>463</v>
      </c>
      <c r="J344" s="81" t="s">
        <v>93</v>
      </c>
      <c r="K344" s="81" t="n">
        <v>1</v>
      </c>
      <c r="L344" s="84" t="n">
        <f aca="false">IFERROR(INDEX(p_Price,MATCH($F344,p_ID,0)),0)</f>
        <v>90</v>
      </c>
      <c r="M344" s="85" t="n">
        <v>0</v>
      </c>
      <c r="N344" s="81" t="s">
        <v>650</v>
      </c>
      <c r="O344" s="84" t="n">
        <f aca="false">IF($N344="مرتجع",0,K344*L344*(1-M344))</f>
        <v>0</v>
      </c>
      <c r="P344" s="84" t="n">
        <f aca="false">IF($N344="مرتجع",0,K344*IFERROR(INDEX(p_Cost,MATCH($F344,p_ID,0)),0))</f>
        <v>0</v>
      </c>
      <c r="Q344" s="84" t="n">
        <f aca="false">O344-P344</f>
        <v>0</v>
      </c>
      <c r="R344" s="86" t="n">
        <f aca="false">DATE(YEAR(B344),MONTH(B344),1)</f>
        <v>45992</v>
      </c>
      <c r="S344" s="83" t="str">
        <f aca="false">YEAR(B344)&amp;"-Q"&amp;ROUNDUP(MONTH(B344)/3,0)</f>
        <v>2025-Q4</v>
      </c>
      <c r="T344" s="87" t="str">
        <f aca="false">IF(O344&gt;0,Q344/O344,"")</f>
        <v/>
      </c>
      <c r="U344" s="84" t="str">
        <f aca="false">IF(O344&gt;0,O344,"")</f>
        <v/>
      </c>
    </row>
    <row r="345" customFormat="false" ht="15" hidden="false" customHeight="false" outlineLevel="0" collapsed="false">
      <c r="A345" s="81" t="s">
        <v>988</v>
      </c>
      <c r="B345" s="82" t="n">
        <v>46003</v>
      </c>
      <c r="C345" s="81" t="s">
        <v>251</v>
      </c>
      <c r="D345" s="83" t="str">
        <f aca="false">IFERROR(INDEX(c_Name,MATCH($C345,c_ID,0)),"غير معرّف")</f>
        <v>ليلى البلوي</v>
      </c>
      <c r="E345" s="83" t="str">
        <f aca="false">IFERROR(INDEX(c_Region,MATCH($C345,c_ID,0)),"غير معرّف")</f>
        <v>الجنوبية</v>
      </c>
      <c r="F345" s="81" t="s">
        <v>164</v>
      </c>
      <c r="G345" s="83" t="str">
        <f aca="false">IFERROR(INDEX(p_Name,MATCH($F345,p_ID,0)),"غير معرّف")</f>
        <v>هاتف ذكي</v>
      </c>
      <c r="H345" s="83" t="str">
        <f aca="false">IFERROR(INDEX(p_Cat,MATCH($F345,p_ID,0)),"غير معرّف")</f>
        <v>إلكترونيات</v>
      </c>
      <c r="I345" s="81" t="s">
        <v>467</v>
      </c>
      <c r="J345" s="81" t="s">
        <v>91</v>
      </c>
      <c r="K345" s="81" t="n">
        <v>2</v>
      </c>
      <c r="L345" s="84" t="n">
        <f aca="false">IFERROR(INDEX(p_Price,MATCH($F345,p_ID,0)),0)</f>
        <v>2400</v>
      </c>
      <c r="M345" s="85" t="n">
        <v>0.1</v>
      </c>
      <c r="N345" s="81" t="s">
        <v>644</v>
      </c>
      <c r="O345" s="84" t="n">
        <f aca="false">IF($N345="مرتجع",0,K345*L345*(1-M345))</f>
        <v>4320</v>
      </c>
      <c r="P345" s="84" t="n">
        <f aca="false">IF($N345="مرتجع",0,K345*IFERROR(INDEX(p_Cost,MATCH($F345,p_ID,0)),0))</f>
        <v>3500</v>
      </c>
      <c r="Q345" s="84" t="n">
        <f aca="false">O345-P345</f>
        <v>820</v>
      </c>
      <c r="R345" s="86" t="n">
        <f aca="false">DATE(YEAR(B345),MONTH(B345),1)</f>
        <v>45992</v>
      </c>
      <c r="S345" s="83" t="str">
        <f aca="false">YEAR(B345)&amp;"-Q"&amp;ROUNDUP(MONTH(B345)/3,0)</f>
        <v>2025-Q4</v>
      </c>
      <c r="T345" s="87" t="n">
        <f aca="false">IF(O345&gt;0,Q345/O345,"")</f>
        <v>0.189814814814815</v>
      </c>
      <c r="U345" s="84" t="n">
        <f aca="false">IF(O345&gt;0,O345,"")</f>
        <v>4320</v>
      </c>
    </row>
    <row r="346" customFormat="false" ht="15" hidden="false" customHeight="false" outlineLevel="0" collapsed="false">
      <c r="A346" s="81" t="s">
        <v>989</v>
      </c>
      <c r="B346" s="82" t="n">
        <v>46003</v>
      </c>
      <c r="C346" s="81" t="s">
        <v>337</v>
      </c>
      <c r="D346" s="83" t="str">
        <f aca="false">IFERROR(INDEX(c_Name,MATCH($C346,c_ID,0)),"غير معرّف")</f>
        <v>ليلى السبيعي</v>
      </c>
      <c r="E346" s="83" t="str">
        <f aca="false">IFERROR(INDEX(c_Region,MATCH($C346,c_ID,0)),"غير معرّف")</f>
        <v>الجنوبية</v>
      </c>
      <c r="F346" s="81" t="s">
        <v>183</v>
      </c>
      <c r="G346" s="83" t="str">
        <f aca="false">IFERROR(INDEX(p_Name,MATCH($F346,p_ID,0)),"غير معرّف")</f>
        <v>سجادة يوغا</v>
      </c>
      <c r="H346" s="83" t="str">
        <f aca="false">IFERROR(INDEX(p_Cat,MATCH($F346,p_ID,0)),"غير معرّف")</f>
        <v>رياضة</v>
      </c>
      <c r="I346" s="81" t="s">
        <v>465</v>
      </c>
      <c r="J346" s="81" t="s">
        <v>91</v>
      </c>
      <c r="K346" s="81" t="n">
        <v>1</v>
      </c>
      <c r="L346" s="84" t="n">
        <f aca="false">IFERROR(INDEX(p_Price,MATCH($F346,p_ID,0)),0)</f>
        <v>120</v>
      </c>
      <c r="M346" s="85" t="n">
        <v>0</v>
      </c>
      <c r="N346" s="81" t="s">
        <v>644</v>
      </c>
      <c r="O346" s="84" t="n">
        <f aca="false">IF($N346="مرتجع",0,K346*L346*(1-M346))</f>
        <v>120</v>
      </c>
      <c r="P346" s="84" t="n">
        <f aca="false">IF($N346="مرتجع",0,K346*IFERROR(INDEX(p_Cost,MATCH($F346,p_ID,0)),0))</f>
        <v>50</v>
      </c>
      <c r="Q346" s="84" t="n">
        <f aca="false">O346-P346</f>
        <v>70</v>
      </c>
      <c r="R346" s="86" t="n">
        <f aca="false">DATE(YEAR(B346),MONTH(B346),1)</f>
        <v>45992</v>
      </c>
      <c r="S346" s="83" t="str">
        <f aca="false">YEAR(B346)&amp;"-Q"&amp;ROUNDUP(MONTH(B346)/3,0)</f>
        <v>2025-Q4</v>
      </c>
      <c r="T346" s="87" t="n">
        <f aca="false">IF(O346&gt;0,Q346/O346,"")</f>
        <v>0.583333333333333</v>
      </c>
      <c r="U346" s="84" t="n">
        <f aca="false">IF(O346&gt;0,O346,"")</f>
        <v>120</v>
      </c>
    </row>
    <row r="347" customFormat="false" ht="15" hidden="false" customHeight="false" outlineLevel="0" collapsed="false">
      <c r="A347" s="81" t="s">
        <v>990</v>
      </c>
      <c r="B347" s="82" t="n">
        <v>46004</v>
      </c>
      <c r="C347" s="81" t="s">
        <v>294</v>
      </c>
      <c r="D347" s="83" t="str">
        <f aca="false">IFERROR(INDEX(c_Name,MATCH($C347,c_ID,0)),"غير معرّف")</f>
        <v>خالد البلوي</v>
      </c>
      <c r="E347" s="83" t="str">
        <f aca="false">IFERROR(INDEX(c_Region,MATCH($C347,c_ID,0)),"غير معرّف")</f>
        <v>الوسطى</v>
      </c>
      <c r="F347" s="81" t="s">
        <v>179</v>
      </c>
      <c r="G347" s="83" t="str">
        <f aca="false">IFERROR(INDEX(p_Name,MATCH($F347,p_ID,0)),"غير معرّف")</f>
        <v>طقم أدوات مكتبية</v>
      </c>
      <c r="H347" s="83" t="str">
        <f aca="false">IFERROR(INDEX(p_Cat,MATCH($F347,p_ID,0)),"غير معرّف")</f>
        <v>مستلزمات مكتبية</v>
      </c>
      <c r="I347" s="81" t="s">
        <v>449</v>
      </c>
      <c r="J347" s="81" t="s">
        <v>95</v>
      </c>
      <c r="K347" s="81" t="n">
        <v>20</v>
      </c>
      <c r="L347" s="84" t="n">
        <f aca="false">IFERROR(INDEX(p_Price,MATCH($F347,p_ID,0)),0)</f>
        <v>90</v>
      </c>
      <c r="M347" s="85" t="n">
        <v>0.15</v>
      </c>
      <c r="N347" s="81" t="s">
        <v>644</v>
      </c>
      <c r="O347" s="84" t="n">
        <f aca="false">IF($N347="مرتجع",0,K347*L347*(1-M347))</f>
        <v>1530</v>
      </c>
      <c r="P347" s="84" t="n">
        <f aca="false">IF($N347="مرتجع",0,K347*IFERROR(INDEX(p_Cost,MATCH($F347,p_ID,0)),0))</f>
        <v>900</v>
      </c>
      <c r="Q347" s="84" t="n">
        <f aca="false">O347-P347</f>
        <v>630</v>
      </c>
      <c r="R347" s="86" t="n">
        <f aca="false">DATE(YEAR(B347),MONTH(B347),1)</f>
        <v>45992</v>
      </c>
      <c r="S347" s="83" t="str">
        <f aca="false">YEAR(B347)&amp;"-Q"&amp;ROUNDUP(MONTH(B347)/3,0)</f>
        <v>2025-Q4</v>
      </c>
      <c r="T347" s="87" t="n">
        <f aca="false">IF(O347&gt;0,Q347/O347,"")</f>
        <v>0.411764705882353</v>
      </c>
      <c r="U347" s="84" t="n">
        <f aca="false">IF(O347&gt;0,O347,"")</f>
        <v>1530</v>
      </c>
    </row>
    <row r="348" customFormat="false" ht="15" hidden="false" customHeight="false" outlineLevel="0" collapsed="false">
      <c r="A348" s="81" t="s">
        <v>991</v>
      </c>
      <c r="B348" s="82" t="n">
        <v>46004</v>
      </c>
      <c r="C348" s="81" t="s">
        <v>273</v>
      </c>
      <c r="D348" s="83" t="str">
        <f aca="false">IFERROR(INDEX(c_Name,MATCH($C348,c_ID,0)),"غير معرّف")</f>
        <v>سلمان التميمي</v>
      </c>
      <c r="E348" s="83" t="str">
        <f aca="false">IFERROR(INDEX(c_Region,MATCH($C348,c_ID,0)),"غير معرّف")</f>
        <v>الشرقية</v>
      </c>
      <c r="F348" s="81" t="s">
        <v>180</v>
      </c>
      <c r="G348" s="83" t="str">
        <f aca="false">IFERROR(INDEX(p_Name,MATCH($F348,p_ID,0)),"غير معرّف")</f>
        <v>جهاز مشي</v>
      </c>
      <c r="H348" s="83" t="str">
        <f aca="false">IFERROR(INDEX(p_Cat,MATCH($F348,p_ID,0)),"غير معرّف")</f>
        <v>رياضة</v>
      </c>
      <c r="I348" s="81" t="s">
        <v>463</v>
      </c>
      <c r="J348" s="81" t="s">
        <v>91</v>
      </c>
      <c r="K348" s="81" t="n">
        <v>1</v>
      </c>
      <c r="L348" s="84" t="n">
        <f aca="false">IFERROR(INDEX(p_Price,MATCH($F348,p_ID,0)),0)</f>
        <v>3200</v>
      </c>
      <c r="M348" s="85" t="n">
        <v>0</v>
      </c>
      <c r="N348" s="81" t="s">
        <v>644</v>
      </c>
      <c r="O348" s="84" t="n">
        <f aca="false">IF($N348="مرتجع",0,K348*L348*(1-M348))</f>
        <v>3200</v>
      </c>
      <c r="P348" s="84" t="n">
        <f aca="false">IF($N348="مرتجع",0,K348*IFERROR(INDEX(p_Cost,MATCH($F348,p_ID,0)),0))</f>
        <v>2200</v>
      </c>
      <c r="Q348" s="84" t="n">
        <f aca="false">O348-P348</f>
        <v>1000</v>
      </c>
      <c r="R348" s="86" t="n">
        <f aca="false">DATE(YEAR(B348),MONTH(B348),1)</f>
        <v>45992</v>
      </c>
      <c r="S348" s="83" t="str">
        <f aca="false">YEAR(B348)&amp;"-Q"&amp;ROUNDUP(MONTH(B348)/3,0)</f>
        <v>2025-Q4</v>
      </c>
      <c r="T348" s="87" t="n">
        <f aca="false">IF(O348&gt;0,Q348/O348,"")</f>
        <v>0.3125</v>
      </c>
      <c r="U348" s="84" t="n">
        <f aca="false">IF(O348&gt;0,O348,"")</f>
        <v>3200</v>
      </c>
    </row>
    <row r="349" customFormat="false" ht="15" hidden="false" customHeight="false" outlineLevel="0" collapsed="false">
      <c r="A349" s="81" t="s">
        <v>992</v>
      </c>
      <c r="B349" s="82" t="n">
        <v>46004</v>
      </c>
      <c r="C349" s="81" t="s">
        <v>387</v>
      </c>
      <c r="D349" s="83" t="str">
        <f aca="false">IFERROR(INDEX(c_Name,MATCH($C349,c_ID,0)),"غير معرّف")</f>
        <v>لمى الشمري</v>
      </c>
      <c r="E349" s="83" t="str">
        <f aca="false">IFERROR(INDEX(c_Region,MATCH($C349,c_ID,0)),"غير معرّف")</f>
        <v>الوسطى</v>
      </c>
      <c r="F349" s="81" t="s">
        <v>186</v>
      </c>
      <c r="G349" s="83" t="str">
        <f aca="false">IFERROR(INDEX(p_Name,MATCH($F349,p_ID,0)),"غير معرّف")</f>
        <v>مجفف شعر</v>
      </c>
      <c r="H349" s="83" t="str">
        <f aca="false">IFERROR(INDEX(p_Cat,MATCH($F349,p_ID,0)),"غير معرّف")</f>
        <v>عناية شخصية</v>
      </c>
      <c r="I349" s="81" t="s">
        <v>446</v>
      </c>
      <c r="J349" s="81" t="s">
        <v>93</v>
      </c>
      <c r="K349" s="81" t="n">
        <v>3</v>
      </c>
      <c r="L349" s="84" t="n">
        <f aca="false">IFERROR(INDEX(p_Price,MATCH($F349,p_ID,0)),0)</f>
        <v>280</v>
      </c>
      <c r="M349" s="85" t="n">
        <v>0.05</v>
      </c>
      <c r="N349" s="81" t="s">
        <v>650</v>
      </c>
      <c r="O349" s="84" t="n">
        <f aca="false">IF($N349="مرتجع",0,K349*L349*(1-M349))</f>
        <v>0</v>
      </c>
      <c r="P349" s="84" t="n">
        <f aca="false">IF($N349="مرتجع",0,K349*IFERROR(INDEX(p_Cost,MATCH($F349,p_ID,0)),0))</f>
        <v>0</v>
      </c>
      <c r="Q349" s="84" t="n">
        <f aca="false">O349-P349</f>
        <v>0</v>
      </c>
      <c r="R349" s="86" t="n">
        <f aca="false">DATE(YEAR(B349),MONTH(B349),1)</f>
        <v>45992</v>
      </c>
      <c r="S349" s="83" t="str">
        <f aca="false">YEAR(B349)&amp;"-Q"&amp;ROUNDUP(MONTH(B349)/3,0)</f>
        <v>2025-Q4</v>
      </c>
      <c r="T349" s="87" t="str">
        <f aca="false">IF(O349&gt;0,Q349/O349,"")</f>
        <v/>
      </c>
      <c r="U349" s="84" t="str">
        <f aca="false">IF(O349&gt;0,O349,"")</f>
        <v/>
      </c>
    </row>
    <row r="350" customFormat="false" ht="15" hidden="false" customHeight="false" outlineLevel="0" collapsed="false">
      <c r="A350" s="81" t="s">
        <v>993</v>
      </c>
      <c r="B350" s="82" t="n">
        <v>46004</v>
      </c>
      <c r="C350" s="81" t="s">
        <v>268</v>
      </c>
      <c r="D350" s="83" t="str">
        <f aca="false">IFERROR(INDEX(c_Name,MATCH($C350,c_ID,0)),"غير معرّف")</f>
        <v>جود التميمي</v>
      </c>
      <c r="E350" s="83" t="str">
        <f aca="false">IFERROR(INDEX(c_Region,MATCH($C350,c_ID,0)),"غير معرّف")</f>
        <v>الغربية</v>
      </c>
      <c r="F350" s="81" t="s">
        <v>169</v>
      </c>
      <c r="G350" s="83" t="str">
        <f aca="false">IFERROR(INDEX(p_Name,MATCH($F350,p_ID,0)),"غير معرّف")</f>
        <v>خلاط</v>
      </c>
      <c r="H350" s="83" t="str">
        <f aca="false">IFERROR(INDEX(p_Cat,MATCH($F350,p_ID,0)),"غير معرّف")</f>
        <v>أجهزة منزلية</v>
      </c>
      <c r="I350" s="81" t="s">
        <v>455</v>
      </c>
      <c r="J350" s="81" t="s">
        <v>93</v>
      </c>
      <c r="K350" s="81" t="n">
        <v>1</v>
      </c>
      <c r="L350" s="84" t="n">
        <f aca="false">IFERROR(INDEX(p_Price,MATCH($F350,p_ID,0)),0)</f>
        <v>300</v>
      </c>
      <c r="M350" s="85" t="n">
        <v>0.2</v>
      </c>
      <c r="N350" s="81" t="s">
        <v>644</v>
      </c>
      <c r="O350" s="84" t="n">
        <f aca="false">IF($N350="مرتجع",0,K350*L350*(1-M350))</f>
        <v>240</v>
      </c>
      <c r="P350" s="84" t="n">
        <f aca="false">IF($N350="مرتجع",0,K350*IFERROR(INDEX(p_Cost,MATCH($F350,p_ID,0)),0))</f>
        <v>175</v>
      </c>
      <c r="Q350" s="84" t="n">
        <f aca="false">O350-P350</f>
        <v>65</v>
      </c>
      <c r="R350" s="86" t="n">
        <f aca="false">DATE(YEAR(B350),MONTH(B350),1)</f>
        <v>45992</v>
      </c>
      <c r="S350" s="83" t="str">
        <f aca="false">YEAR(B350)&amp;"-Q"&amp;ROUNDUP(MONTH(B350)/3,0)</f>
        <v>2025-Q4</v>
      </c>
      <c r="T350" s="87" t="n">
        <f aca="false">IF(O350&gt;0,Q350/O350,"")</f>
        <v>0.270833333333333</v>
      </c>
      <c r="U350" s="84" t="n">
        <f aca="false">IF(O350&gt;0,O350,"")</f>
        <v>240</v>
      </c>
    </row>
    <row r="351" customFormat="false" ht="15" hidden="false" customHeight="false" outlineLevel="0" collapsed="false">
      <c r="A351" s="81" t="s">
        <v>994</v>
      </c>
      <c r="B351" s="82" t="n">
        <v>46004</v>
      </c>
      <c r="C351" s="81" t="s">
        <v>256</v>
      </c>
      <c r="D351" s="83" t="str">
        <f aca="false">IFERROR(INDEX(c_Name,MATCH($C351,c_ID,0)),"غير معرّف")</f>
        <v>فهد البلوي</v>
      </c>
      <c r="E351" s="83" t="str">
        <f aca="false">IFERROR(INDEX(c_Region,MATCH($C351,c_ID,0)),"غير معرّف")</f>
        <v>الجنوبية</v>
      </c>
      <c r="F351" s="81" t="s">
        <v>179</v>
      </c>
      <c r="G351" s="83" t="str">
        <f aca="false">IFERROR(INDEX(p_Name,MATCH($F351,p_ID,0)),"غير معرّف")</f>
        <v>طقم أدوات مكتبية</v>
      </c>
      <c r="H351" s="83" t="str">
        <f aca="false">IFERROR(INDEX(p_Cat,MATCH($F351,p_ID,0)),"غير معرّف")</f>
        <v>مستلزمات مكتبية</v>
      </c>
      <c r="I351" s="81" t="s">
        <v>467</v>
      </c>
      <c r="J351" s="81" t="s">
        <v>95</v>
      </c>
      <c r="K351" s="81" t="n">
        <v>5</v>
      </c>
      <c r="L351" s="84" t="n">
        <f aca="false">IFERROR(INDEX(p_Price,MATCH($F351,p_ID,0)),0)</f>
        <v>90</v>
      </c>
      <c r="M351" s="85" t="n">
        <v>0.15</v>
      </c>
      <c r="N351" s="81" t="s">
        <v>644</v>
      </c>
      <c r="O351" s="84" t="n">
        <f aca="false">IF($N351="مرتجع",0,K351*L351*(1-M351))</f>
        <v>382.5</v>
      </c>
      <c r="P351" s="84" t="n">
        <f aca="false">IF($N351="مرتجع",0,K351*IFERROR(INDEX(p_Cost,MATCH($F351,p_ID,0)),0))</f>
        <v>225</v>
      </c>
      <c r="Q351" s="84" t="n">
        <f aca="false">O351-P351</f>
        <v>157.5</v>
      </c>
      <c r="R351" s="86" t="n">
        <f aca="false">DATE(YEAR(B351),MONTH(B351),1)</f>
        <v>45992</v>
      </c>
      <c r="S351" s="83" t="str">
        <f aca="false">YEAR(B351)&amp;"-Q"&amp;ROUNDUP(MONTH(B351)/3,0)</f>
        <v>2025-Q4</v>
      </c>
      <c r="T351" s="87" t="n">
        <f aca="false">IF(O351&gt;0,Q351/O351,"")</f>
        <v>0.411764705882353</v>
      </c>
      <c r="U351" s="84" t="n">
        <f aca="false">IF(O351&gt;0,O351,"")</f>
        <v>382.5</v>
      </c>
    </row>
    <row r="352" customFormat="false" ht="15" hidden="false" customHeight="false" outlineLevel="0" collapsed="false">
      <c r="A352" s="81" t="s">
        <v>995</v>
      </c>
      <c r="B352" s="82" t="n">
        <v>46004</v>
      </c>
      <c r="C352" s="81" t="s">
        <v>311</v>
      </c>
      <c r="D352" s="83" t="str">
        <f aca="false">IFERROR(INDEX(c_Name,MATCH($C352,c_ID,0)),"غير معرّف")</f>
        <v>لمى الحسيني</v>
      </c>
      <c r="E352" s="83" t="str">
        <f aca="false">IFERROR(INDEX(c_Region,MATCH($C352,c_ID,0)),"غير معرّف")</f>
        <v>الوسطى</v>
      </c>
      <c r="F352" s="81" t="s">
        <v>165</v>
      </c>
      <c r="G352" s="83" t="str">
        <f aca="false">IFERROR(INDEX(p_Name,MATCH($F352,p_ID,0)),"غير معرّف")</f>
        <v>حاسوب محمول</v>
      </c>
      <c r="H352" s="83" t="str">
        <f aca="false">IFERROR(INDEX(p_Cat,MATCH($F352,p_ID,0)),"غير معرّف")</f>
        <v>إلكترونيات</v>
      </c>
      <c r="I352" s="81" t="s">
        <v>449</v>
      </c>
      <c r="J352" s="81" t="s">
        <v>93</v>
      </c>
      <c r="K352" s="81" t="n">
        <v>1</v>
      </c>
      <c r="L352" s="84" t="n">
        <f aca="false">IFERROR(INDEX(p_Price,MATCH($F352,p_ID,0)),0)</f>
        <v>3800</v>
      </c>
      <c r="M352" s="85" t="n">
        <v>0.15</v>
      </c>
      <c r="N352" s="81" t="s">
        <v>644</v>
      </c>
      <c r="O352" s="84" t="n">
        <f aca="false">IF($N352="مرتجع",0,K352*L352*(1-M352))</f>
        <v>3230</v>
      </c>
      <c r="P352" s="84" t="n">
        <f aca="false">IF($N352="مرتجع",0,K352*IFERROR(INDEX(p_Cost,MATCH($F352,p_ID,0)),0))</f>
        <v>2900</v>
      </c>
      <c r="Q352" s="84" t="n">
        <f aca="false">O352-P352</f>
        <v>330</v>
      </c>
      <c r="R352" s="86" t="n">
        <f aca="false">DATE(YEAR(B352),MONTH(B352),1)</f>
        <v>45992</v>
      </c>
      <c r="S352" s="83" t="str">
        <f aca="false">YEAR(B352)&amp;"-Q"&amp;ROUNDUP(MONTH(B352)/3,0)</f>
        <v>2025-Q4</v>
      </c>
      <c r="T352" s="87" t="n">
        <f aca="false">IF(O352&gt;0,Q352/O352,"")</f>
        <v>0.102167182662539</v>
      </c>
      <c r="U352" s="84" t="n">
        <f aca="false">IF(O352&gt;0,O352,"")</f>
        <v>3230</v>
      </c>
    </row>
    <row r="353" customFormat="false" ht="15" hidden="false" customHeight="false" outlineLevel="0" collapsed="false">
      <c r="A353" s="81" t="s">
        <v>996</v>
      </c>
      <c r="B353" s="82" t="n">
        <v>46004</v>
      </c>
      <c r="C353" s="81" t="s">
        <v>339</v>
      </c>
      <c r="D353" s="83" t="str">
        <f aca="false">IFERROR(INDEX(c_Name,MATCH($C353,c_ID,0)),"غير معرّف")</f>
        <v>خالد السبيعي</v>
      </c>
      <c r="E353" s="83" t="str">
        <f aca="false">IFERROR(INDEX(c_Region,MATCH($C353,c_ID,0)),"غير معرّف")</f>
        <v>الجنوبية</v>
      </c>
      <c r="F353" s="81" t="s">
        <v>172</v>
      </c>
      <c r="G353" s="83" t="str">
        <f aca="false">IFERROR(INDEX(p_Name,MATCH($F353,p_ID,0)),"غير معرّف")</f>
        <v>مكتب عمل</v>
      </c>
      <c r="H353" s="83" t="str">
        <f aca="false">IFERROR(INDEX(p_Cat,MATCH($F353,p_ID,0)),"غير معرّف")</f>
        <v>أثاث</v>
      </c>
      <c r="I353" s="81" t="s">
        <v>465</v>
      </c>
      <c r="J353" s="81" t="s">
        <v>91</v>
      </c>
      <c r="K353" s="81" t="n">
        <v>20</v>
      </c>
      <c r="L353" s="84" t="n">
        <f aca="false">IFERROR(INDEX(p_Price,MATCH($F353,p_ID,0)),0)</f>
        <v>1200</v>
      </c>
      <c r="M353" s="85" t="n">
        <v>0</v>
      </c>
      <c r="N353" s="81" t="s">
        <v>644</v>
      </c>
      <c r="O353" s="84" t="n">
        <f aca="false">IF($N353="مرتجع",0,K353*L353*(1-M353))</f>
        <v>24000</v>
      </c>
      <c r="P353" s="84" t="n">
        <f aca="false">IF($N353="مرتجع",0,K353*IFERROR(INDEX(p_Cost,MATCH($F353,p_ID,0)),0))</f>
        <v>14000</v>
      </c>
      <c r="Q353" s="84" t="n">
        <f aca="false">O353-P353</f>
        <v>10000</v>
      </c>
      <c r="R353" s="86" t="n">
        <f aca="false">DATE(YEAR(B353),MONTH(B353),1)</f>
        <v>45992</v>
      </c>
      <c r="S353" s="83" t="str">
        <f aca="false">YEAR(B353)&amp;"-Q"&amp;ROUNDUP(MONTH(B353)/3,0)</f>
        <v>2025-Q4</v>
      </c>
      <c r="T353" s="87" t="n">
        <f aca="false">IF(O353&gt;0,Q353/O353,"")</f>
        <v>0.416666666666667</v>
      </c>
      <c r="U353" s="84" t="n">
        <f aca="false">IF(O353&gt;0,O353,"")</f>
        <v>24000</v>
      </c>
    </row>
    <row r="354" customFormat="false" ht="15" hidden="false" customHeight="false" outlineLevel="0" collapsed="false">
      <c r="A354" s="81" t="s">
        <v>997</v>
      </c>
      <c r="B354" s="82" t="n">
        <v>46004</v>
      </c>
      <c r="C354" s="81" t="s">
        <v>419</v>
      </c>
      <c r="D354" s="83" t="str">
        <f aca="false">IFERROR(INDEX(c_Name,MATCH($C354,c_ID,0)),"غير معرّف")</f>
        <v>خالد العتيبي</v>
      </c>
      <c r="E354" s="83" t="str">
        <f aca="false">IFERROR(INDEX(c_Region,MATCH($C354,c_ID,0)),"غير معرّف")</f>
        <v>الجنوبية</v>
      </c>
      <c r="F354" s="81" t="s">
        <v>179</v>
      </c>
      <c r="G354" s="83" t="str">
        <f aca="false">IFERROR(INDEX(p_Name,MATCH($F354,p_ID,0)),"غير معرّف")</f>
        <v>طقم أدوات مكتبية</v>
      </c>
      <c r="H354" s="83" t="str">
        <f aca="false">IFERROR(INDEX(p_Cat,MATCH($F354,p_ID,0)),"غير معرّف")</f>
        <v>مستلزمات مكتبية</v>
      </c>
      <c r="I354" s="81" t="s">
        <v>465</v>
      </c>
      <c r="J354" s="81" t="s">
        <v>93</v>
      </c>
      <c r="K354" s="81" t="n">
        <v>3</v>
      </c>
      <c r="L354" s="84" t="n">
        <f aca="false">IFERROR(INDEX(p_Price,MATCH($F354,p_ID,0)),0)</f>
        <v>90</v>
      </c>
      <c r="M354" s="85" t="n">
        <v>0.05</v>
      </c>
      <c r="N354" s="81" t="s">
        <v>644</v>
      </c>
      <c r="O354" s="84" t="n">
        <f aca="false">IF($N354="مرتجع",0,K354*L354*(1-M354))</f>
        <v>256.5</v>
      </c>
      <c r="P354" s="84" t="n">
        <f aca="false">IF($N354="مرتجع",0,K354*IFERROR(INDEX(p_Cost,MATCH($F354,p_ID,0)),0))</f>
        <v>135</v>
      </c>
      <c r="Q354" s="84" t="n">
        <f aca="false">O354-P354</f>
        <v>121.5</v>
      </c>
      <c r="R354" s="86" t="n">
        <f aca="false">DATE(YEAR(B354),MONTH(B354),1)</f>
        <v>45992</v>
      </c>
      <c r="S354" s="83" t="str">
        <f aca="false">YEAR(B354)&amp;"-Q"&amp;ROUNDUP(MONTH(B354)/3,0)</f>
        <v>2025-Q4</v>
      </c>
      <c r="T354" s="87" t="n">
        <f aca="false">IF(O354&gt;0,Q354/O354,"")</f>
        <v>0.473684210526316</v>
      </c>
      <c r="U354" s="84" t="n">
        <f aca="false">IF(O354&gt;0,O354,"")</f>
        <v>256.5</v>
      </c>
    </row>
    <row r="355" customFormat="false" ht="15" hidden="false" customHeight="false" outlineLevel="0" collapsed="false">
      <c r="A355" s="81" t="s">
        <v>998</v>
      </c>
      <c r="B355" s="82" t="n">
        <v>46005</v>
      </c>
      <c r="C355" s="81" t="s">
        <v>246</v>
      </c>
      <c r="D355" s="83" t="str">
        <f aca="false">IFERROR(INDEX(c_Name,MATCH($C355,c_ID,0)),"غير معرّف")</f>
        <v>ياسر العتيبي</v>
      </c>
      <c r="E355" s="83" t="str">
        <f aca="false">IFERROR(INDEX(c_Region,MATCH($C355,c_ID,0)),"غير معرّف")</f>
        <v>الجنوبية</v>
      </c>
      <c r="F355" s="81" t="s">
        <v>187</v>
      </c>
      <c r="G355" s="83" t="str">
        <f aca="false">IFERROR(INDEX(p_Name,MATCH($F355,p_ID,0)),"غير معرّف")</f>
        <v>جهاز تدليك</v>
      </c>
      <c r="H355" s="83" t="str">
        <f aca="false">IFERROR(INDEX(p_Cat,MATCH($F355,p_ID,0)),"غير معرّف")</f>
        <v>عناية شخصية</v>
      </c>
      <c r="I355" s="81" t="s">
        <v>467</v>
      </c>
      <c r="J355" s="81" t="s">
        <v>91</v>
      </c>
      <c r="K355" s="81" t="n">
        <v>1</v>
      </c>
      <c r="L355" s="84" t="n">
        <f aca="false">IFERROR(INDEX(p_Price,MATCH($F355,p_ID,0)),0)</f>
        <v>600</v>
      </c>
      <c r="M355" s="85" t="n">
        <v>0</v>
      </c>
      <c r="N355" s="81" t="s">
        <v>644</v>
      </c>
      <c r="O355" s="84" t="n">
        <f aca="false">IF($N355="مرتجع",0,K355*L355*(1-M355))</f>
        <v>600</v>
      </c>
      <c r="P355" s="84" t="n">
        <f aca="false">IF($N355="مرتجع",0,K355*IFERROR(INDEX(p_Cost,MATCH($F355,p_ID,0)),0))</f>
        <v>330</v>
      </c>
      <c r="Q355" s="84" t="n">
        <f aca="false">O355-P355</f>
        <v>270</v>
      </c>
      <c r="R355" s="86" t="n">
        <f aca="false">DATE(YEAR(B355),MONTH(B355),1)</f>
        <v>45992</v>
      </c>
      <c r="S355" s="83" t="str">
        <f aca="false">YEAR(B355)&amp;"-Q"&amp;ROUNDUP(MONTH(B355)/3,0)</f>
        <v>2025-Q4</v>
      </c>
      <c r="T355" s="87" t="n">
        <f aca="false">IF(O355&gt;0,Q355/O355,"")</f>
        <v>0.45</v>
      </c>
      <c r="U355" s="84" t="n">
        <f aca="false">IF(O355&gt;0,O355,"")</f>
        <v>600</v>
      </c>
    </row>
    <row r="356" customFormat="false" ht="15" hidden="false" customHeight="false" outlineLevel="0" collapsed="false">
      <c r="A356" s="81" t="s">
        <v>999</v>
      </c>
      <c r="B356" s="82" t="n">
        <v>46005</v>
      </c>
      <c r="C356" s="81" t="s">
        <v>357</v>
      </c>
      <c r="D356" s="83" t="str">
        <f aca="false">IFERROR(INDEX(c_Name,MATCH($C356,c_ID,0)),"غير معرّف")</f>
        <v>منى الحربي</v>
      </c>
      <c r="E356" s="83" t="str">
        <f aca="false">IFERROR(INDEX(c_Region,MATCH($C356,c_ID,0)),"غير معرّف")</f>
        <v>الوسطى</v>
      </c>
      <c r="F356" s="81" t="s">
        <v>169</v>
      </c>
      <c r="G356" s="83" t="str">
        <f aca="false">IFERROR(INDEX(p_Name,MATCH($F356,p_ID,0)),"غير معرّف")</f>
        <v>خلاط</v>
      </c>
      <c r="H356" s="83" t="str">
        <f aca="false">IFERROR(INDEX(p_Cat,MATCH($F356,p_ID,0)),"غير معرّف")</f>
        <v>أجهزة منزلية</v>
      </c>
      <c r="I356" s="81" t="s">
        <v>443</v>
      </c>
      <c r="J356" s="81" t="s">
        <v>93</v>
      </c>
      <c r="K356" s="81" t="n">
        <v>2</v>
      </c>
      <c r="L356" s="84" t="n">
        <f aca="false">IFERROR(INDEX(p_Price,MATCH($F356,p_ID,0)),0)</f>
        <v>300</v>
      </c>
      <c r="M356" s="85" t="n">
        <v>0.05</v>
      </c>
      <c r="N356" s="81" t="s">
        <v>644</v>
      </c>
      <c r="O356" s="84" t="n">
        <f aca="false">IF($N356="مرتجع",0,K356*L356*(1-M356))</f>
        <v>570</v>
      </c>
      <c r="P356" s="84" t="n">
        <f aca="false">IF($N356="مرتجع",0,K356*IFERROR(INDEX(p_Cost,MATCH($F356,p_ID,0)),0))</f>
        <v>350</v>
      </c>
      <c r="Q356" s="84" t="n">
        <f aca="false">O356-P356</f>
        <v>220</v>
      </c>
      <c r="R356" s="86" t="n">
        <f aca="false">DATE(YEAR(B356),MONTH(B356),1)</f>
        <v>45992</v>
      </c>
      <c r="S356" s="83" t="str">
        <f aca="false">YEAR(B356)&amp;"-Q"&amp;ROUNDUP(MONTH(B356)/3,0)</f>
        <v>2025-Q4</v>
      </c>
      <c r="T356" s="87" t="n">
        <f aca="false">IF(O356&gt;0,Q356/O356,"")</f>
        <v>0.385964912280702</v>
      </c>
      <c r="U356" s="84" t="n">
        <f aca="false">IF(O356&gt;0,O356,"")</f>
        <v>570</v>
      </c>
    </row>
    <row r="357" customFormat="false" ht="15" hidden="false" customHeight="false" outlineLevel="0" collapsed="false">
      <c r="A357" s="81" t="s">
        <v>1000</v>
      </c>
      <c r="B357" s="82" t="n">
        <v>46005</v>
      </c>
      <c r="C357" s="81" t="s">
        <v>238</v>
      </c>
      <c r="D357" s="83" t="str">
        <f aca="false">IFERROR(INDEX(c_Name,MATCH($C357,c_ID,0)),"غير معرّف")</f>
        <v>سارة البلوي</v>
      </c>
      <c r="E357" s="83" t="str">
        <f aca="false">IFERROR(INDEX(c_Region,MATCH($C357,c_ID,0)),"غير معرّف")</f>
        <v>الغربية</v>
      </c>
      <c r="F357" s="81" t="s">
        <v>169</v>
      </c>
      <c r="G357" s="83" t="str">
        <f aca="false">IFERROR(INDEX(p_Name,MATCH($F357,p_ID,0)),"غير معرّف")</f>
        <v>خلاط</v>
      </c>
      <c r="H357" s="83" t="str">
        <f aca="false">IFERROR(INDEX(p_Cat,MATCH($F357,p_ID,0)),"غير معرّف")</f>
        <v>أجهزة منزلية</v>
      </c>
      <c r="I357" s="81" t="s">
        <v>458</v>
      </c>
      <c r="J357" s="81" t="s">
        <v>93</v>
      </c>
      <c r="K357" s="81" t="n">
        <v>2</v>
      </c>
      <c r="L357" s="84" t="n">
        <f aca="false">IFERROR(INDEX(p_Price,MATCH($F357,p_ID,0)),0)</f>
        <v>300</v>
      </c>
      <c r="M357" s="85" t="n">
        <v>0.05</v>
      </c>
      <c r="N357" s="81" t="s">
        <v>644</v>
      </c>
      <c r="O357" s="84" t="n">
        <f aca="false">IF($N357="مرتجع",0,K357*L357*(1-M357))</f>
        <v>570</v>
      </c>
      <c r="P357" s="84" t="n">
        <f aca="false">IF($N357="مرتجع",0,K357*IFERROR(INDEX(p_Cost,MATCH($F357,p_ID,0)),0))</f>
        <v>350</v>
      </c>
      <c r="Q357" s="84" t="n">
        <f aca="false">O357-P357</f>
        <v>220</v>
      </c>
      <c r="R357" s="86" t="n">
        <f aca="false">DATE(YEAR(B357),MONTH(B357),1)</f>
        <v>45992</v>
      </c>
      <c r="S357" s="83" t="str">
        <f aca="false">YEAR(B357)&amp;"-Q"&amp;ROUNDUP(MONTH(B357)/3,0)</f>
        <v>2025-Q4</v>
      </c>
      <c r="T357" s="87" t="n">
        <f aca="false">IF(O357&gt;0,Q357/O357,"")</f>
        <v>0.385964912280702</v>
      </c>
      <c r="U357" s="84" t="n">
        <f aca="false">IF(O357&gt;0,O357,"")</f>
        <v>570</v>
      </c>
    </row>
    <row r="358" customFormat="false" ht="15" hidden="false" customHeight="false" outlineLevel="0" collapsed="false">
      <c r="A358" s="81" t="s">
        <v>1001</v>
      </c>
      <c r="B358" s="82" t="n">
        <v>46005</v>
      </c>
      <c r="C358" s="81" t="s">
        <v>335</v>
      </c>
      <c r="D358" s="83" t="str">
        <f aca="false">IFERROR(INDEX(c_Name,MATCH($C358,c_ID,0)),"غير معرّف")</f>
        <v>نورة الحربي</v>
      </c>
      <c r="E358" s="83" t="str">
        <f aca="false">IFERROR(INDEX(c_Region,MATCH($C358,c_ID,0)),"غير معرّف")</f>
        <v>الشرقية</v>
      </c>
      <c r="F358" s="81" t="s">
        <v>179</v>
      </c>
      <c r="G358" s="83" t="str">
        <f aca="false">IFERROR(INDEX(p_Name,MATCH($F358,p_ID,0)),"غير معرّف")</f>
        <v>طقم أدوات مكتبية</v>
      </c>
      <c r="H358" s="83" t="str">
        <f aca="false">IFERROR(INDEX(p_Cat,MATCH($F358,p_ID,0)),"غير معرّف")</f>
        <v>مستلزمات مكتبية</v>
      </c>
      <c r="I358" s="81" t="s">
        <v>463</v>
      </c>
      <c r="J358" s="81" t="s">
        <v>91</v>
      </c>
      <c r="K358" s="81" t="n">
        <v>2</v>
      </c>
      <c r="L358" s="84" t="n">
        <f aca="false">IFERROR(INDEX(p_Price,MATCH($F358,p_ID,0)),0)</f>
        <v>90</v>
      </c>
      <c r="M358" s="85" t="n">
        <v>0.05</v>
      </c>
      <c r="N358" s="81" t="s">
        <v>644</v>
      </c>
      <c r="O358" s="84" t="n">
        <f aca="false">IF($N358="مرتجع",0,K358*L358*(1-M358))</f>
        <v>171</v>
      </c>
      <c r="P358" s="84" t="n">
        <f aca="false">IF($N358="مرتجع",0,K358*IFERROR(INDEX(p_Cost,MATCH($F358,p_ID,0)),0))</f>
        <v>90</v>
      </c>
      <c r="Q358" s="84" t="n">
        <f aca="false">O358-P358</f>
        <v>81</v>
      </c>
      <c r="R358" s="86" t="n">
        <f aca="false">DATE(YEAR(B358),MONTH(B358),1)</f>
        <v>45992</v>
      </c>
      <c r="S358" s="83" t="str">
        <f aca="false">YEAR(B358)&amp;"-Q"&amp;ROUNDUP(MONTH(B358)/3,0)</f>
        <v>2025-Q4</v>
      </c>
      <c r="T358" s="87" t="n">
        <f aca="false">IF(O358&gt;0,Q358/O358,"")</f>
        <v>0.473684210526316</v>
      </c>
      <c r="U358" s="84" t="n">
        <f aca="false">IF(O358&gt;0,O358,"")</f>
        <v>171</v>
      </c>
    </row>
    <row r="359" customFormat="false" ht="15" hidden="false" customHeight="false" outlineLevel="0" collapsed="false">
      <c r="A359" s="81" t="s">
        <v>1002</v>
      </c>
      <c r="B359" s="82" t="n">
        <v>46006</v>
      </c>
      <c r="C359" s="81" t="s">
        <v>348</v>
      </c>
      <c r="D359" s="83" t="str">
        <f aca="false">IFERROR(INDEX(c_Name,MATCH($C359,c_ID,0)),"غير معرّف")</f>
        <v>عبير القحطاني</v>
      </c>
      <c r="E359" s="83" t="str">
        <f aca="false">IFERROR(INDEX(c_Region,MATCH($C359,c_ID,0)),"غير معرّف")</f>
        <v>الغربية</v>
      </c>
      <c r="F359" s="81" t="s">
        <v>179</v>
      </c>
      <c r="G359" s="83" t="str">
        <f aca="false">IFERROR(INDEX(p_Name,MATCH($F359,p_ID,0)),"غير معرّف")</f>
        <v>طقم أدوات مكتبية</v>
      </c>
      <c r="H359" s="83" t="str">
        <f aca="false">IFERROR(INDEX(p_Cat,MATCH($F359,p_ID,0)),"غير معرّف")</f>
        <v>مستلزمات مكتبية</v>
      </c>
      <c r="I359" s="81" t="s">
        <v>452</v>
      </c>
      <c r="J359" s="81" t="s">
        <v>93</v>
      </c>
      <c r="K359" s="81" t="n">
        <v>2</v>
      </c>
      <c r="L359" s="84" t="n">
        <f aca="false">IFERROR(INDEX(p_Price,MATCH($F359,p_ID,0)),0)</f>
        <v>90</v>
      </c>
      <c r="M359" s="85" t="n">
        <v>0.05</v>
      </c>
      <c r="N359" s="81" t="s">
        <v>644</v>
      </c>
      <c r="O359" s="84" t="n">
        <f aca="false">IF($N359="مرتجع",0,K359*L359*(1-M359))</f>
        <v>171</v>
      </c>
      <c r="P359" s="84" t="n">
        <f aca="false">IF($N359="مرتجع",0,K359*IFERROR(INDEX(p_Cost,MATCH($F359,p_ID,0)),0))</f>
        <v>90</v>
      </c>
      <c r="Q359" s="84" t="n">
        <f aca="false">O359-P359</f>
        <v>81</v>
      </c>
      <c r="R359" s="86" t="n">
        <f aca="false">DATE(YEAR(B359),MONTH(B359),1)</f>
        <v>45992</v>
      </c>
      <c r="S359" s="83" t="str">
        <f aca="false">YEAR(B359)&amp;"-Q"&amp;ROUNDUP(MONTH(B359)/3,0)</f>
        <v>2025-Q4</v>
      </c>
      <c r="T359" s="87" t="n">
        <f aca="false">IF(O359&gt;0,Q359/O359,"")</f>
        <v>0.473684210526316</v>
      </c>
      <c r="U359" s="84" t="n">
        <f aca="false">IF(O359&gt;0,O359,"")</f>
        <v>171</v>
      </c>
    </row>
    <row r="360" customFormat="false" ht="15" hidden="false" customHeight="false" outlineLevel="0" collapsed="false">
      <c r="A360" s="81" t="s">
        <v>1003</v>
      </c>
      <c r="B360" s="82" t="n">
        <v>46006</v>
      </c>
      <c r="C360" s="81" t="s">
        <v>334</v>
      </c>
      <c r="D360" s="83" t="str">
        <f aca="false">IFERROR(INDEX(c_Name,MATCH($C360,c_ID,0)),"غير معرّف")</f>
        <v>ناصر الغامدي</v>
      </c>
      <c r="E360" s="83" t="str">
        <f aca="false">IFERROR(INDEX(c_Region,MATCH($C360,c_ID,0)),"غير معرّف")</f>
        <v>الغربية</v>
      </c>
      <c r="F360" s="81" t="s">
        <v>179</v>
      </c>
      <c r="G360" s="83" t="str">
        <f aca="false">IFERROR(INDEX(p_Name,MATCH($F360,p_ID,0)),"غير معرّف")</f>
        <v>طقم أدوات مكتبية</v>
      </c>
      <c r="H360" s="83" t="str">
        <f aca="false">IFERROR(INDEX(p_Cat,MATCH($F360,p_ID,0)),"غير معرّف")</f>
        <v>مستلزمات مكتبية</v>
      </c>
      <c r="I360" s="81" t="s">
        <v>452</v>
      </c>
      <c r="J360" s="81" t="s">
        <v>91</v>
      </c>
      <c r="K360" s="81" t="n">
        <v>1</v>
      </c>
      <c r="L360" s="84" t="n">
        <f aca="false">IFERROR(INDEX(p_Price,MATCH($F360,p_ID,0)),0)</f>
        <v>90</v>
      </c>
      <c r="M360" s="85" t="n">
        <v>0.15</v>
      </c>
      <c r="N360" s="81" t="s">
        <v>644</v>
      </c>
      <c r="O360" s="84" t="n">
        <f aca="false">IF($N360="مرتجع",0,K360*L360*(1-M360))</f>
        <v>76.5</v>
      </c>
      <c r="P360" s="84" t="n">
        <f aca="false">IF($N360="مرتجع",0,K360*IFERROR(INDEX(p_Cost,MATCH($F360,p_ID,0)),0))</f>
        <v>45</v>
      </c>
      <c r="Q360" s="84" t="n">
        <f aca="false">O360-P360</f>
        <v>31.5</v>
      </c>
      <c r="R360" s="86" t="n">
        <f aca="false">DATE(YEAR(B360),MONTH(B360),1)</f>
        <v>45992</v>
      </c>
      <c r="S360" s="83" t="str">
        <f aca="false">YEAR(B360)&amp;"-Q"&amp;ROUNDUP(MONTH(B360)/3,0)</f>
        <v>2025-Q4</v>
      </c>
      <c r="T360" s="87" t="n">
        <f aca="false">IF(O360&gt;0,Q360/O360,"")</f>
        <v>0.411764705882353</v>
      </c>
      <c r="U360" s="84" t="n">
        <f aca="false">IF(O360&gt;0,O360,"")</f>
        <v>76.5</v>
      </c>
    </row>
    <row r="361" customFormat="false" ht="15" hidden="false" customHeight="false" outlineLevel="0" collapsed="false">
      <c r="A361" s="81" t="s">
        <v>1004</v>
      </c>
      <c r="B361" s="82" t="n">
        <v>46006</v>
      </c>
      <c r="C361" s="81" t="s">
        <v>404</v>
      </c>
      <c r="D361" s="83" t="str">
        <f aca="false">IFERROR(INDEX(c_Name,MATCH($C361,c_ID,0)),"غير معرّف")</f>
        <v>عبدالله الحسيني</v>
      </c>
      <c r="E361" s="83" t="str">
        <f aca="false">IFERROR(INDEX(c_Region,MATCH($C361,c_ID,0)),"غير معرّف")</f>
        <v>الشرقية</v>
      </c>
      <c r="F361" s="81" t="s">
        <v>185</v>
      </c>
      <c r="G361" s="83" t="str">
        <f aca="false">IFERROR(INDEX(p_Name,MATCH($F361,p_ID,0)),"غير معرّف")</f>
        <v>ماكينة حلاقة</v>
      </c>
      <c r="H361" s="83" t="str">
        <f aca="false">IFERROR(INDEX(p_Cat,MATCH($F361,p_ID,0)),"غير معرّف")</f>
        <v>عناية شخصية</v>
      </c>
      <c r="I361" s="81" t="s">
        <v>461</v>
      </c>
      <c r="J361" s="81" t="s">
        <v>93</v>
      </c>
      <c r="K361" s="81" t="n">
        <v>2</v>
      </c>
      <c r="L361" s="84" t="n">
        <f aca="false">IFERROR(INDEX(p_Price,MATCH($F361,p_ID,0)),0)</f>
        <v>340</v>
      </c>
      <c r="M361" s="85" t="n">
        <v>0.1</v>
      </c>
      <c r="N361" s="81" t="s">
        <v>650</v>
      </c>
      <c r="O361" s="84" t="n">
        <f aca="false">IF($N361="مرتجع",0,K361*L361*(1-M361))</f>
        <v>0</v>
      </c>
      <c r="P361" s="84" t="n">
        <f aca="false">IF($N361="مرتجع",0,K361*IFERROR(INDEX(p_Cost,MATCH($F361,p_ID,0)),0))</f>
        <v>0</v>
      </c>
      <c r="Q361" s="84" t="n">
        <f aca="false">O361-P361</f>
        <v>0</v>
      </c>
      <c r="R361" s="86" t="n">
        <f aca="false">DATE(YEAR(B361),MONTH(B361),1)</f>
        <v>45992</v>
      </c>
      <c r="S361" s="83" t="str">
        <f aca="false">YEAR(B361)&amp;"-Q"&amp;ROUNDUP(MONTH(B361)/3,0)</f>
        <v>2025-Q4</v>
      </c>
      <c r="T361" s="87" t="str">
        <f aca="false">IF(O361&gt;0,Q361/O361,"")</f>
        <v/>
      </c>
      <c r="U361" s="84" t="str">
        <f aca="false">IF(O361&gt;0,O361,"")</f>
        <v/>
      </c>
    </row>
    <row r="362" customFormat="false" ht="15" hidden="false" customHeight="false" outlineLevel="0" collapsed="false">
      <c r="A362" s="81" t="s">
        <v>1005</v>
      </c>
      <c r="B362" s="82" t="n">
        <v>46006</v>
      </c>
      <c r="C362" s="81" t="s">
        <v>326</v>
      </c>
      <c r="D362" s="83" t="str">
        <f aca="false">IFERROR(INDEX(c_Name,MATCH($C362,c_ID,0)),"غير معرّف")</f>
        <v>دانة القحطاني</v>
      </c>
      <c r="E362" s="83" t="str">
        <f aca="false">IFERROR(INDEX(c_Region,MATCH($C362,c_ID,0)),"غير معرّف")</f>
        <v>الوسطى</v>
      </c>
      <c r="F362" s="81" t="s">
        <v>171</v>
      </c>
      <c r="G362" s="83" t="str">
        <f aca="false">IFERROR(INDEX(p_Name,MATCH($F362,p_ID,0)),"غير معرّف")</f>
        <v>قلاية هوائية</v>
      </c>
      <c r="H362" s="83" t="str">
        <f aca="false">IFERROR(INDEX(p_Cat,MATCH($F362,p_ID,0)),"غير معرّف")</f>
        <v>أجهزة منزلية</v>
      </c>
      <c r="I362" s="81" t="s">
        <v>449</v>
      </c>
      <c r="J362" s="81" t="s">
        <v>93</v>
      </c>
      <c r="K362" s="81" t="n">
        <v>1</v>
      </c>
      <c r="L362" s="84" t="n">
        <f aca="false">IFERROR(INDEX(p_Price,MATCH($F362,p_ID,0)),0)</f>
        <v>520</v>
      </c>
      <c r="M362" s="85" t="n">
        <v>0</v>
      </c>
      <c r="N362" s="81" t="s">
        <v>644</v>
      </c>
      <c r="O362" s="84" t="n">
        <f aca="false">IF($N362="مرتجع",0,K362*L362*(1-M362))</f>
        <v>520</v>
      </c>
      <c r="P362" s="84" t="n">
        <f aca="false">IF($N362="مرتجع",0,K362*IFERROR(INDEX(p_Cost,MATCH($F362,p_ID,0)),0))</f>
        <v>300</v>
      </c>
      <c r="Q362" s="84" t="n">
        <f aca="false">O362-P362</f>
        <v>220</v>
      </c>
      <c r="R362" s="86" t="n">
        <f aca="false">DATE(YEAR(B362),MONTH(B362),1)</f>
        <v>45992</v>
      </c>
      <c r="S362" s="83" t="str">
        <f aca="false">YEAR(B362)&amp;"-Q"&amp;ROUNDUP(MONTH(B362)/3,0)</f>
        <v>2025-Q4</v>
      </c>
      <c r="T362" s="87" t="n">
        <f aca="false">IF(O362&gt;0,Q362/O362,"")</f>
        <v>0.423076923076923</v>
      </c>
      <c r="U362" s="84" t="n">
        <f aca="false">IF(O362&gt;0,O362,"")</f>
        <v>520</v>
      </c>
    </row>
    <row r="363" customFormat="false" ht="15" hidden="false" customHeight="false" outlineLevel="0" collapsed="false">
      <c r="A363" s="81" t="s">
        <v>1006</v>
      </c>
      <c r="B363" s="82" t="n">
        <v>46006</v>
      </c>
      <c r="C363" s="81" t="s">
        <v>426</v>
      </c>
      <c r="D363" s="83" t="str">
        <f aca="false">IFERROR(INDEX(c_Name,MATCH($C363,c_ID,0)),"غير معرّف")</f>
        <v>لمى البلوي</v>
      </c>
      <c r="E363" s="83" t="str">
        <f aca="false">IFERROR(INDEX(c_Region,MATCH($C363,c_ID,0)),"غير معرّف")</f>
        <v>الشرقية</v>
      </c>
      <c r="F363" s="81" t="s">
        <v>179</v>
      </c>
      <c r="G363" s="83" t="str">
        <f aca="false">IFERROR(INDEX(p_Name,MATCH($F363,p_ID,0)),"غير معرّف")</f>
        <v>طقم أدوات مكتبية</v>
      </c>
      <c r="H363" s="83" t="str">
        <f aca="false">IFERROR(INDEX(p_Cat,MATCH($F363,p_ID,0)),"غير معرّف")</f>
        <v>مستلزمات مكتبية</v>
      </c>
      <c r="I363" s="81" t="s">
        <v>461</v>
      </c>
      <c r="J363" s="81" t="s">
        <v>93</v>
      </c>
      <c r="K363" s="81" t="n">
        <v>1</v>
      </c>
      <c r="L363" s="84" t="n">
        <f aca="false">IFERROR(INDEX(p_Price,MATCH($F363,p_ID,0)),0)</f>
        <v>90</v>
      </c>
      <c r="M363" s="85" t="n">
        <v>0.15</v>
      </c>
      <c r="N363" s="81" t="s">
        <v>644</v>
      </c>
      <c r="O363" s="84" t="n">
        <f aca="false">IF($N363="مرتجع",0,K363*L363*(1-M363))</f>
        <v>76.5</v>
      </c>
      <c r="P363" s="84" t="n">
        <f aca="false">IF($N363="مرتجع",0,K363*IFERROR(INDEX(p_Cost,MATCH($F363,p_ID,0)),0))</f>
        <v>45</v>
      </c>
      <c r="Q363" s="84" t="n">
        <f aca="false">O363-P363</f>
        <v>31.5</v>
      </c>
      <c r="R363" s="86" t="n">
        <f aca="false">DATE(YEAR(B363),MONTH(B363),1)</f>
        <v>45992</v>
      </c>
      <c r="S363" s="83" t="str">
        <f aca="false">YEAR(B363)&amp;"-Q"&amp;ROUNDUP(MONTH(B363)/3,0)</f>
        <v>2025-Q4</v>
      </c>
      <c r="T363" s="87" t="n">
        <f aca="false">IF(O363&gt;0,Q363/O363,"")</f>
        <v>0.411764705882353</v>
      </c>
      <c r="U363" s="84" t="n">
        <f aca="false">IF(O363&gt;0,O363,"")</f>
        <v>76.5</v>
      </c>
    </row>
    <row r="364" customFormat="false" ht="15" hidden="false" customHeight="false" outlineLevel="0" collapsed="false">
      <c r="A364" s="81" t="s">
        <v>1007</v>
      </c>
      <c r="B364" s="82" t="n">
        <v>46007</v>
      </c>
      <c r="C364" s="81" t="s">
        <v>419</v>
      </c>
      <c r="D364" s="83" t="str">
        <f aca="false">IFERROR(INDEX(c_Name,MATCH($C364,c_ID,0)),"غير معرّف")</f>
        <v>خالد العتيبي</v>
      </c>
      <c r="E364" s="83" t="str">
        <f aca="false">IFERROR(INDEX(c_Region,MATCH($C364,c_ID,0)),"غير معرّف")</f>
        <v>الجنوبية</v>
      </c>
      <c r="F364" s="81" t="s">
        <v>169</v>
      </c>
      <c r="G364" s="83" t="str">
        <f aca="false">IFERROR(INDEX(p_Name,MATCH($F364,p_ID,0)),"غير معرّف")</f>
        <v>خلاط</v>
      </c>
      <c r="H364" s="83" t="str">
        <f aca="false">IFERROR(INDEX(p_Cat,MATCH($F364,p_ID,0)),"غير معرّف")</f>
        <v>أجهزة منزلية</v>
      </c>
      <c r="I364" s="81" t="s">
        <v>467</v>
      </c>
      <c r="J364" s="81" t="s">
        <v>93</v>
      </c>
      <c r="K364" s="81" t="n">
        <v>1</v>
      </c>
      <c r="L364" s="84" t="n">
        <f aca="false">IFERROR(INDEX(p_Price,MATCH($F364,p_ID,0)),0)</f>
        <v>300</v>
      </c>
      <c r="M364" s="85" t="n">
        <v>0.05</v>
      </c>
      <c r="N364" s="81" t="s">
        <v>644</v>
      </c>
      <c r="O364" s="84" t="n">
        <f aca="false">IF($N364="مرتجع",0,K364*L364*(1-M364))</f>
        <v>285</v>
      </c>
      <c r="P364" s="84" t="n">
        <f aca="false">IF($N364="مرتجع",0,K364*IFERROR(INDEX(p_Cost,MATCH($F364,p_ID,0)),0))</f>
        <v>175</v>
      </c>
      <c r="Q364" s="84" t="n">
        <f aca="false">O364-P364</f>
        <v>110</v>
      </c>
      <c r="R364" s="86" t="n">
        <f aca="false">DATE(YEAR(B364),MONTH(B364),1)</f>
        <v>45992</v>
      </c>
      <c r="S364" s="83" t="str">
        <f aca="false">YEAR(B364)&amp;"-Q"&amp;ROUNDUP(MONTH(B364)/3,0)</f>
        <v>2025-Q4</v>
      </c>
      <c r="T364" s="87" t="n">
        <f aca="false">IF(O364&gt;0,Q364/O364,"")</f>
        <v>0.385964912280702</v>
      </c>
      <c r="U364" s="84" t="n">
        <f aca="false">IF(O364&gt;0,O364,"")</f>
        <v>285</v>
      </c>
    </row>
    <row r="365" customFormat="false" ht="15" hidden="false" customHeight="false" outlineLevel="0" collapsed="false">
      <c r="A365" s="81" t="s">
        <v>1008</v>
      </c>
      <c r="B365" s="82" t="n">
        <v>46007</v>
      </c>
      <c r="C365" s="81" t="s">
        <v>326</v>
      </c>
      <c r="D365" s="83" t="str">
        <f aca="false">IFERROR(INDEX(c_Name,MATCH($C365,c_ID,0)),"غير معرّف")</f>
        <v>دانة القحطاني</v>
      </c>
      <c r="E365" s="83" t="str">
        <f aca="false">IFERROR(INDEX(c_Region,MATCH($C365,c_ID,0)),"غير معرّف")</f>
        <v>الوسطى</v>
      </c>
      <c r="F365" s="81" t="s">
        <v>183</v>
      </c>
      <c r="G365" s="83" t="str">
        <f aca="false">IFERROR(INDEX(p_Name,MATCH($F365,p_ID,0)),"غير معرّف")</f>
        <v>سجادة يوغا</v>
      </c>
      <c r="H365" s="83" t="str">
        <f aca="false">IFERROR(INDEX(p_Cat,MATCH($F365,p_ID,0)),"غير معرّف")</f>
        <v>رياضة</v>
      </c>
      <c r="I365" s="81" t="s">
        <v>449</v>
      </c>
      <c r="J365" s="81" t="s">
        <v>93</v>
      </c>
      <c r="K365" s="81" t="n">
        <v>4</v>
      </c>
      <c r="L365" s="84" t="n">
        <f aca="false">IFERROR(INDEX(p_Price,MATCH($F365,p_ID,0)),0)</f>
        <v>120</v>
      </c>
      <c r="M365" s="85" t="n">
        <v>0</v>
      </c>
      <c r="N365" s="81" t="s">
        <v>644</v>
      </c>
      <c r="O365" s="84" t="n">
        <f aca="false">IF($N365="مرتجع",0,K365*L365*(1-M365))</f>
        <v>480</v>
      </c>
      <c r="P365" s="84" t="n">
        <f aca="false">IF($N365="مرتجع",0,K365*IFERROR(INDEX(p_Cost,MATCH($F365,p_ID,0)),0))</f>
        <v>200</v>
      </c>
      <c r="Q365" s="84" t="n">
        <f aca="false">O365-P365</f>
        <v>280</v>
      </c>
      <c r="R365" s="86" t="n">
        <f aca="false">DATE(YEAR(B365),MONTH(B365),1)</f>
        <v>45992</v>
      </c>
      <c r="S365" s="83" t="str">
        <f aca="false">YEAR(B365)&amp;"-Q"&amp;ROUNDUP(MONTH(B365)/3,0)</f>
        <v>2025-Q4</v>
      </c>
      <c r="T365" s="87" t="n">
        <f aca="false">IF(O365&gt;0,Q365/O365,"")</f>
        <v>0.583333333333333</v>
      </c>
      <c r="U365" s="84" t="n">
        <f aca="false">IF(O365&gt;0,O365,"")</f>
        <v>480</v>
      </c>
    </row>
    <row r="366" customFormat="false" ht="15" hidden="false" customHeight="false" outlineLevel="0" collapsed="false">
      <c r="A366" s="81" t="s">
        <v>1009</v>
      </c>
      <c r="B366" s="82" t="n">
        <v>46007</v>
      </c>
      <c r="C366" s="81" t="s">
        <v>387</v>
      </c>
      <c r="D366" s="83" t="str">
        <f aca="false">IFERROR(INDEX(c_Name,MATCH($C366,c_ID,0)),"غير معرّف")</f>
        <v>لمى الشمري</v>
      </c>
      <c r="E366" s="83" t="str">
        <f aca="false">IFERROR(INDEX(c_Region,MATCH($C366,c_ID,0)),"غير معرّف")</f>
        <v>الوسطى</v>
      </c>
      <c r="F366" s="81" t="s">
        <v>167</v>
      </c>
      <c r="G366" s="83" t="str">
        <f aca="false">IFERROR(INDEX(p_Name,MATCH($F366,p_ID,0)),"غير معرّف")</f>
        <v>شاشة 27 بوصة</v>
      </c>
      <c r="H366" s="83" t="str">
        <f aca="false">IFERROR(INDEX(p_Cat,MATCH($F366,p_ID,0)),"غير معرّف")</f>
        <v>إلكترونيات</v>
      </c>
      <c r="I366" s="81" t="s">
        <v>443</v>
      </c>
      <c r="J366" s="81" t="s">
        <v>93</v>
      </c>
      <c r="K366" s="81" t="n">
        <v>1</v>
      </c>
      <c r="L366" s="84" t="n">
        <f aca="false">IFERROR(INDEX(p_Price,MATCH($F366,p_ID,0)),0)</f>
        <v>1100</v>
      </c>
      <c r="M366" s="85" t="n">
        <v>0.05</v>
      </c>
      <c r="N366" s="81" t="s">
        <v>644</v>
      </c>
      <c r="O366" s="84" t="n">
        <f aca="false">IF($N366="مرتجع",0,K366*L366*(1-M366))</f>
        <v>1045</v>
      </c>
      <c r="P366" s="84" t="n">
        <f aca="false">IF($N366="مرتجع",0,K366*IFERROR(INDEX(p_Cost,MATCH($F366,p_ID,0)),0))</f>
        <v>780</v>
      </c>
      <c r="Q366" s="84" t="n">
        <f aca="false">O366-P366</f>
        <v>265</v>
      </c>
      <c r="R366" s="86" t="n">
        <f aca="false">DATE(YEAR(B366),MONTH(B366),1)</f>
        <v>45992</v>
      </c>
      <c r="S366" s="83" t="str">
        <f aca="false">YEAR(B366)&amp;"-Q"&amp;ROUNDUP(MONTH(B366)/3,0)</f>
        <v>2025-Q4</v>
      </c>
      <c r="T366" s="87" t="n">
        <f aca="false">IF(O366&gt;0,Q366/O366,"")</f>
        <v>0.253588516746412</v>
      </c>
      <c r="U366" s="84" t="n">
        <f aca="false">IF(O366&gt;0,O366,"")</f>
        <v>1045</v>
      </c>
    </row>
    <row r="367" customFormat="false" ht="15" hidden="false" customHeight="false" outlineLevel="0" collapsed="false">
      <c r="A367" s="81" t="s">
        <v>1010</v>
      </c>
      <c r="B367" s="82" t="n">
        <v>46007</v>
      </c>
      <c r="C367" s="81" t="s">
        <v>386</v>
      </c>
      <c r="D367" s="83" t="str">
        <f aca="false">IFERROR(INDEX(c_Name,MATCH($C367,c_ID,0)),"غير معرّف")</f>
        <v>نورة الشمري</v>
      </c>
      <c r="E367" s="83" t="str">
        <f aca="false">IFERROR(INDEX(c_Region,MATCH($C367,c_ID,0)),"غير معرّف")</f>
        <v>الغربية</v>
      </c>
      <c r="F367" s="81" t="s">
        <v>184</v>
      </c>
      <c r="G367" s="83" t="str">
        <f aca="false">IFERROR(INDEX(p_Name,MATCH($F367,p_ID,0)),"غير معرّف")</f>
        <v>عطر فاخر</v>
      </c>
      <c r="H367" s="83" t="str">
        <f aca="false">IFERROR(INDEX(p_Cat,MATCH($F367,p_ID,0)),"غير معرّف")</f>
        <v>عناية شخصية</v>
      </c>
      <c r="I367" s="81" t="s">
        <v>455</v>
      </c>
      <c r="J367" s="81" t="s">
        <v>93</v>
      </c>
      <c r="K367" s="81" t="n">
        <v>3</v>
      </c>
      <c r="L367" s="84" t="n">
        <f aca="false">IFERROR(INDEX(p_Price,MATCH($F367,p_ID,0)),0)</f>
        <v>520</v>
      </c>
      <c r="M367" s="85" t="n">
        <v>0</v>
      </c>
      <c r="N367" s="81" t="s">
        <v>644</v>
      </c>
      <c r="O367" s="84" t="n">
        <f aca="false">IF($N367="مرتجع",0,K367*L367*(1-M367))</f>
        <v>1560</v>
      </c>
      <c r="P367" s="84" t="n">
        <f aca="false">IF($N367="مرتجع",0,K367*IFERROR(INDEX(p_Cost,MATCH($F367,p_ID,0)),0))</f>
        <v>630</v>
      </c>
      <c r="Q367" s="84" t="n">
        <f aca="false">O367-P367</f>
        <v>930</v>
      </c>
      <c r="R367" s="86" t="n">
        <f aca="false">DATE(YEAR(B367),MONTH(B367),1)</f>
        <v>45992</v>
      </c>
      <c r="S367" s="83" t="str">
        <f aca="false">YEAR(B367)&amp;"-Q"&amp;ROUNDUP(MONTH(B367)/3,0)</f>
        <v>2025-Q4</v>
      </c>
      <c r="T367" s="87" t="n">
        <f aca="false">IF(O367&gt;0,Q367/O367,"")</f>
        <v>0.596153846153846</v>
      </c>
      <c r="U367" s="84" t="n">
        <f aca="false">IF(O367&gt;0,O367,"")</f>
        <v>1560</v>
      </c>
    </row>
    <row r="368" customFormat="false" ht="15" hidden="false" customHeight="false" outlineLevel="0" collapsed="false">
      <c r="A368" s="81" t="s">
        <v>1011</v>
      </c>
      <c r="B368" s="82" t="n">
        <v>46007</v>
      </c>
      <c r="C368" s="81" t="s">
        <v>397</v>
      </c>
      <c r="D368" s="83" t="str">
        <f aca="false">IFERROR(INDEX(c_Name,MATCH($C368,c_ID,0)),"غير معرّف")</f>
        <v>عبير الخالدي</v>
      </c>
      <c r="E368" s="83" t="str">
        <f aca="false">IFERROR(INDEX(c_Region,MATCH($C368,c_ID,0)),"غير معرّف")</f>
        <v>الشرقية</v>
      </c>
      <c r="F368" s="81" t="s">
        <v>178</v>
      </c>
      <c r="G368" s="83" t="str">
        <f aca="false">IFERROR(INDEX(p_Name,MATCH($F368,p_ID,0)),"غير معرّف")</f>
        <v>حقيبة لابتوب</v>
      </c>
      <c r="H368" s="83" t="str">
        <f aca="false">IFERROR(INDEX(p_Cat,MATCH($F368,p_ID,0)),"غير معرّف")</f>
        <v>مستلزمات مكتبية</v>
      </c>
      <c r="I368" s="81" t="s">
        <v>461</v>
      </c>
      <c r="J368" s="81" t="s">
        <v>93</v>
      </c>
      <c r="K368" s="81" t="n">
        <v>5</v>
      </c>
      <c r="L368" s="84" t="n">
        <f aca="false">IFERROR(INDEX(p_Price,MATCH($F368,p_ID,0)),0)</f>
        <v>260</v>
      </c>
      <c r="M368" s="85" t="n">
        <v>0.15</v>
      </c>
      <c r="N368" s="81" t="s">
        <v>644</v>
      </c>
      <c r="O368" s="84" t="n">
        <f aca="false">IF($N368="مرتجع",0,K368*L368*(1-M368))</f>
        <v>1105</v>
      </c>
      <c r="P368" s="84" t="n">
        <f aca="false">IF($N368="مرتجع",0,K368*IFERROR(INDEX(p_Cost,MATCH($F368,p_ID,0)),0))</f>
        <v>600</v>
      </c>
      <c r="Q368" s="84" t="n">
        <f aca="false">O368-P368</f>
        <v>505</v>
      </c>
      <c r="R368" s="86" t="n">
        <f aca="false">DATE(YEAR(B368),MONTH(B368),1)</f>
        <v>45992</v>
      </c>
      <c r="S368" s="83" t="str">
        <f aca="false">YEAR(B368)&amp;"-Q"&amp;ROUNDUP(MONTH(B368)/3,0)</f>
        <v>2025-Q4</v>
      </c>
      <c r="T368" s="87" t="n">
        <f aca="false">IF(O368&gt;0,Q368/O368,"")</f>
        <v>0.457013574660633</v>
      </c>
      <c r="U368" s="84" t="n">
        <f aca="false">IF(O368&gt;0,O368,"")</f>
        <v>1105</v>
      </c>
    </row>
    <row r="369" customFormat="false" ht="15" hidden="false" customHeight="false" outlineLevel="0" collapsed="false">
      <c r="A369" s="81" t="s">
        <v>1012</v>
      </c>
      <c r="B369" s="82" t="n">
        <v>46007</v>
      </c>
      <c r="C369" s="81" t="s">
        <v>299</v>
      </c>
      <c r="D369" s="83" t="str">
        <f aca="false">IFERROR(INDEX(c_Name,MATCH($C369,c_ID,0)),"غير معرّف")</f>
        <v>جود الخالدي</v>
      </c>
      <c r="E369" s="83" t="str">
        <f aca="false">IFERROR(INDEX(c_Region,MATCH($C369,c_ID,0)),"غير معرّف")</f>
        <v>الوسطى</v>
      </c>
      <c r="F369" s="81" t="s">
        <v>177</v>
      </c>
      <c r="G369" s="83" t="str">
        <f aca="false">IFERROR(INDEX(p_Name,MATCH($F369,p_ID,0)),"غير معرّف")</f>
        <v>ورق A4 (صندوق)</v>
      </c>
      <c r="H369" s="83" t="str">
        <f aca="false">IFERROR(INDEX(p_Cat,MATCH($F369,p_ID,0)),"غير معرّف")</f>
        <v>مستلزمات مكتبية</v>
      </c>
      <c r="I369" s="81" t="s">
        <v>443</v>
      </c>
      <c r="J369" s="81" t="s">
        <v>91</v>
      </c>
      <c r="K369" s="81" t="n">
        <v>1</v>
      </c>
      <c r="L369" s="84" t="n">
        <f aca="false">IFERROR(INDEX(p_Price,MATCH($F369,p_ID,0)),0)</f>
        <v>140</v>
      </c>
      <c r="M369" s="85" t="n">
        <v>0</v>
      </c>
      <c r="N369" s="81" t="s">
        <v>644</v>
      </c>
      <c r="O369" s="84" t="n">
        <f aca="false">IF($N369="مرتجع",0,K369*L369*(1-M369))</f>
        <v>140</v>
      </c>
      <c r="P369" s="84" t="n">
        <f aca="false">IF($N369="مرتجع",0,K369*IFERROR(INDEX(p_Cost,MATCH($F369,p_ID,0)),0))</f>
        <v>95</v>
      </c>
      <c r="Q369" s="84" t="n">
        <f aca="false">O369-P369</f>
        <v>45</v>
      </c>
      <c r="R369" s="86" t="n">
        <f aca="false">DATE(YEAR(B369),MONTH(B369),1)</f>
        <v>45992</v>
      </c>
      <c r="S369" s="83" t="str">
        <f aca="false">YEAR(B369)&amp;"-Q"&amp;ROUNDUP(MONTH(B369)/3,0)</f>
        <v>2025-Q4</v>
      </c>
      <c r="T369" s="87" t="n">
        <f aca="false">IF(O369&gt;0,Q369/O369,"")</f>
        <v>0.321428571428571</v>
      </c>
      <c r="U369" s="84" t="n">
        <f aca="false">IF(O369&gt;0,O369,"")</f>
        <v>140</v>
      </c>
    </row>
    <row r="370" customFormat="false" ht="15" hidden="false" customHeight="false" outlineLevel="0" collapsed="false">
      <c r="A370" s="81" t="s">
        <v>1013</v>
      </c>
      <c r="B370" s="82" t="n">
        <v>46007</v>
      </c>
      <c r="C370" s="81" t="s">
        <v>387</v>
      </c>
      <c r="D370" s="83" t="str">
        <f aca="false">IFERROR(INDEX(c_Name,MATCH($C370,c_ID,0)),"غير معرّف")</f>
        <v>لمى الشمري</v>
      </c>
      <c r="E370" s="83" t="str">
        <f aca="false">IFERROR(INDEX(c_Region,MATCH($C370,c_ID,0)),"غير معرّف")</f>
        <v>الوسطى</v>
      </c>
      <c r="F370" s="81" t="s">
        <v>187</v>
      </c>
      <c r="G370" s="83" t="str">
        <f aca="false">IFERROR(INDEX(p_Name,MATCH($F370,p_ID,0)),"غير معرّف")</f>
        <v>جهاز تدليك</v>
      </c>
      <c r="H370" s="83" t="str">
        <f aca="false">IFERROR(INDEX(p_Cat,MATCH($F370,p_ID,0)),"غير معرّف")</f>
        <v>عناية شخصية</v>
      </c>
      <c r="I370" s="81" t="s">
        <v>443</v>
      </c>
      <c r="J370" s="81" t="s">
        <v>93</v>
      </c>
      <c r="K370" s="81" t="n">
        <v>3</v>
      </c>
      <c r="L370" s="84" t="n">
        <f aca="false">IFERROR(INDEX(p_Price,MATCH($F370,p_ID,0)),0)</f>
        <v>600</v>
      </c>
      <c r="M370" s="85" t="n">
        <v>0.15</v>
      </c>
      <c r="N370" s="81" t="s">
        <v>644</v>
      </c>
      <c r="O370" s="84" t="n">
        <f aca="false">IF($N370="مرتجع",0,K370*L370*(1-M370))</f>
        <v>1530</v>
      </c>
      <c r="P370" s="84" t="n">
        <f aca="false">IF($N370="مرتجع",0,K370*IFERROR(INDEX(p_Cost,MATCH($F370,p_ID,0)),0))</f>
        <v>990</v>
      </c>
      <c r="Q370" s="84" t="n">
        <f aca="false">O370-P370</f>
        <v>540</v>
      </c>
      <c r="R370" s="86" t="n">
        <f aca="false">DATE(YEAR(B370),MONTH(B370),1)</f>
        <v>45992</v>
      </c>
      <c r="S370" s="83" t="str">
        <f aca="false">YEAR(B370)&amp;"-Q"&amp;ROUNDUP(MONTH(B370)/3,0)</f>
        <v>2025-Q4</v>
      </c>
      <c r="T370" s="87" t="n">
        <f aca="false">IF(O370&gt;0,Q370/O370,"")</f>
        <v>0.352941176470588</v>
      </c>
      <c r="U370" s="84" t="n">
        <f aca="false">IF(O370&gt;0,O370,"")</f>
        <v>1530</v>
      </c>
    </row>
    <row r="371" customFormat="false" ht="15" hidden="false" customHeight="false" outlineLevel="0" collapsed="false">
      <c r="A371" s="81" t="s">
        <v>1014</v>
      </c>
      <c r="B371" s="82" t="n">
        <v>46007</v>
      </c>
      <c r="C371" s="81" t="s">
        <v>429</v>
      </c>
      <c r="D371" s="83" t="str">
        <f aca="false">IFERROR(INDEX(c_Name,MATCH($C371,c_ID,0)),"غير معرّف")</f>
        <v>سعد الحربي</v>
      </c>
      <c r="E371" s="83" t="str">
        <f aca="false">IFERROR(INDEX(c_Region,MATCH($C371,c_ID,0)),"غير معرّف")</f>
        <v>الغربية</v>
      </c>
      <c r="F371" s="81" t="s">
        <v>186</v>
      </c>
      <c r="G371" s="83" t="str">
        <f aca="false">IFERROR(INDEX(p_Name,MATCH($F371,p_ID,0)),"غير معرّف")</f>
        <v>مجفف شعر</v>
      </c>
      <c r="H371" s="83" t="str">
        <f aca="false">IFERROR(INDEX(p_Cat,MATCH($F371,p_ID,0)),"غير معرّف")</f>
        <v>عناية شخصية</v>
      </c>
      <c r="I371" s="81" t="s">
        <v>455</v>
      </c>
      <c r="J371" s="81" t="s">
        <v>93</v>
      </c>
      <c r="K371" s="81" t="n">
        <v>1</v>
      </c>
      <c r="L371" s="84" t="n">
        <f aca="false">IFERROR(INDEX(p_Price,MATCH($F371,p_ID,0)),0)</f>
        <v>280</v>
      </c>
      <c r="M371" s="85" t="n">
        <v>0.1</v>
      </c>
      <c r="N371" s="81" t="s">
        <v>644</v>
      </c>
      <c r="O371" s="84" t="n">
        <f aca="false">IF($N371="مرتجع",0,K371*L371*(1-M371))</f>
        <v>252</v>
      </c>
      <c r="P371" s="84" t="n">
        <f aca="false">IF($N371="مرتجع",0,K371*IFERROR(INDEX(p_Cost,MATCH($F371,p_ID,0)),0))</f>
        <v>140</v>
      </c>
      <c r="Q371" s="84" t="n">
        <f aca="false">O371-P371</f>
        <v>112</v>
      </c>
      <c r="R371" s="86" t="n">
        <f aca="false">DATE(YEAR(B371),MONTH(B371),1)</f>
        <v>45992</v>
      </c>
      <c r="S371" s="83" t="str">
        <f aca="false">YEAR(B371)&amp;"-Q"&amp;ROUNDUP(MONTH(B371)/3,0)</f>
        <v>2025-Q4</v>
      </c>
      <c r="T371" s="87" t="n">
        <f aca="false">IF(O371&gt;0,Q371/O371,"")</f>
        <v>0.444444444444444</v>
      </c>
      <c r="U371" s="84" t="n">
        <f aca="false">IF(O371&gt;0,O371,"")</f>
        <v>252</v>
      </c>
    </row>
    <row r="372" customFormat="false" ht="15" hidden="false" customHeight="false" outlineLevel="0" collapsed="false">
      <c r="A372" s="81" t="s">
        <v>1015</v>
      </c>
      <c r="B372" s="82" t="n">
        <v>46007</v>
      </c>
      <c r="C372" s="81" t="s">
        <v>306</v>
      </c>
      <c r="D372" s="83" t="str">
        <f aca="false">IFERROR(INDEX(c_Name,MATCH($C372,c_ID,0)),"غير معرّف")</f>
        <v>أحمد العنزي</v>
      </c>
      <c r="E372" s="83" t="str">
        <f aca="false">IFERROR(INDEX(c_Region,MATCH($C372,c_ID,0)),"غير معرّف")</f>
        <v>الغربية</v>
      </c>
      <c r="F372" s="81" t="s">
        <v>167</v>
      </c>
      <c r="G372" s="83" t="str">
        <f aca="false">IFERROR(INDEX(p_Name,MATCH($F372,p_ID,0)),"غير معرّف")</f>
        <v>شاشة 27 بوصة</v>
      </c>
      <c r="H372" s="83" t="str">
        <f aca="false">IFERROR(INDEX(p_Cat,MATCH($F372,p_ID,0)),"غير معرّف")</f>
        <v>إلكترونيات</v>
      </c>
      <c r="I372" s="81" t="s">
        <v>455</v>
      </c>
      <c r="J372" s="81" t="s">
        <v>91</v>
      </c>
      <c r="K372" s="81" t="n">
        <v>2</v>
      </c>
      <c r="L372" s="84" t="n">
        <f aca="false">IFERROR(INDEX(p_Price,MATCH($F372,p_ID,0)),0)</f>
        <v>1100</v>
      </c>
      <c r="M372" s="85" t="n">
        <v>0</v>
      </c>
      <c r="N372" s="81" t="s">
        <v>644</v>
      </c>
      <c r="O372" s="84" t="n">
        <f aca="false">IF($N372="مرتجع",0,K372*L372*(1-M372))</f>
        <v>2200</v>
      </c>
      <c r="P372" s="84" t="n">
        <f aca="false">IF($N372="مرتجع",0,K372*IFERROR(INDEX(p_Cost,MATCH($F372,p_ID,0)),0))</f>
        <v>1560</v>
      </c>
      <c r="Q372" s="84" t="n">
        <f aca="false">O372-P372</f>
        <v>640</v>
      </c>
      <c r="R372" s="86" t="n">
        <f aca="false">DATE(YEAR(B372),MONTH(B372),1)</f>
        <v>45992</v>
      </c>
      <c r="S372" s="83" t="str">
        <f aca="false">YEAR(B372)&amp;"-Q"&amp;ROUNDUP(MONTH(B372)/3,0)</f>
        <v>2025-Q4</v>
      </c>
      <c r="T372" s="87" t="n">
        <f aca="false">IF(O372&gt;0,Q372/O372,"")</f>
        <v>0.290909090909091</v>
      </c>
      <c r="U372" s="84" t="n">
        <f aca="false">IF(O372&gt;0,O372,"")</f>
        <v>2200</v>
      </c>
    </row>
    <row r="373" customFormat="false" ht="15" hidden="false" customHeight="false" outlineLevel="0" collapsed="false">
      <c r="A373" s="81" t="s">
        <v>1016</v>
      </c>
      <c r="B373" s="82" t="n">
        <v>46007</v>
      </c>
      <c r="C373" s="81" t="s">
        <v>233</v>
      </c>
      <c r="D373" s="83" t="str">
        <f aca="false">IFERROR(INDEX(c_Name,MATCH($C373,c_ID,0)),"غير معرّف")</f>
        <v>سلمان الخالدي</v>
      </c>
      <c r="E373" s="83" t="str">
        <f aca="false">IFERROR(INDEX(c_Region,MATCH($C373,c_ID,0)),"غير معرّف")</f>
        <v>الشرقية</v>
      </c>
      <c r="F373" s="81" t="s">
        <v>179</v>
      </c>
      <c r="G373" s="83" t="str">
        <f aca="false">IFERROR(INDEX(p_Name,MATCH($F373,p_ID,0)),"غير معرّف")</f>
        <v>طقم أدوات مكتبية</v>
      </c>
      <c r="H373" s="83" t="str">
        <f aca="false">IFERROR(INDEX(p_Cat,MATCH($F373,p_ID,0)),"غير معرّف")</f>
        <v>مستلزمات مكتبية</v>
      </c>
      <c r="I373" s="81" t="s">
        <v>461</v>
      </c>
      <c r="J373" s="81" t="s">
        <v>93</v>
      </c>
      <c r="K373" s="81" t="n">
        <v>6</v>
      </c>
      <c r="L373" s="84" t="n">
        <f aca="false">IFERROR(INDEX(p_Price,MATCH($F373,p_ID,0)),0)</f>
        <v>90</v>
      </c>
      <c r="M373" s="85" t="n">
        <v>0.1</v>
      </c>
      <c r="N373" s="81" t="s">
        <v>644</v>
      </c>
      <c r="O373" s="84" t="n">
        <f aca="false">IF($N373="مرتجع",0,K373*L373*(1-M373))</f>
        <v>486</v>
      </c>
      <c r="P373" s="84" t="n">
        <f aca="false">IF($N373="مرتجع",0,K373*IFERROR(INDEX(p_Cost,MATCH($F373,p_ID,0)),0))</f>
        <v>270</v>
      </c>
      <c r="Q373" s="84" t="n">
        <f aca="false">O373-P373</f>
        <v>216</v>
      </c>
      <c r="R373" s="86" t="n">
        <f aca="false">DATE(YEAR(B373),MONTH(B373),1)</f>
        <v>45992</v>
      </c>
      <c r="S373" s="83" t="str">
        <f aca="false">YEAR(B373)&amp;"-Q"&amp;ROUNDUP(MONTH(B373)/3,0)</f>
        <v>2025-Q4</v>
      </c>
      <c r="T373" s="87" t="n">
        <f aca="false">IF(O373&gt;0,Q373/O373,"")</f>
        <v>0.444444444444444</v>
      </c>
      <c r="U373" s="84" t="n">
        <f aca="false">IF(O373&gt;0,O373,"")</f>
        <v>486</v>
      </c>
    </row>
    <row r="374" customFormat="false" ht="15" hidden="false" customHeight="false" outlineLevel="0" collapsed="false">
      <c r="A374" s="81" t="s">
        <v>1017</v>
      </c>
      <c r="B374" s="82" t="n">
        <v>46008</v>
      </c>
      <c r="C374" s="81" t="s">
        <v>344</v>
      </c>
      <c r="D374" s="83" t="str">
        <f aca="false">IFERROR(INDEX(c_Name,MATCH($C374,c_ID,0)),"غير معرّف")</f>
        <v>خالد القحطاني</v>
      </c>
      <c r="E374" s="83" t="str">
        <f aca="false">IFERROR(INDEX(c_Region,MATCH($C374,c_ID,0)),"غير معرّف")</f>
        <v>الغربية</v>
      </c>
      <c r="F374" s="81" t="s">
        <v>187</v>
      </c>
      <c r="G374" s="83" t="str">
        <f aca="false">IFERROR(INDEX(p_Name,MATCH($F374,p_ID,0)),"غير معرّف")</f>
        <v>جهاز تدليك</v>
      </c>
      <c r="H374" s="83" t="str">
        <f aca="false">IFERROR(INDEX(p_Cat,MATCH($F374,p_ID,0)),"غير معرّف")</f>
        <v>عناية شخصية</v>
      </c>
      <c r="I374" s="81" t="s">
        <v>458</v>
      </c>
      <c r="J374" s="81" t="s">
        <v>93</v>
      </c>
      <c r="K374" s="81" t="n">
        <v>1</v>
      </c>
      <c r="L374" s="84" t="n">
        <f aca="false">IFERROR(INDEX(p_Price,MATCH($F374,p_ID,0)),0)</f>
        <v>600</v>
      </c>
      <c r="M374" s="85" t="n">
        <v>0.05</v>
      </c>
      <c r="N374" s="81" t="s">
        <v>644</v>
      </c>
      <c r="O374" s="84" t="n">
        <f aca="false">IF($N374="مرتجع",0,K374*L374*(1-M374))</f>
        <v>570</v>
      </c>
      <c r="P374" s="84" t="n">
        <f aca="false">IF($N374="مرتجع",0,K374*IFERROR(INDEX(p_Cost,MATCH($F374,p_ID,0)),0))</f>
        <v>330</v>
      </c>
      <c r="Q374" s="84" t="n">
        <f aca="false">O374-P374</f>
        <v>240</v>
      </c>
      <c r="R374" s="86" t="n">
        <f aca="false">DATE(YEAR(B374),MONTH(B374),1)</f>
        <v>45992</v>
      </c>
      <c r="S374" s="83" t="str">
        <f aca="false">YEAR(B374)&amp;"-Q"&amp;ROUNDUP(MONTH(B374)/3,0)</f>
        <v>2025-Q4</v>
      </c>
      <c r="T374" s="87" t="n">
        <f aca="false">IF(O374&gt;0,Q374/O374,"")</f>
        <v>0.421052631578947</v>
      </c>
      <c r="U374" s="84" t="n">
        <f aca="false">IF(O374&gt;0,O374,"")</f>
        <v>570</v>
      </c>
    </row>
    <row r="375" customFormat="false" ht="15" hidden="false" customHeight="false" outlineLevel="0" collapsed="false">
      <c r="A375" s="81" t="s">
        <v>1018</v>
      </c>
      <c r="B375" s="82" t="n">
        <v>46009</v>
      </c>
      <c r="C375" s="81" t="s">
        <v>338</v>
      </c>
      <c r="D375" s="83" t="str">
        <f aca="false">IFERROR(INDEX(c_Name,MATCH($C375,c_ID,0)),"غير معرّف")</f>
        <v>سارة الزهراني</v>
      </c>
      <c r="E375" s="83" t="str">
        <f aca="false">IFERROR(INDEX(c_Region,MATCH($C375,c_ID,0)),"غير معرّف")</f>
        <v>الغربية</v>
      </c>
      <c r="F375" s="81" t="s">
        <v>177</v>
      </c>
      <c r="G375" s="83" t="str">
        <f aca="false">IFERROR(INDEX(p_Name,MATCH($F375,p_ID,0)),"غير معرّف")</f>
        <v>ورق A4 (صندوق)</v>
      </c>
      <c r="H375" s="83" t="str">
        <f aca="false">IFERROR(INDEX(p_Cat,MATCH($F375,p_ID,0)),"غير معرّف")</f>
        <v>مستلزمات مكتبية</v>
      </c>
      <c r="I375" s="81" t="s">
        <v>455</v>
      </c>
      <c r="J375" s="81" t="s">
        <v>91</v>
      </c>
      <c r="K375" s="81" t="n">
        <v>1</v>
      </c>
      <c r="L375" s="84" t="n">
        <f aca="false">IFERROR(INDEX(p_Price,MATCH($F375,p_ID,0)),0)</f>
        <v>140</v>
      </c>
      <c r="M375" s="85" t="n">
        <v>0.1</v>
      </c>
      <c r="N375" s="81" t="s">
        <v>644</v>
      </c>
      <c r="O375" s="84" t="n">
        <f aca="false">IF($N375="مرتجع",0,K375*L375*(1-M375))</f>
        <v>126</v>
      </c>
      <c r="P375" s="84" t="n">
        <f aca="false">IF($N375="مرتجع",0,K375*IFERROR(INDEX(p_Cost,MATCH($F375,p_ID,0)),0))</f>
        <v>95</v>
      </c>
      <c r="Q375" s="84" t="n">
        <f aca="false">O375-P375</f>
        <v>31</v>
      </c>
      <c r="R375" s="86" t="n">
        <f aca="false">DATE(YEAR(B375),MONTH(B375),1)</f>
        <v>45992</v>
      </c>
      <c r="S375" s="83" t="str">
        <f aca="false">YEAR(B375)&amp;"-Q"&amp;ROUNDUP(MONTH(B375)/3,0)</f>
        <v>2025-Q4</v>
      </c>
      <c r="T375" s="87" t="n">
        <f aca="false">IF(O375&gt;0,Q375/O375,"")</f>
        <v>0.246031746031746</v>
      </c>
      <c r="U375" s="84" t="n">
        <f aca="false">IF(O375&gt;0,O375,"")</f>
        <v>126</v>
      </c>
    </row>
    <row r="376" customFormat="false" ht="15" hidden="false" customHeight="false" outlineLevel="0" collapsed="false">
      <c r="A376" s="81" t="s">
        <v>1019</v>
      </c>
      <c r="B376" s="82" t="n">
        <v>46009</v>
      </c>
      <c r="C376" s="81" t="s">
        <v>249</v>
      </c>
      <c r="D376" s="83" t="str">
        <f aca="false">IFERROR(INDEX(c_Name,MATCH($C376,c_ID,0)),"غير معرّف")</f>
        <v>ريم الحسيني</v>
      </c>
      <c r="E376" s="83" t="str">
        <f aca="false">IFERROR(INDEX(c_Region,MATCH($C376,c_ID,0)),"غير معرّف")</f>
        <v>الوسطى</v>
      </c>
      <c r="F376" s="81" t="s">
        <v>181</v>
      </c>
      <c r="G376" s="83" t="str">
        <f aca="false">IFERROR(INDEX(p_Name,MATCH($F376,p_ID,0)),"غير معرّف")</f>
        <v>دراجة ثابتة</v>
      </c>
      <c r="H376" s="83" t="str">
        <f aca="false">IFERROR(INDEX(p_Cat,MATCH($F376,p_ID,0)),"غير معرّف")</f>
        <v>رياضة</v>
      </c>
      <c r="I376" s="81" t="s">
        <v>446</v>
      </c>
      <c r="J376" s="81" t="s">
        <v>93</v>
      </c>
      <c r="K376" s="81" t="n">
        <v>1</v>
      </c>
      <c r="L376" s="84" t="n">
        <f aca="false">IFERROR(INDEX(p_Price,MATCH($F376,p_ID,0)),0)</f>
        <v>1800</v>
      </c>
      <c r="M376" s="85" t="n">
        <v>0.05</v>
      </c>
      <c r="N376" s="81" t="s">
        <v>644</v>
      </c>
      <c r="O376" s="84" t="n">
        <f aca="false">IF($N376="مرتجع",0,K376*L376*(1-M376))</f>
        <v>1710</v>
      </c>
      <c r="P376" s="84" t="n">
        <f aca="false">IF($N376="مرتجع",0,K376*IFERROR(INDEX(p_Cost,MATCH($F376,p_ID,0)),0))</f>
        <v>1200</v>
      </c>
      <c r="Q376" s="84" t="n">
        <f aca="false">O376-P376</f>
        <v>510</v>
      </c>
      <c r="R376" s="86" t="n">
        <f aca="false">DATE(YEAR(B376),MONTH(B376),1)</f>
        <v>45992</v>
      </c>
      <c r="S376" s="83" t="str">
        <f aca="false">YEAR(B376)&amp;"-Q"&amp;ROUNDUP(MONTH(B376)/3,0)</f>
        <v>2025-Q4</v>
      </c>
      <c r="T376" s="87" t="n">
        <f aca="false">IF(O376&gt;0,Q376/O376,"")</f>
        <v>0.298245614035088</v>
      </c>
      <c r="U376" s="84" t="n">
        <f aca="false">IF(O376&gt;0,O376,"")</f>
        <v>1710</v>
      </c>
    </row>
    <row r="377" customFormat="false" ht="15" hidden="false" customHeight="false" outlineLevel="0" collapsed="false">
      <c r="A377" s="81" t="s">
        <v>1020</v>
      </c>
      <c r="B377" s="82" t="n">
        <v>46009</v>
      </c>
      <c r="C377" s="81" t="s">
        <v>317</v>
      </c>
      <c r="D377" s="83" t="str">
        <f aca="false">IFERROR(INDEX(c_Name,MATCH($C377,c_ID,0)),"غير معرّف")</f>
        <v>ناصر القحطاني</v>
      </c>
      <c r="E377" s="83" t="str">
        <f aca="false">IFERROR(INDEX(c_Region,MATCH($C377,c_ID,0)),"غير معرّف")</f>
        <v>الوسطى</v>
      </c>
      <c r="F377" s="81" t="s">
        <v>180</v>
      </c>
      <c r="G377" s="83" t="str">
        <f aca="false">IFERROR(INDEX(p_Name,MATCH($F377,p_ID,0)),"غير معرّف")</f>
        <v>جهاز مشي</v>
      </c>
      <c r="H377" s="83" t="str">
        <f aca="false">IFERROR(INDEX(p_Cat,MATCH($F377,p_ID,0)),"غير معرّف")</f>
        <v>رياضة</v>
      </c>
      <c r="I377" s="81" t="s">
        <v>449</v>
      </c>
      <c r="J377" s="81" t="s">
        <v>91</v>
      </c>
      <c r="K377" s="81" t="n">
        <v>2</v>
      </c>
      <c r="L377" s="84" t="n">
        <f aca="false">IFERROR(INDEX(p_Price,MATCH($F377,p_ID,0)),0)</f>
        <v>3200</v>
      </c>
      <c r="M377" s="85" t="n">
        <v>0.2</v>
      </c>
      <c r="N377" s="81" t="s">
        <v>644</v>
      </c>
      <c r="O377" s="84" t="n">
        <f aca="false">IF($N377="مرتجع",0,K377*L377*(1-M377))</f>
        <v>5120</v>
      </c>
      <c r="P377" s="84" t="n">
        <f aca="false">IF($N377="مرتجع",0,K377*IFERROR(INDEX(p_Cost,MATCH($F377,p_ID,0)),0))</f>
        <v>4400</v>
      </c>
      <c r="Q377" s="84" t="n">
        <f aca="false">O377-P377</f>
        <v>720</v>
      </c>
      <c r="R377" s="86" t="n">
        <f aca="false">DATE(YEAR(B377),MONTH(B377),1)</f>
        <v>45992</v>
      </c>
      <c r="S377" s="83" t="str">
        <f aca="false">YEAR(B377)&amp;"-Q"&amp;ROUNDUP(MONTH(B377)/3,0)</f>
        <v>2025-Q4</v>
      </c>
      <c r="T377" s="87" t="n">
        <f aca="false">IF(O377&gt;0,Q377/O377,"")</f>
        <v>0.140625</v>
      </c>
      <c r="U377" s="84" t="n">
        <f aca="false">IF(O377&gt;0,O377,"")</f>
        <v>5120</v>
      </c>
    </row>
    <row r="378" customFormat="false" ht="15" hidden="false" customHeight="false" outlineLevel="0" collapsed="false">
      <c r="A378" s="81" t="s">
        <v>1021</v>
      </c>
      <c r="B378" s="82" t="n">
        <v>46009</v>
      </c>
      <c r="C378" s="81" t="s">
        <v>403</v>
      </c>
      <c r="D378" s="83" t="str">
        <f aca="false">IFERROR(INDEX(c_Name,MATCH($C378,c_ID,0)),"غير معرّف")</f>
        <v>ياسر المطيري</v>
      </c>
      <c r="E378" s="83" t="str">
        <f aca="false">IFERROR(INDEX(c_Region,MATCH($C378,c_ID,0)),"غير معرّف")</f>
        <v>الجنوبية</v>
      </c>
      <c r="F378" s="81" t="s">
        <v>171</v>
      </c>
      <c r="G378" s="83" t="str">
        <f aca="false">IFERROR(INDEX(p_Name,MATCH($F378,p_ID,0)),"غير معرّف")</f>
        <v>قلاية هوائية</v>
      </c>
      <c r="H378" s="83" t="str">
        <f aca="false">IFERROR(INDEX(p_Cat,MATCH($F378,p_ID,0)),"غير معرّف")</f>
        <v>أجهزة منزلية</v>
      </c>
      <c r="I378" s="81" t="s">
        <v>467</v>
      </c>
      <c r="J378" s="81" t="s">
        <v>93</v>
      </c>
      <c r="K378" s="81" t="n">
        <v>1</v>
      </c>
      <c r="L378" s="84" t="n">
        <f aca="false">IFERROR(INDEX(p_Price,MATCH($F378,p_ID,0)),0)</f>
        <v>520</v>
      </c>
      <c r="M378" s="85" t="n">
        <v>0.05</v>
      </c>
      <c r="N378" s="81" t="s">
        <v>644</v>
      </c>
      <c r="O378" s="84" t="n">
        <f aca="false">IF($N378="مرتجع",0,K378*L378*(1-M378))</f>
        <v>494</v>
      </c>
      <c r="P378" s="84" t="n">
        <f aca="false">IF($N378="مرتجع",0,K378*IFERROR(INDEX(p_Cost,MATCH($F378,p_ID,0)),0))</f>
        <v>300</v>
      </c>
      <c r="Q378" s="84" t="n">
        <f aca="false">O378-P378</f>
        <v>194</v>
      </c>
      <c r="R378" s="86" t="n">
        <f aca="false">DATE(YEAR(B378),MONTH(B378),1)</f>
        <v>45992</v>
      </c>
      <c r="S378" s="83" t="str">
        <f aca="false">YEAR(B378)&amp;"-Q"&amp;ROUNDUP(MONTH(B378)/3,0)</f>
        <v>2025-Q4</v>
      </c>
      <c r="T378" s="87" t="n">
        <f aca="false">IF(O378&gt;0,Q378/O378,"")</f>
        <v>0.392712550607287</v>
      </c>
      <c r="U378" s="84" t="n">
        <f aca="false">IF(O378&gt;0,O378,"")</f>
        <v>494</v>
      </c>
    </row>
    <row r="379" customFormat="false" ht="15" hidden="false" customHeight="false" outlineLevel="0" collapsed="false">
      <c r="A379" s="81" t="s">
        <v>1022</v>
      </c>
      <c r="B379" s="82" t="n">
        <v>46009</v>
      </c>
      <c r="C379" s="81" t="s">
        <v>339</v>
      </c>
      <c r="D379" s="83" t="str">
        <f aca="false">IFERROR(INDEX(c_Name,MATCH($C379,c_ID,0)),"غير معرّف")</f>
        <v>خالد السبيعي</v>
      </c>
      <c r="E379" s="83" t="str">
        <f aca="false">IFERROR(INDEX(c_Region,MATCH($C379,c_ID,0)),"غير معرّف")</f>
        <v>الجنوبية</v>
      </c>
      <c r="F379" s="81" t="s">
        <v>178</v>
      </c>
      <c r="G379" s="83" t="str">
        <f aca="false">IFERROR(INDEX(p_Name,MATCH($F379,p_ID,0)),"غير معرّف")</f>
        <v>حقيبة لابتوب</v>
      </c>
      <c r="H379" s="83" t="str">
        <f aca="false">IFERROR(INDEX(p_Cat,MATCH($F379,p_ID,0)),"غير معرّف")</f>
        <v>مستلزمات مكتبية</v>
      </c>
      <c r="I379" s="81" t="s">
        <v>467</v>
      </c>
      <c r="J379" s="81" t="s">
        <v>95</v>
      </c>
      <c r="K379" s="81" t="n">
        <v>19</v>
      </c>
      <c r="L379" s="84" t="n">
        <f aca="false">IFERROR(INDEX(p_Price,MATCH($F379,p_ID,0)),0)</f>
        <v>260</v>
      </c>
      <c r="M379" s="85" t="n">
        <v>0.05</v>
      </c>
      <c r="N379" s="81" t="s">
        <v>644</v>
      </c>
      <c r="O379" s="84" t="n">
        <f aca="false">IF($N379="مرتجع",0,K379*L379*(1-M379))</f>
        <v>4693</v>
      </c>
      <c r="P379" s="84" t="n">
        <f aca="false">IF($N379="مرتجع",0,K379*IFERROR(INDEX(p_Cost,MATCH($F379,p_ID,0)),0))</f>
        <v>2280</v>
      </c>
      <c r="Q379" s="84" t="n">
        <f aca="false">O379-P379</f>
        <v>2413</v>
      </c>
      <c r="R379" s="86" t="n">
        <f aca="false">DATE(YEAR(B379),MONTH(B379),1)</f>
        <v>45992</v>
      </c>
      <c r="S379" s="83" t="str">
        <f aca="false">YEAR(B379)&amp;"-Q"&amp;ROUNDUP(MONTH(B379)/3,0)</f>
        <v>2025-Q4</v>
      </c>
      <c r="T379" s="87" t="n">
        <f aca="false">IF(O379&gt;0,Q379/O379,"")</f>
        <v>0.51417004048583</v>
      </c>
      <c r="U379" s="84" t="n">
        <f aca="false">IF(O379&gt;0,O379,"")</f>
        <v>4693</v>
      </c>
    </row>
    <row r="380" customFormat="false" ht="15" hidden="false" customHeight="false" outlineLevel="0" collapsed="false">
      <c r="A380" s="81" t="s">
        <v>1023</v>
      </c>
      <c r="B380" s="82" t="n">
        <v>46009</v>
      </c>
      <c r="C380" s="81" t="s">
        <v>389</v>
      </c>
      <c r="D380" s="83" t="str">
        <f aca="false">IFERROR(INDEX(c_Name,MATCH($C380,c_ID,0)),"غير معرّف")</f>
        <v>ليلى القحطاني</v>
      </c>
      <c r="E380" s="83" t="str">
        <f aca="false">IFERROR(INDEX(c_Region,MATCH($C380,c_ID,0)),"غير معرّف")</f>
        <v>الشرقية</v>
      </c>
      <c r="F380" s="81" t="s">
        <v>178</v>
      </c>
      <c r="G380" s="83" t="str">
        <f aca="false">IFERROR(INDEX(p_Name,MATCH($F380,p_ID,0)),"غير معرّف")</f>
        <v>حقيبة لابتوب</v>
      </c>
      <c r="H380" s="83" t="str">
        <f aca="false">IFERROR(INDEX(p_Cat,MATCH($F380,p_ID,0)),"غير معرّف")</f>
        <v>مستلزمات مكتبية</v>
      </c>
      <c r="I380" s="81" t="s">
        <v>461</v>
      </c>
      <c r="J380" s="81" t="s">
        <v>91</v>
      </c>
      <c r="K380" s="81" t="n">
        <v>3</v>
      </c>
      <c r="L380" s="84" t="n">
        <f aca="false">IFERROR(INDEX(p_Price,MATCH($F380,p_ID,0)),0)</f>
        <v>260</v>
      </c>
      <c r="M380" s="85" t="n">
        <v>0</v>
      </c>
      <c r="N380" s="81" t="s">
        <v>644</v>
      </c>
      <c r="O380" s="84" t="n">
        <f aca="false">IF($N380="مرتجع",0,K380*L380*(1-M380))</f>
        <v>780</v>
      </c>
      <c r="P380" s="84" t="n">
        <f aca="false">IF($N380="مرتجع",0,K380*IFERROR(INDEX(p_Cost,MATCH($F380,p_ID,0)),0))</f>
        <v>360</v>
      </c>
      <c r="Q380" s="84" t="n">
        <f aca="false">O380-P380</f>
        <v>420</v>
      </c>
      <c r="R380" s="86" t="n">
        <f aca="false">DATE(YEAR(B380),MONTH(B380),1)</f>
        <v>45992</v>
      </c>
      <c r="S380" s="83" t="str">
        <f aca="false">YEAR(B380)&amp;"-Q"&amp;ROUNDUP(MONTH(B380)/3,0)</f>
        <v>2025-Q4</v>
      </c>
      <c r="T380" s="87" t="n">
        <f aca="false">IF(O380&gt;0,Q380/O380,"")</f>
        <v>0.538461538461538</v>
      </c>
      <c r="U380" s="84" t="n">
        <f aca="false">IF(O380&gt;0,O380,"")</f>
        <v>780</v>
      </c>
    </row>
    <row r="381" customFormat="false" ht="15" hidden="false" customHeight="false" outlineLevel="0" collapsed="false">
      <c r="A381" s="81" t="s">
        <v>1024</v>
      </c>
      <c r="B381" s="82" t="n">
        <v>46009</v>
      </c>
      <c r="C381" s="81" t="s">
        <v>388</v>
      </c>
      <c r="D381" s="83" t="str">
        <f aca="false">IFERROR(INDEX(c_Name,MATCH($C381,c_ID,0)),"غير معرّف")</f>
        <v>منى الخالدي</v>
      </c>
      <c r="E381" s="83" t="str">
        <f aca="false">IFERROR(INDEX(c_Region,MATCH($C381,c_ID,0)),"غير معرّف")</f>
        <v>الجنوبية</v>
      </c>
      <c r="F381" s="81" t="s">
        <v>165</v>
      </c>
      <c r="G381" s="83" t="str">
        <f aca="false">IFERROR(INDEX(p_Name,MATCH($F381,p_ID,0)),"غير معرّف")</f>
        <v>حاسوب محمول</v>
      </c>
      <c r="H381" s="83" t="str">
        <f aca="false">IFERROR(INDEX(p_Cat,MATCH($F381,p_ID,0)),"غير معرّف")</f>
        <v>إلكترونيات</v>
      </c>
      <c r="I381" s="81" t="s">
        <v>465</v>
      </c>
      <c r="J381" s="81" t="s">
        <v>93</v>
      </c>
      <c r="K381" s="81" t="n">
        <v>1</v>
      </c>
      <c r="L381" s="84" t="n">
        <f aca="false">IFERROR(INDEX(p_Price,MATCH($F381,p_ID,0)),0)</f>
        <v>3800</v>
      </c>
      <c r="M381" s="85" t="n">
        <v>0.05</v>
      </c>
      <c r="N381" s="81" t="s">
        <v>644</v>
      </c>
      <c r="O381" s="84" t="n">
        <f aca="false">IF($N381="مرتجع",0,K381*L381*(1-M381))</f>
        <v>3610</v>
      </c>
      <c r="P381" s="84" t="n">
        <f aca="false">IF($N381="مرتجع",0,K381*IFERROR(INDEX(p_Cost,MATCH($F381,p_ID,0)),0))</f>
        <v>2900</v>
      </c>
      <c r="Q381" s="84" t="n">
        <f aca="false">O381-P381</f>
        <v>710</v>
      </c>
      <c r="R381" s="86" t="n">
        <f aca="false">DATE(YEAR(B381),MONTH(B381),1)</f>
        <v>45992</v>
      </c>
      <c r="S381" s="83" t="str">
        <f aca="false">YEAR(B381)&amp;"-Q"&amp;ROUNDUP(MONTH(B381)/3,0)</f>
        <v>2025-Q4</v>
      </c>
      <c r="T381" s="87" t="n">
        <f aca="false">IF(O381&gt;0,Q381/O381,"")</f>
        <v>0.196675900277008</v>
      </c>
      <c r="U381" s="84" t="n">
        <f aca="false">IF(O381&gt;0,O381,"")</f>
        <v>3610</v>
      </c>
    </row>
    <row r="382" customFormat="false" ht="15" hidden="false" customHeight="false" outlineLevel="0" collapsed="false">
      <c r="A382" s="81" t="s">
        <v>1025</v>
      </c>
      <c r="B382" s="82" t="n">
        <v>46010</v>
      </c>
      <c r="C382" s="81" t="s">
        <v>425</v>
      </c>
      <c r="D382" s="83" t="str">
        <f aca="false">IFERROR(INDEX(c_Name,MATCH($C382,c_ID,0)),"غير معرّف")</f>
        <v>عبدالله الشمري</v>
      </c>
      <c r="E382" s="83" t="str">
        <f aca="false">IFERROR(INDEX(c_Region,MATCH($C382,c_ID,0)),"غير معرّف")</f>
        <v>الجنوبية</v>
      </c>
      <c r="F382" s="81" t="s">
        <v>168</v>
      </c>
      <c r="G382" s="83" t="str">
        <f aca="false">IFERROR(INDEX(p_Name,MATCH($F382,p_ID,0)),"غير معرّف")</f>
        <v>مكنسة كهربائية</v>
      </c>
      <c r="H382" s="83" t="str">
        <f aca="false">IFERROR(INDEX(p_Cat,MATCH($F382,p_ID,0)),"غير معرّف")</f>
        <v>أجهزة منزلية</v>
      </c>
      <c r="I382" s="81" t="s">
        <v>467</v>
      </c>
      <c r="J382" s="81" t="s">
        <v>91</v>
      </c>
      <c r="K382" s="81" t="n">
        <v>2</v>
      </c>
      <c r="L382" s="84" t="n">
        <f aca="false">IFERROR(INDEX(p_Price,MATCH($F382,p_ID,0)),0)</f>
        <v>650</v>
      </c>
      <c r="M382" s="85" t="n">
        <v>0</v>
      </c>
      <c r="N382" s="81" t="s">
        <v>644</v>
      </c>
      <c r="O382" s="84" t="n">
        <f aca="false">IF($N382="مرتجع",0,K382*L382*(1-M382))</f>
        <v>1300</v>
      </c>
      <c r="P382" s="84" t="n">
        <f aca="false">IF($N382="مرتجع",0,K382*IFERROR(INDEX(p_Cost,MATCH($F382,p_ID,0)),0))</f>
        <v>840</v>
      </c>
      <c r="Q382" s="84" t="n">
        <f aca="false">O382-P382</f>
        <v>460</v>
      </c>
      <c r="R382" s="86" t="n">
        <f aca="false">DATE(YEAR(B382),MONTH(B382),1)</f>
        <v>45992</v>
      </c>
      <c r="S382" s="83" t="str">
        <f aca="false">YEAR(B382)&amp;"-Q"&amp;ROUNDUP(MONTH(B382)/3,0)</f>
        <v>2025-Q4</v>
      </c>
      <c r="T382" s="87" t="n">
        <f aca="false">IF(O382&gt;0,Q382/O382,"")</f>
        <v>0.353846153846154</v>
      </c>
      <c r="U382" s="84" t="n">
        <f aca="false">IF(O382&gt;0,O382,"")</f>
        <v>1300</v>
      </c>
    </row>
    <row r="383" customFormat="false" ht="15" hidden="false" customHeight="false" outlineLevel="0" collapsed="false">
      <c r="A383" s="81" t="s">
        <v>1026</v>
      </c>
      <c r="B383" s="82" t="n">
        <v>46010</v>
      </c>
      <c r="C383" s="81" t="s">
        <v>348</v>
      </c>
      <c r="D383" s="83" t="str">
        <f aca="false">IFERROR(INDEX(c_Name,MATCH($C383,c_ID,0)),"غير معرّف")</f>
        <v>عبير القحطاني</v>
      </c>
      <c r="E383" s="83" t="str">
        <f aca="false">IFERROR(INDEX(c_Region,MATCH($C383,c_ID,0)),"غير معرّف")</f>
        <v>الغربية</v>
      </c>
      <c r="F383" s="81" t="s">
        <v>184</v>
      </c>
      <c r="G383" s="83" t="str">
        <f aca="false">IFERROR(INDEX(p_Name,MATCH($F383,p_ID,0)),"غير معرّف")</f>
        <v>عطر فاخر</v>
      </c>
      <c r="H383" s="83" t="str">
        <f aca="false">IFERROR(INDEX(p_Cat,MATCH($F383,p_ID,0)),"غير معرّف")</f>
        <v>عناية شخصية</v>
      </c>
      <c r="I383" s="81" t="s">
        <v>452</v>
      </c>
      <c r="J383" s="81" t="s">
        <v>93</v>
      </c>
      <c r="K383" s="81" t="n">
        <v>3</v>
      </c>
      <c r="L383" s="84" t="n">
        <f aca="false">IFERROR(INDEX(p_Price,MATCH($F383,p_ID,0)),0)</f>
        <v>520</v>
      </c>
      <c r="M383" s="85" t="n">
        <v>0.1</v>
      </c>
      <c r="N383" s="81" t="s">
        <v>644</v>
      </c>
      <c r="O383" s="84" t="n">
        <f aca="false">IF($N383="مرتجع",0,K383*L383*(1-M383))</f>
        <v>1404</v>
      </c>
      <c r="P383" s="84" t="n">
        <f aca="false">IF($N383="مرتجع",0,K383*IFERROR(INDEX(p_Cost,MATCH($F383,p_ID,0)),0))</f>
        <v>630</v>
      </c>
      <c r="Q383" s="84" t="n">
        <f aca="false">O383-P383</f>
        <v>774</v>
      </c>
      <c r="R383" s="86" t="n">
        <f aca="false">DATE(YEAR(B383),MONTH(B383),1)</f>
        <v>45992</v>
      </c>
      <c r="S383" s="83" t="str">
        <f aca="false">YEAR(B383)&amp;"-Q"&amp;ROUNDUP(MONTH(B383)/3,0)</f>
        <v>2025-Q4</v>
      </c>
      <c r="T383" s="87" t="n">
        <f aca="false">IF(O383&gt;0,Q383/O383,"")</f>
        <v>0.551282051282051</v>
      </c>
      <c r="U383" s="84" t="n">
        <f aca="false">IF(O383&gt;0,O383,"")</f>
        <v>1404</v>
      </c>
    </row>
    <row r="384" customFormat="false" ht="15" hidden="false" customHeight="false" outlineLevel="0" collapsed="false">
      <c r="A384" s="81" t="s">
        <v>1027</v>
      </c>
      <c r="B384" s="82" t="n">
        <v>46010</v>
      </c>
      <c r="C384" s="81" t="s">
        <v>419</v>
      </c>
      <c r="D384" s="83" t="str">
        <f aca="false">IFERROR(INDEX(c_Name,MATCH($C384,c_ID,0)),"غير معرّف")</f>
        <v>خالد العتيبي</v>
      </c>
      <c r="E384" s="83" t="str">
        <f aca="false">IFERROR(INDEX(c_Region,MATCH($C384,c_ID,0)),"غير معرّف")</f>
        <v>الجنوبية</v>
      </c>
      <c r="F384" s="81" t="s">
        <v>173</v>
      </c>
      <c r="G384" s="83" t="str">
        <f aca="false">IFERROR(INDEX(p_Name,MATCH($F384,p_ID,0)),"غير معرّف")</f>
        <v>كرسي مريح</v>
      </c>
      <c r="H384" s="83" t="str">
        <f aca="false">IFERROR(INDEX(p_Cat,MATCH($F384,p_ID,0)),"غير معرّف")</f>
        <v>أثاث</v>
      </c>
      <c r="I384" s="81" t="s">
        <v>465</v>
      </c>
      <c r="J384" s="81" t="s">
        <v>91</v>
      </c>
      <c r="K384" s="81" t="n">
        <v>1</v>
      </c>
      <c r="L384" s="84" t="n">
        <f aca="false">IFERROR(INDEX(p_Price,MATCH($F384,p_ID,0)),0)</f>
        <v>850</v>
      </c>
      <c r="M384" s="85" t="n">
        <v>0.05</v>
      </c>
      <c r="N384" s="81" t="s">
        <v>644</v>
      </c>
      <c r="O384" s="84" t="n">
        <f aca="false">IF($N384="مرتجع",0,K384*L384*(1-M384))</f>
        <v>807.5</v>
      </c>
      <c r="P384" s="84" t="n">
        <f aca="false">IF($N384="مرتجع",0,K384*IFERROR(INDEX(p_Cost,MATCH($F384,p_ID,0)),0))</f>
        <v>480</v>
      </c>
      <c r="Q384" s="84" t="n">
        <f aca="false">O384-P384</f>
        <v>327.5</v>
      </c>
      <c r="R384" s="86" t="n">
        <f aca="false">DATE(YEAR(B384),MONTH(B384),1)</f>
        <v>45992</v>
      </c>
      <c r="S384" s="83" t="str">
        <f aca="false">YEAR(B384)&amp;"-Q"&amp;ROUNDUP(MONTH(B384)/3,0)</f>
        <v>2025-Q4</v>
      </c>
      <c r="T384" s="87" t="n">
        <f aca="false">IF(O384&gt;0,Q384/O384,"")</f>
        <v>0.405572755417957</v>
      </c>
      <c r="U384" s="84" t="n">
        <f aca="false">IF(O384&gt;0,O384,"")</f>
        <v>807.5</v>
      </c>
    </row>
    <row r="385" customFormat="false" ht="15" hidden="false" customHeight="false" outlineLevel="0" collapsed="false">
      <c r="A385" s="81" t="s">
        <v>1028</v>
      </c>
      <c r="B385" s="82" t="n">
        <v>46010</v>
      </c>
      <c r="C385" s="81" t="s">
        <v>404</v>
      </c>
      <c r="D385" s="83" t="str">
        <f aca="false">IFERROR(INDEX(c_Name,MATCH($C385,c_ID,0)),"غير معرّف")</f>
        <v>عبدالله الحسيني</v>
      </c>
      <c r="E385" s="83" t="str">
        <f aca="false">IFERROR(INDEX(c_Region,MATCH($C385,c_ID,0)),"غير معرّف")</f>
        <v>الشرقية</v>
      </c>
      <c r="F385" s="81" t="s">
        <v>186</v>
      </c>
      <c r="G385" s="83" t="str">
        <f aca="false">IFERROR(INDEX(p_Name,MATCH($F385,p_ID,0)),"غير معرّف")</f>
        <v>مجفف شعر</v>
      </c>
      <c r="H385" s="83" t="str">
        <f aca="false">IFERROR(INDEX(p_Cat,MATCH($F385,p_ID,0)),"غير معرّف")</f>
        <v>عناية شخصية</v>
      </c>
      <c r="I385" s="81" t="s">
        <v>463</v>
      </c>
      <c r="J385" s="81" t="s">
        <v>91</v>
      </c>
      <c r="K385" s="81" t="n">
        <v>3</v>
      </c>
      <c r="L385" s="84" t="n">
        <f aca="false">IFERROR(INDEX(p_Price,MATCH($F385,p_ID,0)),0)</f>
        <v>280</v>
      </c>
      <c r="M385" s="85" t="n">
        <v>0.15</v>
      </c>
      <c r="N385" s="81" t="s">
        <v>644</v>
      </c>
      <c r="O385" s="84" t="n">
        <f aca="false">IF($N385="مرتجع",0,K385*L385*(1-M385))</f>
        <v>714</v>
      </c>
      <c r="P385" s="84" t="n">
        <f aca="false">IF($N385="مرتجع",0,K385*IFERROR(INDEX(p_Cost,MATCH($F385,p_ID,0)),0))</f>
        <v>420</v>
      </c>
      <c r="Q385" s="84" t="n">
        <f aca="false">O385-P385</f>
        <v>294</v>
      </c>
      <c r="R385" s="86" t="n">
        <f aca="false">DATE(YEAR(B385),MONTH(B385),1)</f>
        <v>45992</v>
      </c>
      <c r="S385" s="83" t="str">
        <f aca="false">YEAR(B385)&amp;"-Q"&amp;ROUNDUP(MONTH(B385)/3,0)</f>
        <v>2025-Q4</v>
      </c>
      <c r="T385" s="87" t="n">
        <f aca="false">IF(O385&gt;0,Q385/O385,"")</f>
        <v>0.411764705882353</v>
      </c>
      <c r="U385" s="84" t="n">
        <f aca="false">IF(O385&gt;0,O385,"")</f>
        <v>714</v>
      </c>
    </row>
    <row r="386" customFormat="false" ht="15" hidden="false" customHeight="false" outlineLevel="0" collapsed="false">
      <c r="A386" s="81" t="s">
        <v>1029</v>
      </c>
      <c r="B386" s="82" t="n">
        <v>46010</v>
      </c>
      <c r="C386" s="81" t="s">
        <v>281</v>
      </c>
      <c r="D386" s="83" t="str">
        <f aca="false">IFERROR(INDEX(c_Name,MATCH($C386,c_ID,0)),"غير معرّف")</f>
        <v>ريم الخالدي</v>
      </c>
      <c r="E386" s="83" t="str">
        <f aca="false">IFERROR(INDEX(c_Region,MATCH($C386,c_ID,0)),"غير معرّف")</f>
        <v>الوسطى</v>
      </c>
      <c r="F386" s="81" t="s">
        <v>166</v>
      </c>
      <c r="G386" s="83" t="str">
        <f aca="false">IFERROR(INDEX(p_Name,MATCH($F386,p_ID,0)),"غير معرّف")</f>
        <v>سماعات لاسلكية</v>
      </c>
      <c r="H386" s="83" t="str">
        <f aca="false">IFERROR(INDEX(p_Cat,MATCH($F386,p_ID,0)),"غير معرّف")</f>
        <v>إلكترونيات</v>
      </c>
      <c r="I386" s="81" t="s">
        <v>449</v>
      </c>
      <c r="J386" s="81" t="s">
        <v>93</v>
      </c>
      <c r="K386" s="81" t="n">
        <v>2</v>
      </c>
      <c r="L386" s="84" t="n">
        <f aca="false">IFERROR(INDEX(p_Price,MATCH($F386,p_ID,0)),0)</f>
        <v>450</v>
      </c>
      <c r="M386" s="85" t="n">
        <v>0.2</v>
      </c>
      <c r="N386" s="81" t="s">
        <v>644</v>
      </c>
      <c r="O386" s="84" t="n">
        <f aca="false">IF($N386="مرتجع",0,K386*L386*(1-M386))</f>
        <v>720</v>
      </c>
      <c r="P386" s="84" t="n">
        <f aca="false">IF($N386="مرتجع",0,K386*IFERROR(INDEX(p_Cost,MATCH($F386,p_ID,0)),0))</f>
        <v>520</v>
      </c>
      <c r="Q386" s="84" t="n">
        <f aca="false">O386-P386</f>
        <v>200</v>
      </c>
      <c r="R386" s="86" t="n">
        <f aca="false">DATE(YEAR(B386),MONTH(B386),1)</f>
        <v>45992</v>
      </c>
      <c r="S386" s="83" t="str">
        <f aca="false">YEAR(B386)&amp;"-Q"&amp;ROUNDUP(MONTH(B386)/3,0)</f>
        <v>2025-Q4</v>
      </c>
      <c r="T386" s="87" t="n">
        <f aca="false">IF(O386&gt;0,Q386/O386,"")</f>
        <v>0.277777777777778</v>
      </c>
      <c r="U386" s="84" t="n">
        <f aca="false">IF(O386&gt;0,O386,"")</f>
        <v>720</v>
      </c>
    </row>
    <row r="387" customFormat="false" ht="15" hidden="false" customHeight="false" outlineLevel="0" collapsed="false">
      <c r="A387" s="81" t="s">
        <v>1030</v>
      </c>
      <c r="B387" s="82" t="n">
        <v>46011</v>
      </c>
      <c r="C387" s="81" t="s">
        <v>257</v>
      </c>
      <c r="D387" s="83" t="str">
        <f aca="false">IFERROR(INDEX(c_Name,MATCH($C387,c_ID,0)),"غير معرّف")</f>
        <v>عبير السبيعي</v>
      </c>
      <c r="E387" s="83" t="str">
        <f aca="false">IFERROR(INDEX(c_Region,MATCH($C387,c_ID,0)),"غير معرّف")</f>
        <v>الغربية</v>
      </c>
      <c r="F387" s="81" t="s">
        <v>178</v>
      </c>
      <c r="G387" s="83" t="str">
        <f aca="false">IFERROR(INDEX(p_Name,MATCH($F387,p_ID,0)),"غير معرّف")</f>
        <v>حقيبة لابتوب</v>
      </c>
      <c r="H387" s="83" t="str">
        <f aca="false">IFERROR(INDEX(p_Cat,MATCH($F387,p_ID,0)),"غير معرّف")</f>
        <v>مستلزمات مكتبية</v>
      </c>
      <c r="I387" s="81" t="s">
        <v>455</v>
      </c>
      <c r="J387" s="81" t="s">
        <v>93</v>
      </c>
      <c r="K387" s="81" t="n">
        <v>4</v>
      </c>
      <c r="L387" s="84" t="n">
        <f aca="false">IFERROR(INDEX(p_Price,MATCH($F387,p_ID,0)),0)</f>
        <v>260</v>
      </c>
      <c r="M387" s="85" t="n">
        <v>0</v>
      </c>
      <c r="N387" s="81" t="s">
        <v>644</v>
      </c>
      <c r="O387" s="84" t="n">
        <f aca="false">IF($N387="مرتجع",0,K387*L387*(1-M387))</f>
        <v>1040</v>
      </c>
      <c r="P387" s="84" t="n">
        <f aca="false">IF($N387="مرتجع",0,K387*IFERROR(INDEX(p_Cost,MATCH($F387,p_ID,0)),0))</f>
        <v>480</v>
      </c>
      <c r="Q387" s="84" t="n">
        <f aca="false">O387-P387</f>
        <v>560</v>
      </c>
      <c r="R387" s="86" t="n">
        <f aca="false">DATE(YEAR(B387),MONTH(B387),1)</f>
        <v>45992</v>
      </c>
      <c r="S387" s="83" t="str">
        <f aca="false">YEAR(B387)&amp;"-Q"&amp;ROUNDUP(MONTH(B387)/3,0)</f>
        <v>2025-Q4</v>
      </c>
      <c r="T387" s="87" t="n">
        <f aca="false">IF(O387&gt;0,Q387/O387,"")</f>
        <v>0.538461538461538</v>
      </c>
      <c r="U387" s="84" t="n">
        <f aca="false">IF(O387&gt;0,O387,"")</f>
        <v>1040</v>
      </c>
    </row>
    <row r="388" customFormat="false" ht="15" hidden="false" customHeight="false" outlineLevel="0" collapsed="false">
      <c r="A388" s="81" t="s">
        <v>1031</v>
      </c>
      <c r="B388" s="82" t="n">
        <v>46011</v>
      </c>
      <c r="C388" s="81" t="s">
        <v>394</v>
      </c>
      <c r="D388" s="83" t="str">
        <f aca="false">IFERROR(INDEX(c_Name,MATCH($C388,c_ID,0)),"غير معرّف")</f>
        <v>طارق الغامدي</v>
      </c>
      <c r="E388" s="83" t="str">
        <f aca="false">IFERROR(INDEX(c_Region,MATCH($C388,c_ID,0)),"غير معرّف")</f>
        <v>الشرقية</v>
      </c>
      <c r="F388" s="81" t="s">
        <v>171</v>
      </c>
      <c r="G388" s="83" t="str">
        <f aca="false">IFERROR(INDEX(p_Name,MATCH($F388,p_ID,0)),"غير معرّف")</f>
        <v>قلاية هوائية</v>
      </c>
      <c r="H388" s="83" t="str">
        <f aca="false">IFERROR(INDEX(p_Cat,MATCH($F388,p_ID,0)),"غير معرّف")</f>
        <v>أجهزة منزلية</v>
      </c>
      <c r="I388" s="81" t="s">
        <v>463</v>
      </c>
      <c r="J388" s="81" t="s">
        <v>91</v>
      </c>
      <c r="K388" s="81" t="n">
        <v>1</v>
      </c>
      <c r="L388" s="84" t="n">
        <f aca="false">IFERROR(INDEX(p_Price,MATCH($F388,p_ID,0)),0)</f>
        <v>520</v>
      </c>
      <c r="M388" s="85" t="n">
        <v>0</v>
      </c>
      <c r="N388" s="81" t="s">
        <v>644</v>
      </c>
      <c r="O388" s="84" t="n">
        <f aca="false">IF($N388="مرتجع",0,K388*L388*(1-M388))</f>
        <v>520</v>
      </c>
      <c r="P388" s="84" t="n">
        <f aca="false">IF($N388="مرتجع",0,K388*IFERROR(INDEX(p_Cost,MATCH($F388,p_ID,0)),0))</f>
        <v>300</v>
      </c>
      <c r="Q388" s="84" t="n">
        <f aca="false">O388-P388</f>
        <v>220</v>
      </c>
      <c r="R388" s="86" t="n">
        <f aca="false">DATE(YEAR(B388),MONTH(B388),1)</f>
        <v>45992</v>
      </c>
      <c r="S388" s="83" t="str">
        <f aca="false">YEAR(B388)&amp;"-Q"&amp;ROUNDUP(MONTH(B388)/3,0)</f>
        <v>2025-Q4</v>
      </c>
      <c r="T388" s="87" t="n">
        <f aca="false">IF(O388&gt;0,Q388/O388,"")</f>
        <v>0.423076923076923</v>
      </c>
      <c r="U388" s="84" t="n">
        <f aca="false">IF(O388&gt;0,O388,"")</f>
        <v>520</v>
      </c>
    </row>
    <row r="389" customFormat="false" ht="15" hidden="false" customHeight="false" outlineLevel="0" collapsed="false">
      <c r="A389" s="81" t="s">
        <v>1032</v>
      </c>
      <c r="B389" s="82" t="n">
        <v>46011</v>
      </c>
      <c r="C389" s="81" t="s">
        <v>423</v>
      </c>
      <c r="D389" s="83" t="str">
        <f aca="false">IFERROR(INDEX(c_Name,MATCH($C389,c_ID,0)),"غير معرّف")</f>
        <v>ناصر المطيري</v>
      </c>
      <c r="E389" s="83" t="str">
        <f aca="false">IFERROR(INDEX(c_Region,MATCH($C389,c_ID,0)),"غير معرّف")</f>
        <v>الغربية</v>
      </c>
      <c r="F389" s="81" t="s">
        <v>182</v>
      </c>
      <c r="G389" s="83" t="str">
        <f aca="false">IFERROR(INDEX(p_Name,MATCH($F389,p_ID,0)),"غير معرّف")</f>
        <v>طقم أوزان</v>
      </c>
      <c r="H389" s="83" t="str">
        <f aca="false">IFERROR(INDEX(p_Cat,MATCH($F389,p_ID,0)),"غير معرّف")</f>
        <v>رياضة</v>
      </c>
      <c r="I389" s="81" t="s">
        <v>458</v>
      </c>
      <c r="J389" s="81" t="s">
        <v>91</v>
      </c>
      <c r="K389" s="81" t="n">
        <v>1</v>
      </c>
      <c r="L389" s="84" t="n">
        <f aca="false">IFERROR(INDEX(p_Price,MATCH($F389,p_ID,0)),0)</f>
        <v>380</v>
      </c>
      <c r="M389" s="85" t="n">
        <v>0.05</v>
      </c>
      <c r="N389" s="81" t="s">
        <v>644</v>
      </c>
      <c r="O389" s="84" t="n">
        <f aca="false">IF($N389="مرتجع",0,K389*L389*(1-M389))</f>
        <v>361</v>
      </c>
      <c r="P389" s="84" t="n">
        <f aca="false">IF($N389="مرتجع",0,K389*IFERROR(INDEX(p_Cost,MATCH($F389,p_ID,0)),0))</f>
        <v>210</v>
      </c>
      <c r="Q389" s="84" t="n">
        <f aca="false">O389-P389</f>
        <v>151</v>
      </c>
      <c r="R389" s="86" t="n">
        <f aca="false">DATE(YEAR(B389),MONTH(B389),1)</f>
        <v>45992</v>
      </c>
      <c r="S389" s="83" t="str">
        <f aca="false">YEAR(B389)&amp;"-Q"&amp;ROUNDUP(MONTH(B389)/3,0)</f>
        <v>2025-Q4</v>
      </c>
      <c r="T389" s="87" t="n">
        <f aca="false">IF(O389&gt;0,Q389/O389,"")</f>
        <v>0.418282548476454</v>
      </c>
      <c r="U389" s="84" t="n">
        <f aca="false">IF(O389&gt;0,O389,"")</f>
        <v>361</v>
      </c>
    </row>
    <row r="390" customFormat="false" ht="15" hidden="false" customHeight="false" outlineLevel="0" collapsed="false">
      <c r="A390" s="81" t="s">
        <v>1033</v>
      </c>
      <c r="B390" s="82" t="n">
        <v>46012</v>
      </c>
      <c r="C390" s="81" t="s">
        <v>266</v>
      </c>
      <c r="D390" s="83" t="str">
        <f aca="false">IFERROR(INDEX(c_Name,MATCH($C390,c_ID,0)),"غير معرّف")</f>
        <v>ياسر الشهري</v>
      </c>
      <c r="E390" s="83" t="str">
        <f aca="false">IFERROR(INDEX(c_Region,MATCH($C390,c_ID,0)),"غير معرّف")</f>
        <v>الوسطى</v>
      </c>
      <c r="F390" s="81" t="s">
        <v>173</v>
      </c>
      <c r="G390" s="83" t="str">
        <f aca="false">IFERROR(INDEX(p_Name,MATCH($F390,p_ID,0)),"غير معرّف")</f>
        <v>كرسي مريح</v>
      </c>
      <c r="H390" s="83" t="str">
        <f aca="false">IFERROR(INDEX(p_Cat,MATCH($F390,p_ID,0)),"غير معرّف")</f>
        <v>أثاث</v>
      </c>
      <c r="I390" s="81" t="s">
        <v>446</v>
      </c>
      <c r="J390" s="81" t="s">
        <v>93</v>
      </c>
      <c r="K390" s="81" t="n">
        <v>1</v>
      </c>
      <c r="L390" s="84" t="n">
        <f aca="false">IFERROR(INDEX(p_Price,MATCH($F390,p_ID,0)),0)</f>
        <v>850</v>
      </c>
      <c r="M390" s="85" t="n">
        <v>0.15</v>
      </c>
      <c r="N390" s="81" t="s">
        <v>644</v>
      </c>
      <c r="O390" s="84" t="n">
        <f aca="false">IF($N390="مرتجع",0,K390*L390*(1-M390))</f>
        <v>722.5</v>
      </c>
      <c r="P390" s="84" t="n">
        <f aca="false">IF($N390="مرتجع",0,K390*IFERROR(INDEX(p_Cost,MATCH($F390,p_ID,0)),0))</f>
        <v>480</v>
      </c>
      <c r="Q390" s="84" t="n">
        <f aca="false">O390-P390</f>
        <v>242.5</v>
      </c>
      <c r="R390" s="86" t="n">
        <f aca="false">DATE(YEAR(B390),MONTH(B390),1)</f>
        <v>45992</v>
      </c>
      <c r="S390" s="83" t="str">
        <f aca="false">YEAR(B390)&amp;"-Q"&amp;ROUNDUP(MONTH(B390)/3,0)</f>
        <v>2025-Q4</v>
      </c>
      <c r="T390" s="87" t="n">
        <f aca="false">IF(O390&gt;0,Q390/O390,"")</f>
        <v>0.335640138408305</v>
      </c>
      <c r="U390" s="84" t="n">
        <f aca="false">IF(O390&gt;0,O390,"")</f>
        <v>722.5</v>
      </c>
    </row>
    <row r="391" customFormat="false" ht="15" hidden="false" customHeight="false" outlineLevel="0" collapsed="false">
      <c r="A391" s="81" t="s">
        <v>1034</v>
      </c>
      <c r="B391" s="82" t="n">
        <v>46012</v>
      </c>
      <c r="C391" s="81" t="s">
        <v>415</v>
      </c>
      <c r="D391" s="83" t="str">
        <f aca="false">IFERROR(INDEX(c_Name,MATCH($C391,c_ID,0)),"غير معرّف")</f>
        <v>سارة القحطاني</v>
      </c>
      <c r="E391" s="83" t="str">
        <f aca="false">IFERROR(INDEX(c_Region,MATCH($C391,c_ID,0)),"غير معرّف")</f>
        <v>الشرقية</v>
      </c>
      <c r="F391" s="81" t="s">
        <v>171</v>
      </c>
      <c r="G391" s="83" t="str">
        <f aca="false">IFERROR(INDEX(p_Name,MATCH($F391,p_ID,0)),"غير معرّف")</f>
        <v>قلاية هوائية</v>
      </c>
      <c r="H391" s="83" t="str">
        <f aca="false">IFERROR(INDEX(p_Cat,MATCH($F391,p_ID,0)),"غير معرّف")</f>
        <v>أجهزة منزلية</v>
      </c>
      <c r="I391" s="81" t="s">
        <v>461</v>
      </c>
      <c r="J391" s="81" t="s">
        <v>93</v>
      </c>
      <c r="K391" s="81" t="n">
        <v>1</v>
      </c>
      <c r="L391" s="84" t="n">
        <f aca="false">IFERROR(INDEX(p_Price,MATCH($F391,p_ID,0)),0)</f>
        <v>520</v>
      </c>
      <c r="M391" s="85" t="n">
        <v>0.1</v>
      </c>
      <c r="N391" s="81" t="s">
        <v>644</v>
      </c>
      <c r="O391" s="84" t="n">
        <f aca="false">IF($N391="مرتجع",0,K391*L391*(1-M391))</f>
        <v>468</v>
      </c>
      <c r="P391" s="84" t="n">
        <f aca="false">IF($N391="مرتجع",0,K391*IFERROR(INDEX(p_Cost,MATCH($F391,p_ID,0)),0))</f>
        <v>300</v>
      </c>
      <c r="Q391" s="84" t="n">
        <f aca="false">O391-P391</f>
        <v>168</v>
      </c>
      <c r="R391" s="86" t="n">
        <f aca="false">DATE(YEAR(B391),MONTH(B391),1)</f>
        <v>45992</v>
      </c>
      <c r="S391" s="83" t="str">
        <f aca="false">YEAR(B391)&amp;"-Q"&amp;ROUNDUP(MONTH(B391)/3,0)</f>
        <v>2025-Q4</v>
      </c>
      <c r="T391" s="87" t="n">
        <f aca="false">IF(O391&gt;0,Q391/O391,"")</f>
        <v>0.358974358974359</v>
      </c>
      <c r="U391" s="84" t="n">
        <f aca="false">IF(O391&gt;0,O391,"")</f>
        <v>468</v>
      </c>
    </row>
    <row r="392" customFormat="false" ht="15" hidden="false" customHeight="false" outlineLevel="0" collapsed="false">
      <c r="A392" s="81" t="s">
        <v>1035</v>
      </c>
      <c r="B392" s="82" t="n">
        <v>46012</v>
      </c>
      <c r="C392" s="81" t="s">
        <v>423</v>
      </c>
      <c r="D392" s="83" t="str">
        <f aca="false">IFERROR(INDEX(c_Name,MATCH($C392,c_ID,0)),"غير معرّف")</f>
        <v>ناصر المطيري</v>
      </c>
      <c r="E392" s="83" t="str">
        <f aca="false">IFERROR(INDEX(c_Region,MATCH($C392,c_ID,0)),"غير معرّف")</f>
        <v>الغربية</v>
      </c>
      <c r="F392" s="81" t="s">
        <v>184</v>
      </c>
      <c r="G392" s="83" t="str">
        <f aca="false">IFERROR(INDEX(p_Name,MATCH($F392,p_ID,0)),"غير معرّف")</f>
        <v>عطر فاخر</v>
      </c>
      <c r="H392" s="83" t="str">
        <f aca="false">IFERROR(INDEX(p_Cat,MATCH($F392,p_ID,0)),"غير معرّف")</f>
        <v>عناية شخصية</v>
      </c>
      <c r="I392" s="81" t="s">
        <v>452</v>
      </c>
      <c r="J392" s="81" t="s">
        <v>91</v>
      </c>
      <c r="K392" s="81" t="n">
        <v>1</v>
      </c>
      <c r="L392" s="84" t="n">
        <f aca="false">IFERROR(INDEX(p_Price,MATCH($F392,p_ID,0)),0)</f>
        <v>520</v>
      </c>
      <c r="M392" s="85" t="n">
        <v>0.1</v>
      </c>
      <c r="N392" s="81" t="s">
        <v>644</v>
      </c>
      <c r="O392" s="84" t="n">
        <f aca="false">IF($N392="مرتجع",0,K392*L392*(1-M392))</f>
        <v>468</v>
      </c>
      <c r="P392" s="84" t="n">
        <f aca="false">IF($N392="مرتجع",0,K392*IFERROR(INDEX(p_Cost,MATCH($F392,p_ID,0)),0))</f>
        <v>210</v>
      </c>
      <c r="Q392" s="84" t="n">
        <f aca="false">O392-P392</f>
        <v>258</v>
      </c>
      <c r="R392" s="86" t="n">
        <f aca="false">DATE(YEAR(B392),MONTH(B392),1)</f>
        <v>45992</v>
      </c>
      <c r="S392" s="83" t="str">
        <f aca="false">YEAR(B392)&amp;"-Q"&amp;ROUNDUP(MONTH(B392)/3,0)</f>
        <v>2025-Q4</v>
      </c>
      <c r="T392" s="87" t="n">
        <f aca="false">IF(O392&gt;0,Q392/O392,"")</f>
        <v>0.551282051282051</v>
      </c>
      <c r="U392" s="84" t="n">
        <f aca="false">IF(O392&gt;0,O392,"")</f>
        <v>468</v>
      </c>
    </row>
    <row r="393" customFormat="false" ht="15" hidden="false" customHeight="false" outlineLevel="0" collapsed="false">
      <c r="A393" s="81" t="s">
        <v>1036</v>
      </c>
      <c r="B393" s="82" t="n">
        <v>46012</v>
      </c>
      <c r="C393" s="81" t="s">
        <v>244</v>
      </c>
      <c r="D393" s="83" t="str">
        <f aca="false">IFERROR(INDEX(c_Name,MATCH($C393,c_ID,0)),"غير معرّف")</f>
        <v>طارق الشهري</v>
      </c>
      <c r="E393" s="83" t="str">
        <f aca="false">IFERROR(INDEX(c_Region,MATCH($C393,c_ID,0)),"غير معرّف")</f>
        <v>الوسطى</v>
      </c>
      <c r="F393" s="81" t="s">
        <v>169</v>
      </c>
      <c r="G393" s="83" t="str">
        <f aca="false">IFERROR(INDEX(p_Name,MATCH($F393,p_ID,0)),"غير معرّف")</f>
        <v>خلاط</v>
      </c>
      <c r="H393" s="83" t="str">
        <f aca="false">IFERROR(INDEX(p_Cat,MATCH($F393,p_ID,0)),"غير معرّف")</f>
        <v>أجهزة منزلية</v>
      </c>
      <c r="I393" s="81" t="s">
        <v>449</v>
      </c>
      <c r="J393" s="81" t="s">
        <v>91</v>
      </c>
      <c r="K393" s="81" t="n">
        <v>1</v>
      </c>
      <c r="L393" s="84" t="n">
        <f aca="false">IFERROR(INDEX(p_Price,MATCH($F393,p_ID,0)),0)</f>
        <v>300</v>
      </c>
      <c r="M393" s="85" t="n">
        <v>0</v>
      </c>
      <c r="N393" s="81" t="s">
        <v>644</v>
      </c>
      <c r="O393" s="84" t="n">
        <f aca="false">IF($N393="مرتجع",0,K393*L393*(1-M393))</f>
        <v>300</v>
      </c>
      <c r="P393" s="84" t="n">
        <f aca="false">IF($N393="مرتجع",0,K393*IFERROR(INDEX(p_Cost,MATCH($F393,p_ID,0)),0))</f>
        <v>175</v>
      </c>
      <c r="Q393" s="84" t="n">
        <f aca="false">O393-P393</f>
        <v>125</v>
      </c>
      <c r="R393" s="86" t="n">
        <f aca="false">DATE(YEAR(B393),MONTH(B393),1)</f>
        <v>45992</v>
      </c>
      <c r="S393" s="83" t="str">
        <f aca="false">YEAR(B393)&amp;"-Q"&amp;ROUNDUP(MONTH(B393)/3,0)</f>
        <v>2025-Q4</v>
      </c>
      <c r="T393" s="87" t="n">
        <f aca="false">IF(O393&gt;0,Q393/O393,"")</f>
        <v>0.416666666666667</v>
      </c>
      <c r="U393" s="84" t="n">
        <f aca="false">IF(O393&gt;0,O393,"")</f>
        <v>300</v>
      </c>
    </row>
    <row r="394" customFormat="false" ht="15" hidden="false" customHeight="false" outlineLevel="0" collapsed="false">
      <c r="A394" s="81" t="s">
        <v>1037</v>
      </c>
      <c r="B394" s="82" t="n">
        <v>46013</v>
      </c>
      <c r="C394" s="81" t="s">
        <v>357</v>
      </c>
      <c r="D394" s="83" t="str">
        <f aca="false">IFERROR(INDEX(c_Name,MATCH($C394,c_ID,0)),"غير معرّف")</f>
        <v>منى الحربي</v>
      </c>
      <c r="E394" s="83" t="str">
        <f aca="false">IFERROR(INDEX(c_Region,MATCH($C394,c_ID,0)),"غير معرّف")</f>
        <v>الوسطى</v>
      </c>
      <c r="F394" s="81" t="s">
        <v>168</v>
      </c>
      <c r="G394" s="83" t="str">
        <f aca="false">IFERROR(INDEX(p_Name,MATCH($F394,p_ID,0)),"غير معرّف")</f>
        <v>مكنسة كهربائية</v>
      </c>
      <c r="H394" s="83" t="str">
        <f aca="false">IFERROR(INDEX(p_Cat,MATCH($F394,p_ID,0)),"غير معرّف")</f>
        <v>أجهزة منزلية</v>
      </c>
      <c r="I394" s="81" t="s">
        <v>443</v>
      </c>
      <c r="J394" s="81" t="s">
        <v>93</v>
      </c>
      <c r="K394" s="81" t="n">
        <v>2</v>
      </c>
      <c r="L394" s="84" t="n">
        <f aca="false">IFERROR(INDEX(p_Price,MATCH($F394,p_ID,0)),0)</f>
        <v>650</v>
      </c>
      <c r="M394" s="85" t="n">
        <v>0.05</v>
      </c>
      <c r="N394" s="81" t="s">
        <v>644</v>
      </c>
      <c r="O394" s="84" t="n">
        <f aca="false">IF($N394="مرتجع",0,K394*L394*(1-M394))</f>
        <v>1235</v>
      </c>
      <c r="P394" s="84" t="n">
        <f aca="false">IF($N394="مرتجع",0,K394*IFERROR(INDEX(p_Cost,MATCH($F394,p_ID,0)),0))</f>
        <v>840</v>
      </c>
      <c r="Q394" s="84" t="n">
        <f aca="false">O394-P394</f>
        <v>395</v>
      </c>
      <c r="R394" s="86" t="n">
        <f aca="false">DATE(YEAR(B394),MONTH(B394),1)</f>
        <v>45992</v>
      </c>
      <c r="S394" s="83" t="str">
        <f aca="false">YEAR(B394)&amp;"-Q"&amp;ROUNDUP(MONTH(B394)/3,0)</f>
        <v>2025-Q4</v>
      </c>
      <c r="T394" s="87" t="n">
        <f aca="false">IF(O394&gt;0,Q394/O394,"")</f>
        <v>0.319838056680162</v>
      </c>
      <c r="U394" s="84" t="n">
        <f aca="false">IF(O394&gt;0,O394,"")</f>
        <v>1235</v>
      </c>
    </row>
    <row r="395" customFormat="false" ht="15" hidden="false" customHeight="false" outlineLevel="0" collapsed="false">
      <c r="A395" s="81" t="s">
        <v>1038</v>
      </c>
      <c r="B395" s="82" t="n">
        <v>46013</v>
      </c>
      <c r="C395" s="81" t="s">
        <v>418</v>
      </c>
      <c r="D395" s="83" t="str">
        <f aca="false">IFERROR(INDEX(c_Name,MATCH($C395,c_ID,0)),"غير معرّف")</f>
        <v>ياسر الزهراني</v>
      </c>
      <c r="E395" s="83" t="str">
        <f aca="false">IFERROR(INDEX(c_Region,MATCH($C395,c_ID,0)),"غير معرّف")</f>
        <v>الشرقية</v>
      </c>
      <c r="F395" s="81" t="s">
        <v>173</v>
      </c>
      <c r="G395" s="83" t="str">
        <f aca="false">IFERROR(INDEX(p_Name,MATCH($F395,p_ID,0)),"غير معرّف")</f>
        <v>كرسي مريح</v>
      </c>
      <c r="H395" s="83" t="str">
        <f aca="false">IFERROR(INDEX(p_Cat,MATCH($F395,p_ID,0)),"غير معرّف")</f>
        <v>أثاث</v>
      </c>
      <c r="I395" s="81" t="s">
        <v>461</v>
      </c>
      <c r="J395" s="81" t="s">
        <v>91</v>
      </c>
      <c r="K395" s="81" t="n">
        <v>3</v>
      </c>
      <c r="L395" s="84" t="n">
        <f aca="false">IFERROR(INDEX(p_Price,MATCH($F395,p_ID,0)),0)</f>
        <v>850</v>
      </c>
      <c r="M395" s="85" t="n">
        <v>0.15</v>
      </c>
      <c r="N395" s="81" t="s">
        <v>644</v>
      </c>
      <c r="O395" s="84" t="n">
        <f aca="false">IF($N395="مرتجع",0,K395*L395*(1-M395))</f>
        <v>2167.5</v>
      </c>
      <c r="P395" s="84" t="n">
        <f aca="false">IF($N395="مرتجع",0,K395*IFERROR(INDEX(p_Cost,MATCH($F395,p_ID,0)),0))</f>
        <v>1440</v>
      </c>
      <c r="Q395" s="84" t="n">
        <f aca="false">O395-P395</f>
        <v>727.5</v>
      </c>
      <c r="R395" s="86" t="n">
        <f aca="false">DATE(YEAR(B395),MONTH(B395),1)</f>
        <v>45992</v>
      </c>
      <c r="S395" s="83" t="str">
        <f aca="false">YEAR(B395)&amp;"-Q"&amp;ROUNDUP(MONTH(B395)/3,0)</f>
        <v>2025-Q4</v>
      </c>
      <c r="T395" s="87" t="n">
        <f aca="false">IF(O395&gt;0,Q395/O395,"")</f>
        <v>0.335640138408305</v>
      </c>
      <c r="U395" s="84" t="n">
        <f aca="false">IF(O395&gt;0,O395,"")</f>
        <v>2167.5</v>
      </c>
    </row>
    <row r="396" customFormat="false" ht="15" hidden="false" customHeight="false" outlineLevel="0" collapsed="false">
      <c r="A396" s="81" t="s">
        <v>1039</v>
      </c>
      <c r="B396" s="82" t="n">
        <v>46013</v>
      </c>
      <c r="C396" s="81" t="s">
        <v>416</v>
      </c>
      <c r="D396" s="83" t="str">
        <f aca="false">IFERROR(INDEX(c_Name,MATCH($C396,c_ID,0)),"غير معرّف")</f>
        <v>أحمد الشهري</v>
      </c>
      <c r="E396" s="83" t="str">
        <f aca="false">IFERROR(INDEX(c_Region,MATCH($C396,c_ID,0)),"غير معرّف")</f>
        <v>الشرقية</v>
      </c>
      <c r="F396" s="81" t="s">
        <v>186</v>
      </c>
      <c r="G396" s="83" t="str">
        <f aca="false">IFERROR(INDEX(p_Name,MATCH($F396,p_ID,0)),"غير معرّف")</f>
        <v>مجفف شعر</v>
      </c>
      <c r="H396" s="83" t="str">
        <f aca="false">IFERROR(INDEX(p_Cat,MATCH($F396,p_ID,0)),"غير معرّف")</f>
        <v>عناية شخصية</v>
      </c>
      <c r="I396" s="81" t="s">
        <v>463</v>
      </c>
      <c r="J396" s="81" t="s">
        <v>93</v>
      </c>
      <c r="K396" s="81" t="n">
        <v>1</v>
      </c>
      <c r="L396" s="84" t="n">
        <f aca="false">IFERROR(INDEX(p_Price,MATCH($F396,p_ID,0)),0)</f>
        <v>280</v>
      </c>
      <c r="M396" s="85" t="n">
        <v>0</v>
      </c>
      <c r="N396" s="81" t="s">
        <v>644</v>
      </c>
      <c r="O396" s="84" t="n">
        <f aca="false">IF($N396="مرتجع",0,K396*L396*(1-M396))</f>
        <v>280</v>
      </c>
      <c r="P396" s="84" t="n">
        <f aca="false">IF($N396="مرتجع",0,K396*IFERROR(INDEX(p_Cost,MATCH($F396,p_ID,0)),0))</f>
        <v>140</v>
      </c>
      <c r="Q396" s="84" t="n">
        <f aca="false">O396-P396</f>
        <v>140</v>
      </c>
      <c r="R396" s="86" t="n">
        <f aca="false">DATE(YEAR(B396),MONTH(B396),1)</f>
        <v>45992</v>
      </c>
      <c r="S396" s="83" t="str">
        <f aca="false">YEAR(B396)&amp;"-Q"&amp;ROUNDUP(MONTH(B396)/3,0)</f>
        <v>2025-Q4</v>
      </c>
      <c r="T396" s="87" t="n">
        <f aca="false">IF(O396&gt;0,Q396/O396,"")</f>
        <v>0.5</v>
      </c>
      <c r="U396" s="84" t="n">
        <f aca="false">IF(O396&gt;0,O396,"")</f>
        <v>280</v>
      </c>
    </row>
    <row r="397" customFormat="false" ht="15" hidden="false" customHeight="false" outlineLevel="0" collapsed="false">
      <c r="A397" s="81" t="s">
        <v>1040</v>
      </c>
      <c r="B397" s="82" t="n">
        <v>46014</v>
      </c>
      <c r="C397" s="81" t="s">
        <v>363</v>
      </c>
      <c r="D397" s="83" t="str">
        <f aca="false">IFERROR(INDEX(c_Name,MATCH($C397,c_ID,0)),"غير معرّف")</f>
        <v>سلمان البلوي</v>
      </c>
      <c r="E397" s="83" t="str">
        <f aca="false">IFERROR(INDEX(c_Region,MATCH($C397,c_ID,0)),"غير معرّف")</f>
        <v>الوسطى</v>
      </c>
      <c r="F397" s="81" t="s">
        <v>182</v>
      </c>
      <c r="G397" s="83" t="str">
        <f aca="false">IFERROR(INDEX(p_Name,MATCH($F397,p_ID,0)),"غير معرّف")</f>
        <v>طقم أوزان</v>
      </c>
      <c r="H397" s="83" t="str">
        <f aca="false">IFERROR(INDEX(p_Cat,MATCH($F397,p_ID,0)),"غير معرّف")</f>
        <v>رياضة</v>
      </c>
      <c r="I397" s="81" t="s">
        <v>443</v>
      </c>
      <c r="J397" s="81" t="s">
        <v>91</v>
      </c>
      <c r="K397" s="81" t="n">
        <v>1</v>
      </c>
      <c r="L397" s="84" t="n">
        <f aca="false">IFERROR(INDEX(p_Price,MATCH($F397,p_ID,0)),0)</f>
        <v>380</v>
      </c>
      <c r="M397" s="85" t="n">
        <v>0.15</v>
      </c>
      <c r="N397" s="81" t="s">
        <v>644</v>
      </c>
      <c r="O397" s="84" t="n">
        <f aca="false">IF($N397="مرتجع",0,K397*L397*(1-M397))</f>
        <v>323</v>
      </c>
      <c r="P397" s="84" t="n">
        <f aca="false">IF($N397="مرتجع",0,K397*IFERROR(INDEX(p_Cost,MATCH($F397,p_ID,0)),0))</f>
        <v>210</v>
      </c>
      <c r="Q397" s="84" t="n">
        <f aca="false">O397-P397</f>
        <v>113</v>
      </c>
      <c r="R397" s="86" t="n">
        <f aca="false">DATE(YEAR(B397),MONTH(B397),1)</f>
        <v>45992</v>
      </c>
      <c r="S397" s="83" t="str">
        <f aca="false">YEAR(B397)&amp;"-Q"&amp;ROUNDUP(MONTH(B397)/3,0)</f>
        <v>2025-Q4</v>
      </c>
      <c r="T397" s="87" t="n">
        <f aca="false">IF(O397&gt;0,Q397/O397,"")</f>
        <v>0.34984520123839</v>
      </c>
      <c r="U397" s="84" t="n">
        <f aca="false">IF(O397&gt;0,O397,"")</f>
        <v>323</v>
      </c>
    </row>
    <row r="398" customFormat="false" ht="15" hidden="false" customHeight="false" outlineLevel="0" collapsed="false">
      <c r="A398" s="81" t="s">
        <v>1041</v>
      </c>
      <c r="B398" s="82" t="n">
        <v>46014</v>
      </c>
      <c r="C398" s="81" t="s">
        <v>310</v>
      </c>
      <c r="D398" s="83" t="str">
        <f aca="false">IFERROR(INDEX(c_Name,MATCH($C398,c_ID,0)),"غير معرّف")</f>
        <v>طارق السبيعي</v>
      </c>
      <c r="E398" s="83" t="str">
        <f aca="false">IFERROR(INDEX(c_Region,MATCH($C398,c_ID,0)),"غير معرّف")</f>
        <v>الوسطى</v>
      </c>
      <c r="F398" s="81" t="s">
        <v>166</v>
      </c>
      <c r="G398" s="83" t="str">
        <f aca="false">IFERROR(INDEX(p_Name,MATCH($F398,p_ID,0)),"غير معرّف")</f>
        <v>سماعات لاسلكية</v>
      </c>
      <c r="H398" s="83" t="str">
        <f aca="false">IFERROR(INDEX(p_Cat,MATCH($F398,p_ID,0)),"غير معرّف")</f>
        <v>إلكترونيات</v>
      </c>
      <c r="I398" s="81" t="s">
        <v>443</v>
      </c>
      <c r="J398" s="81" t="s">
        <v>93</v>
      </c>
      <c r="K398" s="81" t="n">
        <v>2</v>
      </c>
      <c r="L398" s="84" t="n">
        <f aca="false">IFERROR(INDEX(p_Price,MATCH($F398,p_ID,0)),0)</f>
        <v>450</v>
      </c>
      <c r="M398" s="85" t="n">
        <v>0</v>
      </c>
      <c r="N398" s="81" t="s">
        <v>650</v>
      </c>
      <c r="O398" s="84" t="n">
        <f aca="false">IF($N398="مرتجع",0,K398*L398*(1-M398))</f>
        <v>0</v>
      </c>
      <c r="P398" s="84" t="n">
        <f aca="false">IF($N398="مرتجع",0,K398*IFERROR(INDEX(p_Cost,MATCH($F398,p_ID,0)),0))</f>
        <v>0</v>
      </c>
      <c r="Q398" s="84" t="n">
        <f aca="false">O398-P398</f>
        <v>0</v>
      </c>
      <c r="R398" s="86" t="n">
        <f aca="false">DATE(YEAR(B398),MONTH(B398),1)</f>
        <v>45992</v>
      </c>
      <c r="S398" s="83" t="str">
        <f aca="false">YEAR(B398)&amp;"-Q"&amp;ROUNDUP(MONTH(B398)/3,0)</f>
        <v>2025-Q4</v>
      </c>
      <c r="T398" s="87" t="str">
        <f aca="false">IF(O398&gt;0,Q398/O398,"")</f>
        <v/>
      </c>
      <c r="U398" s="84" t="str">
        <f aca="false">IF(O398&gt;0,O398,"")</f>
        <v/>
      </c>
    </row>
    <row r="399" customFormat="false" ht="15" hidden="false" customHeight="false" outlineLevel="0" collapsed="false">
      <c r="A399" s="81" t="s">
        <v>1042</v>
      </c>
      <c r="B399" s="82" t="n">
        <v>46014</v>
      </c>
      <c r="C399" s="81" t="s">
        <v>365</v>
      </c>
      <c r="D399" s="83" t="str">
        <f aca="false">IFERROR(INDEX(c_Name,MATCH($C399,c_ID,0)),"غير معرّف")</f>
        <v>نورة الغامدي</v>
      </c>
      <c r="E399" s="83" t="str">
        <f aca="false">IFERROR(INDEX(c_Region,MATCH($C399,c_ID,0)),"غير معرّف")</f>
        <v>الوسطى</v>
      </c>
      <c r="F399" s="81" t="s">
        <v>174</v>
      </c>
      <c r="G399" s="83" t="str">
        <f aca="false">IFERROR(INDEX(p_Name,MATCH($F399,p_ID,0)),"غير معرّف")</f>
        <v>خزانة ملفات</v>
      </c>
      <c r="H399" s="83" t="str">
        <f aca="false">IFERROR(INDEX(p_Cat,MATCH($F399,p_ID,0)),"غير معرّف")</f>
        <v>أثاث</v>
      </c>
      <c r="I399" s="81" t="s">
        <v>443</v>
      </c>
      <c r="J399" s="81" t="s">
        <v>91</v>
      </c>
      <c r="K399" s="81" t="n">
        <v>1</v>
      </c>
      <c r="L399" s="84" t="n">
        <f aca="false">IFERROR(INDEX(p_Price,MATCH($F399,p_ID,0)),0)</f>
        <v>700</v>
      </c>
      <c r="M399" s="85" t="n">
        <v>0.2</v>
      </c>
      <c r="N399" s="81" t="s">
        <v>644</v>
      </c>
      <c r="O399" s="84" t="n">
        <f aca="false">IF($N399="مرتجع",0,K399*L399*(1-M399))</f>
        <v>560</v>
      </c>
      <c r="P399" s="84" t="n">
        <f aca="false">IF($N399="مرتجع",0,K399*IFERROR(INDEX(p_Cost,MATCH($F399,p_ID,0)),0))</f>
        <v>410</v>
      </c>
      <c r="Q399" s="84" t="n">
        <f aca="false">O399-P399</f>
        <v>150</v>
      </c>
      <c r="R399" s="86" t="n">
        <f aca="false">DATE(YEAR(B399),MONTH(B399),1)</f>
        <v>45992</v>
      </c>
      <c r="S399" s="83" t="str">
        <f aca="false">YEAR(B399)&amp;"-Q"&amp;ROUNDUP(MONTH(B399)/3,0)</f>
        <v>2025-Q4</v>
      </c>
      <c r="T399" s="87" t="n">
        <f aca="false">IF(O399&gt;0,Q399/O399,"")</f>
        <v>0.267857142857143</v>
      </c>
      <c r="U399" s="84" t="n">
        <f aca="false">IF(O399&gt;0,O399,"")</f>
        <v>560</v>
      </c>
    </row>
    <row r="400" customFormat="false" ht="15" hidden="false" customHeight="false" outlineLevel="0" collapsed="false">
      <c r="A400" s="81" t="s">
        <v>1043</v>
      </c>
      <c r="B400" s="82" t="n">
        <v>46014</v>
      </c>
      <c r="C400" s="81" t="s">
        <v>337</v>
      </c>
      <c r="D400" s="83" t="str">
        <f aca="false">IFERROR(INDEX(c_Name,MATCH($C400,c_ID,0)),"غير معرّف")</f>
        <v>ليلى السبيعي</v>
      </c>
      <c r="E400" s="83" t="str">
        <f aca="false">IFERROR(INDEX(c_Region,MATCH($C400,c_ID,0)),"غير معرّف")</f>
        <v>الجنوبية</v>
      </c>
      <c r="F400" s="81" t="s">
        <v>182</v>
      </c>
      <c r="G400" s="83" t="str">
        <f aca="false">IFERROR(INDEX(p_Name,MATCH($F400,p_ID,0)),"غير معرّف")</f>
        <v>طقم أوزان</v>
      </c>
      <c r="H400" s="83" t="str">
        <f aca="false">IFERROR(INDEX(p_Cat,MATCH($F400,p_ID,0)),"غير معرّف")</f>
        <v>رياضة</v>
      </c>
      <c r="I400" s="81" t="s">
        <v>465</v>
      </c>
      <c r="J400" s="81" t="s">
        <v>93</v>
      </c>
      <c r="K400" s="81" t="n">
        <v>1</v>
      </c>
      <c r="L400" s="84" t="n">
        <f aca="false">IFERROR(INDEX(p_Price,MATCH($F400,p_ID,0)),0)</f>
        <v>380</v>
      </c>
      <c r="M400" s="85" t="n">
        <v>0</v>
      </c>
      <c r="N400" s="81" t="s">
        <v>644</v>
      </c>
      <c r="O400" s="84" t="n">
        <f aca="false">IF($N400="مرتجع",0,K400*L400*(1-M400))</f>
        <v>380</v>
      </c>
      <c r="P400" s="84" t="n">
        <f aca="false">IF($N400="مرتجع",0,K400*IFERROR(INDEX(p_Cost,MATCH($F400,p_ID,0)),0))</f>
        <v>210</v>
      </c>
      <c r="Q400" s="84" t="n">
        <f aca="false">O400-P400</f>
        <v>170</v>
      </c>
      <c r="R400" s="86" t="n">
        <f aca="false">DATE(YEAR(B400),MONTH(B400),1)</f>
        <v>45992</v>
      </c>
      <c r="S400" s="83" t="str">
        <f aca="false">YEAR(B400)&amp;"-Q"&amp;ROUNDUP(MONTH(B400)/3,0)</f>
        <v>2025-Q4</v>
      </c>
      <c r="T400" s="87" t="n">
        <f aca="false">IF(O400&gt;0,Q400/O400,"")</f>
        <v>0.447368421052632</v>
      </c>
      <c r="U400" s="84" t="n">
        <f aca="false">IF(O400&gt;0,O400,"")</f>
        <v>380</v>
      </c>
    </row>
    <row r="401" customFormat="false" ht="15" hidden="false" customHeight="false" outlineLevel="0" collapsed="false">
      <c r="A401" s="81" t="s">
        <v>1044</v>
      </c>
      <c r="B401" s="82" t="n">
        <v>46014</v>
      </c>
      <c r="C401" s="81" t="s">
        <v>270</v>
      </c>
      <c r="D401" s="83" t="str">
        <f aca="false">IFERROR(INDEX(c_Name,MATCH($C401,c_ID,0)),"غير معرّف")</f>
        <v>ريم التميمي</v>
      </c>
      <c r="E401" s="83" t="str">
        <f aca="false">IFERROR(INDEX(c_Region,MATCH($C401,c_ID,0)),"غير معرّف")</f>
        <v>الشرقية</v>
      </c>
      <c r="F401" s="81" t="s">
        <v>184</v>
      </c>
      <c r="G401" s="83" t="str">
        <f aca="false">IFERROR(INDEX(p_Name,MATCH($F401,p_ID,0)),"غير معرّف")</f>
        <v>عطر فاخر</v>
      </c>
      <c r="H401" s="83" t="str">
        <f aca="false">IFERROR(INDEX(p_Cat,MATCH($F401,p_ID,0)),"غير معرّف")</f>
        <v>عناية شخصية</v>
      </c>
      <c r="I401" s="81" t="s">
        <v>463</v>
      </c>
      <c r="J401" s="81" t="s">
        <v>93</v>
      </c>
      <c r="K401" s="81" t="n">
        <v>2</v>
      </c>
      <c r="L401" s="84" t="n">
        <f aca="false">IFERROR(INDEX(p_Price,MATCH($F401,p_ID,0)),0)</f>
        <v>520</v>
      </c>
      <c r="M401" s="85" t="n">
        <v>0.1</v>
      </c>
      <c r="N401" s="81" t="s">
        <v>644</v>
      </c>
      <c r="O401" s="84" t="n">
        <f aca="false">IF($N401="مرتجع",0,K401*L401*(1-M401))</f>
        <v>936</v>
      </c>
      <c r="P401" s="84" t="n">
        <f aca="false">IF($N401="مرتجع",0,K401*IFERROR(INDEX(p_Cost,MATCH($F401,p_ID,0)),0))</f>
        <v>420</v>
      </c>
      <c r="Q401" s="84" t="n">
        <f aca="false">O401-P401</f>
        <v>516</v>
      </c>
      <c r="R401" s="86" t="n">
        <f aca="false">DATE(YEAR(B401),MONTH(B401),1)</f>
        <v>45992</v>
      </c>
      <c r="S401" s="83" t="str">
        <f aca="false">YEAR(B401)&amp;"-Q"&amp;ROUNDUP(MONTH(B401)/3,0)</f>
        <v>2025-Q4</v>
      </c>
      <c r="T401" s="87" t="n">
        <f aca="false">IF(O401&gt;0,Q401/O401,"")</f>
        <v>0.551282051282051</v>
      </c>
      <c r="U401" s="84" t="n">
        <f aca="false">IF(O401&gt;0,O401,"")</f>
        <v>936</v>
      </c>
    </row>
    <row r="402" customFormat="false" ht="15" hidden="false" customHeight="false" outlineLevel="0" collapsed="false">
      <c r="A402" s="81" t="s">
        <v>1045</v>
      </c>
      <c r="B402" s="82" t="n">
        <v>46014</v>
      </c>
      <c r="C402" s="81" t="s">
        <v>297</v>
      </c>
      <c r="D402" s="83" t="str">
        <f aca="false">IFERROR(INDEX(c_Name,MATCH($C402,c_ID,0)),"غير معرّف")</f>
        <v>ياسر الحسيني</v>
      </c>
      <c r="E402" s="83" t="str">
        <f aca="false">IFERROR(INDEX(c_Region,MATCH($C402,c_ID,0)),"غير معرّف")</f>
        <v>الشرقية</v>
      </c>
      <c r="F402" s="81" t="s">
        <v>182</v>
      </c>
      <c r="G402" s="83" t="str">
        <f aca="false">IFERROR(INDEX(p_Name,MATCH($F402,p_ID,0)),"غير معرّف")</f>
        <v>طقم أوزان</v>
      </c>
      <c r="H402" s="83" t="str">
        <f aca="false">IFERROR(INDEX(p_Cat,MATCH($F402,p_ID,0)),"غير معرّف")</f>
        <v>رياضة</v>
      </c>
      <c r="I402" s="81" t="s">
        <v>461</v>
      </c>
      <c r="J402" s="81" t="s">
        <v>91</v>
      </c>
      <c r="K402" s="81" t="n">
        <v>1</v>
      </c>
      <c r="L402" s="84" t="n">
        <f aca="false">IFERROR(INDEX(p_Price,MATCH($F402,p_ID,0)),0)</f>
        <v>380</v>
      </c>
      <c r="M402" s="85" t="n">
        <v>0.15</v>
      </c>
      <c r="N402" s="81" t="s">
        <v>644</v>
      </c>
      <c r="O402" s="84" t="n">
        <f aca="false">IF($N402="مرتجع",0,K402*L402*(1-M402))</f>
        <v>323</v>
      </c>
      <c r="P402" s="84" t="n">
        <f aca="false">IF($N402="مرتجع",0,K402*IFERROR(INDEX(p_Cost,MATCH($F402,p_ID,0)),0))</f>
        <v>210</v>
      </c>
      <c r="Q402" s="84" t="n">
        <f aca="false">O402-P402</f>
        <v>113</v>
      </c>
      <c r="R402" s="86" t="n">
        <f aca="false">DATE(YEAR(B402),MONTH(B402),1)</f>
        <v>45992</v>
      </c>
      <c r="S402" s="83" t="str">
        <f aca="false">YEAR(B402)&amp;"-Q"&amp;ROUNDUP(MONTH(B402)/3,0)</f>
        <v>2025-Q4</v>
      </c>
      <c r="T402" s="87" t="n">
        <f aca="false">IF(O402&gt;0,Q402/O402,"")</f>
        <v>0.34984520123839</v>
      </c>
      <c r="U402" s="84" t="n">
        <f aca="false">IF(O402&gt;0,O402,"")</f>
        <v>323</v>
      </c>
    </row>
    <row r="403" customFormat="false" ht="15" hidden="false" customHeight="false" outlineLevel="0" collapsed="false">
      <c r="A403" s="81" t="s">
        <v>1046</v>
      </c>
      <c r="B403" s="82" t="n">
        <v>46014</v>
      </c>
      <c r="C403" s="81" t="s">
        <v>429</v>
      </c>
      <c r="D403" s="83" t="str">
        <f aca="false">IFERROR(INDEX(c_Name,MATCH($C403,c_ID,0)),"غير معرّف")</f>
        <v>سعد الحربي</v>
      </c>
      <c r="E403" s="83" t="str">
        <f aca="false">IFERROR(INDEX(c_Region,MATCH($C403,c_ID,0)),"غير معرّف")</f>
        <v>الغربية</v>
      </c>
      <c r="F403" s="81" t="s">
        <v>175</v>
      </c>
      <c r="G403" s="83" t="str">
        <f aca="false">IFERROR(INDEX(p_Name,MATCH($F403,p_ID,0)),"غير معرّف")</f>
        <v>رف كتب</v>
      </c>
      <c r="H403" s="83" t="str">
        <f aca="false">IFERROR(INDEX(p_Cat,MATCH($F403,p_ID,0)),"غير معرّف")</f>
        <v>أثاث</v>
      </c>
      <c r="I403" s="81" t="s">
        <v>455</v>
      </c>
      <c r="J403" s="81" t="s">
        <v>91</v>
      </c>
      <c r="K403" s="81" t="n">
        <v>2</v>
      </c>
      <c r="L403" s="84" t="n">
        <f aca="false">IFERROR(INDEX(p_Price,MATCH($F403,p_ID,0)),0)</f>
        <v>400</v>
      </c>
      <c r="M403" s="85" t="n">
        <v>0</v>
      </c>
      <c r="N403" s="81" t="s">
        <v>644</v>
      </c>
      <c r="O403" s="84" t="n">
        <f aca="false">IF($N403="مرتجع",0,K403*L403*(1-M403))</f>
        <v>800</v>
      </c>
      <c r="P403" s="84" t="n">
        <f aca="false">IF($N403="مرتجع",0,K403*IFERROR(INDEX(p_Cost,MATCH($F403,p_ID,0)),0))</f>
        <v>440</v>
      </c>
      <c r="Q403" s="84" t="n">
        <f aca="false">O403-P403</f>
        <v>360</v>
      </c>
      <c r="R403" s="86" t="n">
        <f aca="false">DATE(YEAR(B403),MONTH(B403),1)</f>
        <v>45992</v>
      </c>
      <c r="S403" s="83" t="str">
        <f aca="false">YEAR(B403)&amp;"-Q"&amp;ROUNDUP(MONTH(B403)/3,0)</f>
        <v>2025-Q4</v>
      </c>
      <c r="T403" s="87" t="n">
        <f aca="false">IF(O403&gt;0,Q403/O403,"")</f>
        <v>0.45</v>
      </c>
      <c r="U403" s="84" t="n">
        <f aca="false">IF(O403&gt;0,O403,"")</f>
        <v>800</v>
      </c>
    </row>
    <row r="404" customFormat="false" ht="15" hidden="false" customHeight="false" outlineLevel="0" collapsed="false">
      <c r="A404" s="81" t="s">
        <v>1047</v>
      </c>
      <c r="B404" s="82" t="n">
        <v>46014</v>
      </c>
      <c r="C404" s="81" t="s">
        <v>420</v>
      </c>
      <c r="D404" s="83" t="str">
        <f aca="false">IFERROR(INDEX(c_Name,MATCH($C404,c_ID,0)),"غير معرّف")</f>
        <v>عبدالله الدوسري</v>
      </c>
      <c r="E404" s="83" t="str">
        <f aca="false">IFERROR(INDEX(c_Region,MATCH($C404,c_ID,0)),"غير معرّف")</f>
        <v>الجنوبية</v>
      </c>
      <c r="F404" s="81" t="s">
        <v>166</v>
      </c>
      <c r="G404" s="83" t="str">
        <f aca="false">IFERROR(INDEX(p_Name,MATCH($F404,p_ID,0)),"غير معرّف")</f>
        <v>سماعات لاسلكية</v>
      </c>
      <c r="H404" s="83" t="str">
        <f aca="false">IFERROR(INDEX(p_Cat,MATCH($F404,p_ID,0)),"غير معرّف")</f>
        <v>إلكترونيات</v>
      </c>
      <c r="I404" s="81" t="s">
        <v>467</v>
      </c>
      <c r="J404" s="81" t="s">
        <v>93</v>
      </c>
      <c r="K404" s="81" t="n">
        <v>1</v>
      </c>
      <c r="L404" s="84" t="n">
        <f aca="false">IFERROR(INDEX(p_Price,MATCH($F404,p_ID,0)),0)</f>
        <v>450</v>
      </c>
      <c r="M404" s="85" t="n">
        <v>0.05</v>
      </c>
      <c r="N404" s="81" t="s">
        <v>644</v>
      </c>
      <c r="O404" s="84" t="n">
        <f aca="false">IF($N404="مرتجع",0,K404*L404*(1-M404))</f>
        <v>427.5</v>
      </c>
      <c r="P404" s="84" t="n">
        <f aca="false">IF($N404="مرتجع",0,K404*IFERROR(INDEX(p_Cost,MATCH($F404,p_ID,0)),0))</f>
        <v>260</v>
      </c>
      <c r="Q404" s="84" t="n">
        <f aca="false">O404-P404</f>
        <v>167.5</v>
      </c>
      <c r="R404" s="86" t="n">
        <f aca="false">DATE(YEAR(B404),MONTH(B404),1)</f>
        <v>45992</v>
      </c>
      <c r="S404" s="83" t="str">
        <f aca="false">YEAR(B404)&amp;"-Q"&amp;ROUNDUP(MONTH(B404)/3,0)</f>
        <v>2025-Q4</v>
      </c>
      <c r="T404" s="87" t="n">
        <f aca="false">IF(O404&gt;0,Q404/O404,"")</f>
        <v>0.391812865497076</v>
      </c>
      <c r="U404" s="84" t="n">
        <f aca="false">IF(O404&gt;0,O404,"")</f>
        <v>427.5</v>
      </c>
    </row>
    <row r="405" customFormat="false" ht="15" hidden="false" customHeight="false" outlineLevel="0" collapsed="false">
      <c r="A405" s="81" t="s">
        <v>1048</v>
      </c>
      <c r="B405" s="82" t="n">
        <v>46015</v>
      </c>
      <c r="C405" s="81" t="s">
        <v>368</v>
      </c>
      <c r="D405" s="83" t="str">
        <f aca="false">IFERROR(INDEX(c_Name,MATCH($C405,c_ID,0)),"غير معرّف")</f>
        <v>خالد الحربي</v>
      </c>
      <c r="E405" s="83" t="str">
        <f aca="false">IFERROR(INDEX(c_Region,MATCH($C405,c_ID,0)),"غير معرّف")</f>
        <v>الغربية</v>
      </c>
      <c r="F405" s="81" t="s">
        <v>181</v>
      </c>
      <c r="G405" s="83" t="str">
        <f aca="false">IFERROR(INDEX(p_Name,MATCH($F405,p_ID,0)),"غير معرّف")</f>
        <v>دراجة ثابتة</v>
      </c>
      <c r="H405" s="83" t="str">
        <f aca="false">IFERROR(INDEX(p_Cat,MATCH($F405,p_ID,0)),"غير معرّف")</f>
        <v>رياضة</v>
      </c>
      <c r="I405" s="81" t="s">
        <v>452</v>
      </c>
      <c r="J405" s="81" t="s">
        <v>91</v>
      </c>
      <c r="K405" s="81" t="n">
        <v>1</v>
      </c>
      <c r="L405" s="84" t="n">
        <f aca="false">IFERROR(INDEX(p_Price,MATCH($F405,p_ID,0)),0)</f>
        <v>1800</v>
      </c>
      <c r="M405" s="85" t="n">
        <v>0</v>
      </c>
      <c r="N405" s="81" t="s">
        <v>644</v>
      </c>
      <c r="O405" s="84" t="n">
        <f aca="false">IF($N405="مرتجع",0,K405*L405*(1-M405))</f>
        <v>1800</v>
      </c>
      <c r="P405" s="84" t="n">
        <f aca="false">IF($N405="مرتجع",0,K405*IFERROR(INDEX(p_Cost,MATCH($F405,p_ID,0)),0))</f>
        <v>1200</v>
      </c>
      <c r="Q405" s="84" t="n">
        <f aca="false">O405-P405</f>
        <v>600</v>
      </c>
      <c r="R405" s="86" t="n">
        <f aca="false">DATE(YEAR(B405),MONTH(B405),1)</f>
        <v>45992</v>
      </c>
      <c r="S405" s="83" t="str">
        <f aca="false">YEAR(B405)&amp;"-Q"&amp;ROUNDUP(MONTH(B405)/3,0)</f>
        <v>2025-Q4</v>
      </c>
      <c r="T405" s="87" t="n">
        <f aca="false">IF(O405&gt;0,Q405/O405,"")</f>
        <v>0.333333333333333</v>
      </c>
      <c r="U405" s="84" t="n">
        <f aca="false">IF(O405&gt;0,O405,"")</f>
        <v>1800</v>
      </c>
    </row>
    <row r="406" customFormat="false" ht="15" hidden="false" customHeight="false" outlineLevel="0" collapsed="false">
      <c r="A406" s="81" t="s">
        <v>1049</v>
      </c>
      <c r="B406" s="82" t="n">
        <v>46015</v>
      </c>
      <c r="C406" s="81" t="s">
        <v>300</v>
      </c>
      <c r="D406" s="83" t="str">
        <f aca="false">IFERROR(INDEX(c_Name,MATCH($C406,c_ID,0)),"غير معرّف")</f>
        <v>فهد التميمي</v>
      </c>
      <c r="E406" s="83" t="str">
        <f aca="false">IFERROR(INDEX(c_Region,MATCH($C406,c_ID,0)),"غير معرّف")</f>
        <v>الوسطى</v>
      </c>
      <c r="F406" s="81" t="s">
        <v>186</v>
      </c>
      <c r="G406" s="83" t="str">
        <f aca="false">IFERROR(INDEX(p_Name,MATCH($F406,p_ID,0)),"غير معرّف")</f>
        <v>مجفف شعر</v>
      </c>
      <c r="H406" s="83" t="str">
        <f aca="false">IFERROR(INDEX(p_Cat,MATCH($F406,p_ID,0)),"غير معرّف")</f>
        <v>عناية شخصية</v>
      </c>
      <c r="I406" s="81" t="s">
        <v>443</v>
      </c>
      <c r="J406" s="81" t="s">
        <v>91</v>
      </c>
      <c r="K406" s="81" t="n">
        <v>2</v>
      </c>
      <c r="L406" s="84" t="n">
        <f aca="false">IFERROR(INDEX(p_Price,MATCH($F406,p_ID,0)),0)</f>
        <v>280</v>
      </c>
      <c r="M406" s="85" t="n">
        <v>0.15</v>
      </c>
      <c r="N406" s="81" t="s">
        <v>644</v>
      </c>
      <c r="O406" s="84" t="n">
        <f aca="false">IF($N406="مرتجع",0,K406*L406*(1-M406))</f>
        <v>476</v>
      </c>
      <c r="P406" s="84" t="n">
        <f aca="false">IF($N406="مرتجع",0,K406*IFERROR(INDEX(p_Cost,MATCH($F406,p_ID,0)),0))</f>
        <v>280</v>
      </c>
      <c r="Q406" s="84" t="n">
        <f aca="false">O406-P406</f>
        <v>196</v>
      </c>
      <c r="R406" s="86" t="n">
        <f aca="false">DATE(YEAR(B406),MONTH(B406),1)</f>
        <v>45992</v>
      </c>
      <c r="S406" s="83" t="str">
        <f aca="false">YEAR(B406)&amp;"-Q"&amp;ROUNDUP(MONTH(B406)/3,0)</f>
        <v>2025-Q4</v>
      </c>
      <c r="T406" s="87" t="n">
        <f aca="false">IF(O406&gt;0,Q406/O406,"")</f>
        <v>0.411764705882353</v>
      </c>
      <c r="U406" s="84" t="n">
        <f aca="false">IF(O406&gt;0,O406,"")</f>
        <v>476</v>
      </c>
    </row>
    <row r="407" customFormat="false" ht="15" hidden="false" customHeight="false" outlineLevel="0" collapsed="false">
      <c r="A407" s="81" t="s">
        <v>1050</v>
      </c>
      <c r="B407" s="82" t="n">
        <v>46015</v>
      </c>
      <c r="C407" s="81" t="s">
        <v>268</v>
      </c>
      <c r="D407" s="83" t="str">
        <f aca="false">IFERROR(INDEX(c_Name,MATCH($C407,c_ID,0)),"غير معرّف")</f>
        <v>جود التميمي</v>
      </c>
      <c r="E407" s="83" t="str">
        <f aca="false">IFERROR(INDEX(c_Region,MATCH($C407,c_ID,0)),"غير معرّف")</f>
        <v>الغربية</v>
      </c>
      <c r="F407" s="81" t="s">
        <v>182</v>
      </c>
      <c r="G407" s="83" t="str">
        <f aca="false">IFERROR(INDEX(p_Name,MATCH($F407,p_ID,0)),"غير معرّف")</f>
        <v>طقم أوزان</v>
      </c>
      <c r="H407" s="83" t="str">
        <f aca="false">IFERROR(INDEX(p_Cat,MATCH($F407,p_ID,0)),"غير معرّف")</f>
        <v>رياضة</v>
      </c>
      <c r="I407" s="81" t="s">
        <v>452</v>
      </c>
      <c r="J407" s="81" t="s">
        <v>93</v>
      </c>
      <c r="K407" s="81" t="n">
        <v>1</v>
      </c>
      <c r="L407" s="84" t="n">
        <f aca="false">IFERROR(INDEX(p_Price,MATCH($F407,p_ID,0)),0)</f>
        <v>380</v>
      </c>
      <c r="M407" s="85" t="n">
        <v>0</v>
      </c>
      <c r="N407" s="81" t="s">
        <v>644</v>
      </c>
      <c r="O407" s="84" t="n">
        <f aca="false">IF($N407="مرتجع",0,K407*L407*(1-M407))</f>
        <v>380</v>
      </c>
      <c r="P407" s="84" t="n">
        <f aca="false">IF($N407="مرتجع",0,K407*IFERROR(INDEX(p_Cost,MATCH($F407,p_ID,0)),0))</f>
        <v>210</v>
      </c>
      <c r="Q407" s="84" t="n">
        <f aca="false">O407-P407</f>
        <v>170</v>
      </c>
      <c r="R407" s="86" t="n">
        <f aca="false">DATE(YEAR(B407),MONTH(B407),1)</f>
        <v>45992</v>
      </c>
      <c r="S407" s="83" t="str">
        <f aca="false">YEAR(B407)&amp;"-Q"&amp;ROUNDUP(MONTH(B407)/3,0)</f>
        <v>2025-Q4</v>
      </c>
      <c r="T407" s="87" t="n">
        <f aca="false">IF(O407&gt;0,Q407/O407,"")</f>
        <v>0.447368421052632</v>
      </c>
      <c r="U407" s="84" t="n">
        <f aca="false">IF(O407&gt;0,O407,"")</f>
        <v>380</v>
      </c>
    </row>
    <row r="408" customFormat="false" ht="15" hidden="false" customHeight="false" outlineLevel="0" collapsed="false">
      <c r="A408" s="81" t="s">
        <v>1051</v>
      </c>
      <c r="B408" s="82" t="n">
        <v>46015</v>
      </c>
      <c r="C408" s="81" t="s">
        <v>391</v>
      </c>
      <c r="D408" s="83" t="str">
        <f aca="false">IFERROR(INDEX(c_Name,MATCH($C408,c_ID,0)),"غير معرّف")</f>
        <v>أحمد المطيري</v>
      </c>
      <c r="E408" s="83" t="str">
        <f aca="false">IFERROR(INDEX(c_Region,MATCH($C408,c_ID,0)),"غير معرّف")</f>
        <v>الوسطى</v>
      </c>
      <c r="F408" s="81" t="s">
        <v>168</v>
      </c>
      <c r="G408" s="83" t="str">
        <f aca="false">IFERROR(INDEX(p_Name,MATCH($F408,p_ID,0)),"غير معرّف")</f>
        <v>مكنسة كهربائية</v>
      </c>
      <c r="H408" s="83" t="str">
        <f aca="false">IFERROR(INDEX(p_Cat,MATCH($F408,p_ID,0)),"غير معرّف")</f>
        <v>أجهزة منزلية</v>
      </c>
      <c r="I408" s="81" t="s">
        <v>449</v>
      </c>
      <c r="J408" s="81" t="s">
        <v>93</v>
      </c>
      <c r="K408" s="81" t="n">
        <v>1</v>
      </c>
      <c r="L408" s="84" t="n">
        <f aca="false">IFERROR(INDEX(p_Price,MATCH($F408,p_ID,0)),0)</f>
        <v>650</v>
      </c>
      <c r="M408" s="85" t="n">
        <v>0.15</v>
      </c>
      <c r="N408" s="81" t="s">
        <v>644</v>
      </c>
      <c r="O408" s="84" t="n">
        <f aca="false">IF($N408="مرتجع",0,K408*L408*(1-M408))</f>
        <v>552.5</v>
      </c>
      <c r="P408" s="84" t="n">
        <f aca="false">IF($N408="مرتجع",0,K408*IFERROR(INDEX(p_Cost,MATCH($F408,p_ID,0)),0))</f>
        <v>420</v>
      </c>
      <c r="Q408" s="84" t="n">
        <f aca="false">O408-P408</f>
        <v>132.5</v>
      </c>
      <c r="R408" s="86" t="n">
        <f aca="false">DATE(YEAR(B408),MONTH(B408),1)</f>
        <v>45992</v>
      </c>
      <c r="S408" s="83" t="str">
        <f aca="false">YEAR(B408)&amp;"-Q"&amp;ROUNDUP(MONTH(B408)/3,0)</f>
        <v>2025-Q4</v>
      </c>
      <c r="T408" s="87" t="n">
        <f aca="false">IF(O408&gt;0,Q408/O408,"")</f>
        <v>0.239819004524887</v>
      </c>
      <c r="U408" s="84" t="n">
        <f aca="false">IF(O408&gt;0,O408,"")</f>
        <v>552.5</v>
      </c>
    </row>
    <row r="409" customFormat="false" ht="15" hidden="false" customHeight="false" outlineLevel="0" collapsed="false">
      <c r="A409" s="81" t="s">
        <v>1052</v>
      </c>
      <c r="B409" s="82" t="n">
        <v>46016</v>
      </c>
      <c r="C409" s="81" t="s">
        <v>350</v>
      </c>
      <c r="D409" s="83" t="str">
        <f aca="false">IFERROR(INDEX(c_Name,MATCH($C409,c_ID,0)),"غير معرّف")</f>
        <v>نورة التميمي</v>
      </c>
      <c r="E409" s="83" t="str">
        <f aca="false">IFERROR(INDEX(c_Region,MATCH($C409,c_ID,0)),"غير معرّف")</f>
        <v>الغربية</v>
      </c>
      <c r="F409" s="81" t="s">
        <v>167</v>
      </c>
      <c r="G409" s="83" t="str">
        <f aca="false">IFERROR(INDEX(p_Name,MATCH($F409,p_ID,0)),"غير معرّف")</f>
        <v>شاشة 27 بوصة</v>
      </c>
      <c r="H409" s="83" t="str">
        <f aca="false">IFERROR(INDEX(p_Cat,MATCH($F409,p_ID,0)),"غير معرّف")</f>
        <v>إلكترونيات</v>
      </c>
      <c r="I409" s="81" t="s">
        <v>458</v>
      </c>
      <c r="J409" s="81" t="s">
        <v>95</v>
      </c>
      <c r="K409" s="81" t="n">
        <v>1</v>
      </c>
      <c r="L409" s="84" t="n">
        <f aca="false">IFERROR(INDEX(p_Price,MATCH($F409,p_ID,0)),0)</f>
        <v>1100</v>
      </c>
      <c r="M409" s="85" t="n">
        <v>0.2</v>
      </c>
      <c r="N409" s="81" t="s">
        <v>644</v>
      </c>
      <c r="O409" s="84" t="n">
        <f aca="false">IF($N409="مرتجع",0,K409*L409*(1-M409))</f>
        <v>880</v>
      </c>
      <c r="P409" s="84" t="n">
        <f aca="false">IF($N409="مرتجع",0,K409*IFERROR(INDEX(p_Cost,MATCH($F409,p_ID,0)),0))</f>
        <v>780</v>
      </c>
      <c r="Q409" s="84" t="n">
        <f aca="false">O409-P409</f>
        <v>100</v>
      </c>
      <c r="R409" s="86" t="n">
        <f aca="false">DATE(YEAR(B409),MONTH(B409),1)</f>
        <v>45992</v>
      </c>
      <c r="S409" s="83" t="str">
        <f aca="false">YEAR(B409)&amp;"-Q"&amp;ROUNDUP(MONTH(B409)/3,0)</f>
        <v>2025-Q4</v>
      </c>
      <c r="T409" s="87" t="n">
        <f aca="false">IF(O409&gt;0,Q409/O409,"")</f>
        <v>0.113636363636364</v>
      </c>
      <c r="U409" s="84" t="n">
        <f aca="false">IF(O409&gt;0,O409,"")</f>
        <v>880</v>
      </c>
    </row>
    <row r="410" customFormat="false" ht="15" hidden="false" customHeight="false" outlineLevel="0" collapsed="false">
      <c r="A410" s="81" t="s">
        <v>1053</v>
      </c>
      <c r="B410" s="82" t="n">
        <v>46016</v>
      </c>
      <c r="C410" s="81" t="s">
        <v>363</v>
      </c>
      <c r="D410" s="83" t="str">
        <f aca="false">IFERROR(INDEX(c_Name,MATCH($C410,c_ID,0)),"غير معرّف")</f>
        <v>سلمان البلوي</v>
      </c>
      <c r="E410" s="83" t="str">
        <f aca="false">IFERROR(INDEX(c_Region,MATCH($C410,c_ID,0)),"غير معرّف")</f>
        <v>الوسطى</v>
      </c>
      <c r="F410" s="81" t="s">
        <v>169</v>
      </c>
      <c r="G410" s="83" t="str">
        <f aca="false">IFERROR(INDEX(p_Name,MATCH($F410,p_ID,0)),"غير معرّف")</f>
        <v>خلاط</v>
      </c>
      <c r="H410" s="83" t="str">
        <f aca="false">IFERROR(INDEX(p_Cat,MATCH($F410,p_ID,0)),"غير معرّف")</f>
        <v>أجهزة منزلية</v>
      </c>
      <c r="I410" s="81" t="s">
        <v>449</v>
      </c>
      <c r="J410" s="81" t="s">
        <v>93</v>
      </c>
      <c r="K410" s="81" t="n">
        <v>3</v>
      </c>
      <c r="L410" s="84" t="n">
        <f aca="false">IFERROR(INDEX(p_Price,MATCH($F410,p_ID,0)),0)</f>
        <v>300</v>
      </c>
      <c r="M410" s="85" t="n">
        <v>0.1</v>
      </c>
      <c r="N410" s="81" t="s">
        <v>644</v>
      </c>
      <c r="O410" s="84" t="n">
        <f aca="false">IF($N410="مرتجع",0,K410*L410*(1-M410))</f>
        <v>810</v>
      </c>
      <c r="P410" s="84" t="n">
        <f aca="false">IF($N410="مرتجع",0,K410*IFERROR(INDEX(p_Cost,MATCH($F410,p_ID,0)),0))</f>
        <v>525</v>
      </c>
      <c r="Q410" s="84" t="n">
        <f aca="false">O410-P410</f>
        <v>285</v>
      </c>
      <c r="R410" s="86" t="n">
        <f aca="false">DATE(YEAR(B410),MONTH(B410),1)</f>
        <v>45992</v>
      </c>
      <c r="S410" s="83" t="str">
        <f aca="false">YEAR(B410)&amp;"-Q"&amp;ROUNDUP(MONTH(B410)/3,0)</f>
        <v>2025-Q4</v>
      </c>
      <c r="T410" s="87" t="n">
        <f aca="false">IF(O410&gt;0,Q410/O410,"")</f>
        <v>0.351851851851852</v>
      </c>
      <c r="U410" s="84" t="n">
        <f aca="false">IF(O410&gt;0,O410,"")</f>
        <v>810</v>
      </c>
    </row>
    <row r="411" customFormat="false" ht="15" hidden="false" customHeight="false" outlineLevel="0" collapsed="false">
      <c r="A411" s="81" t="s">
        <v>1054</v>
      </c>
      <c r="B411" s="82" t="n">
        <v>46017</v>
      </c>
      <c r="C411" s="81" t="s">
        <v>274</v>
      </c>
      <c r="D411" s="83" t="str">
        <f aca="false">IFERROR(INDEX(c_Name,MATCH($C411,c_ID,0)),"غير معرّف")</f>
        <v>سلمان الغامدي</v>
      </c>
      <c r="E411" s="83" t="str">
        <f aca="false">IFERROR(INDEX(c_Region,MATCH($C411,c_ID,0)),"غير معرّف")</f>
        <v>الوسطى</v>
      </c>
      <c r="F411" s="81" t="s">
        <v>174</v>
      </c>
      <c r="G411" s="83" t="str">
        <f aca="false">IFERROR(INDEX(p_Name,MATCH($F411,p_ID,0)),"غير معرّف")</f>
        <v>خزانة ملفات</v>
      </c>
      <c r="H411" s="83" t="str">
        <f aca="false">IFERROR(INDEX(p_Cat,MATCH($F411,p_ID,0)),"غير معرّف")</f>
        <v>أثاث</v>
      </c>
      <c r="I411" s="81" t="s">
        <v>443</v>
      </c>
      <c r="J411" s="81" t="s">
        <v>93</v>
      </c>
      <c r="K411" s="81" t="n">
        <v>3</v>
      </c>
      <c r="L411" s="84" t="n">
        <f aca="false">IFERROR(INDEX(p_Price,MATCH($F411,p_ID,0)),0)</f>
        <v>700</v>
      </c>
      <c r="M411" s="85" t="n">
        <v>0</v>
      </c>
      <c r="N411" s="81" t="s">
        <v>644</v>
      </c>
      <c r="O411" s="84" t="n">
        <f aca="false">IF($N411="مرتجع",0,K411*L411*(1-M411))</f>
        <v>2100</v>
      </c>
      <c r="P411" s="84" t="n">
        <f aca="false">IF($N411="مرتجع",0,K411*IFERROR(INDEX(p_Cost,MATCH($F411,p_ID,0)),0))</f>
        <v>1230</v>
      </c>
      <c r="Q411" s="84" t="n">
        <f aca="false">O411-P411</f>
        <v>870</v>
      </c>
      <c r="R411" s="86" t="n">
        <f aca="false">DATE(YEAR(B411),MONTH(B411),1)</f>
        <v>45992</v>
      </c>
      <c r="S411" s="83" t="str">
        <f aca="false">YEAR(B411)&amp;"-Q"&amp;ROUNDUP(MONTH(B411)/3,0)</f>
        <v>2025-Q4</v>
      </c>
      <c r="T411" s="87" t="n">
        <f aca="false">IF(O411&gt;0,Q411/O411,"")</f>
        <v>0.414285714285714</v>
      </c>
      <c r="U411" s="84" t="n">
        <f aca="false">IF(O411&gt;0,O411,"")</f>
        <v>2100</v>
      </c>
    </row>
    <row r="412" customFormat="false" ht="15" hidden="false" customHeight="false" outlineLevel="0" collapsed="false">
      <c r="A412" s="81" t="s">
        <v>1055</v>
      </c>
      <c r="B412" s="82" t="n">
        <v>46017</v>
      </c>
      <c r="C412" s="81" t="s">
        <v>266</v>
      </c>
      <c r="D412" s="83" t="str">
        <f aca="false">IFERROR(INDEX(c_Name,MATCH($C412,c_ID,0)),"غير معرّف")</f>
        <v>ياسر الشهري</v>
      </c>
      <c r="E412" s="83" t="str">
        <f aca="false">IFERROR(INDEX(c_Region,MATCH($C412,c_ID,0)),"غير معرّف")</f>
        <v>الوسطى</v>
      </c>
      <c r="F412" s="81" t="s">
        <v>181</v>
      </c>
      <c r="G412" s="83" t="str">
        <f aca="false">IFERROR(INDEX(p_Name,MATCH($F412,p_ID,0)),"غير معرّف")</f>
        <v>دراجة ثابتة</v>
      </c>
      <c r="H412" s="83" t="str">
        <f aca="false">IFERROR(INDEX(p_Cat,MATCH($F412,p_ID,0)),"غير معرّف")</f>
        <v>رياضة</v>
      </c>
      <c r="I412" s="81" t="s">
        <v>446</v>
      </c>
      <c r="J412" s="81" t="s">
        <v>93</v>
      </c>
      <c r="K412" s="81" t="n">
        <v>1</v>
      </c>
      <c r="L412" s="84" t="n">
        <f aca="false">IFERROR(INDEX(p_Price,MATCH($F412,p_ID,0)),0)</f>
        <v>1800</v>
      </c>
      <c r="M412" s="85" t="n">
        <v>0</v>
      </c>
      <c r="N412" s="81" t="s">
        <v>644</v>
      </c>
      <c r="O412" s="84" t="n">
        <f aca="false">IF($N412="مرتجع",0,K412*L412*(1-M412))</f>
        <v>1800</v>
      </c>
      <c r="P412" s="84" t="n">
        <f aca="false">IF($N412="مرتجع",0,K412*IFERROR(INDEX(p_Cost,MATCH($F412,p_ID,0)),0))</f>
        <v>1200</v>
      </c>
      <c r="Q412" s="84" t="n">
        <f aca="false">O412-P412</f>
        <v>600</v>
      </c>
      <c r="R412" s="86" t="n">
        <f aca="false">DATE(YEAR(B412),MONTH(B412),1)</f>
        <v>45992</v>
      </c>
      <c r="S412" s="83" t="str">
        <f aca="false">YEAR(B412)&amp;"-Q"&amp;ROUNDUP(MONTH(B412)/3,0)</f>
        <v>2025-Q4</v>
      </c>
      <c r="T412" s="87" t="n">
        <f aca="false">IF(O412&gt;0,Q412/O412,"")</f>
        <v>0.333333333333333</v>
      </c>
      <c r="U412" s="84" t="n">
        <f aca="false">IF(O412&gt;0,O412,"")</f>
        <v>1800</v>
      </c>
    </row>
    <row r="413" customFormat="false" ht="15" hidden="false" customHeight="false" outlineLevel="0" collapsed="false">
      <c r="A413" s="81" t="s">
        <v>1056</v>
      </c>
      <c r="B413" s="82" t="n">
        <v>46017</v>
      </c>
      <c r="C413" s="81" t="s">
        <v>384</v>
      </c>
      <c r="D413" s="83" t="str">
        <f aca="false">IFERROR(INDEX(c_Name,MATCH($C413,c_ID,0)),"غير معرّف")</f>
        <v>سلمان الشهري</v>
      </c>
      <c r="E413" s="83" t="str">
        <f aca="false">IFERROR(INDEX(c_Region,MATCH($C413,c_ID,0)),"غير معرّف")</f>
        <v>الجنوبية</v>
      </c>
      <c r="F413" s="81" t="s">
        <v>175</v>
      </c>
      <c r="G413" s="83" t="str">
        <f aca="false">IFERROR(INDEX(p_Name,MATCH($F413,p_ID,0)),"غير معرّف")</f>
        <v>رف كتب</v>
      </c>
      <c r="H413" s="83" t="str">
        <f aca="false">IFERROR(INDEX(p_Cat,MATCH($F413,p_ID,0)),"غير معرّف")</f>
        <v>أثاث</v>
      </c>
      <c r="I413" s="81" t="s">
        <v>467</v>
      </c>
      <c r="J413" s="81" t="s">
        <v>93</v>
      </c>
      <c r="K413" s="81" t="n">
        <v>6</v>
      </c>
      <c r="L413" s="84" t="n">
        <f aca="false">IFERROR(INDEX(p_Price,MATCH($F413,p_ID,0)),0)</f>
        <v>400</v>
      </c>
      <c r="M413" s="85" t="n">
        <v>0</v>
      </c>
      <c r="N413" s="81" t="s">
        <v>644</v>
      </c>
      <c r="O413" s="84" t="n">
        <f aca="false">IF($N413="مرتجع",0,K413*L413*(1-M413))</f>
        <v>2400</v>
      </c>
      <c r="P413" s="84" t="n">
        <f aca="false">IF($N413="مرتجع",0,K413*IFERROR(INDEX(p_Cost,MATCH($F413,p_ID,0)),0))</f>
        <v>1320</v>
      </c>
      <c r="Q413" s="84" t="n">
        <f aca="false">O413-P413</f>
        <v>1080</v>
      </c>
      <c r="R413" s="86" t="n">
        <f aca="false">DATE(YEAR(B413),MONTH(B413),1)</f>
        <v>45992</v>
      </c>
      <c r="S413" s="83" t="str">
        <f aca="false">YEAR(B413)&amp;"-Q"&amp;ROUNDUP(MONTH(B413)/3,0)</f>
        <v>2025-Q4</v>
      </c>
      <c r="T413" s="87" t="n">
        <f aca="false">IF(O413&gt;0,Q413/O413,"")</f>
        <v>0.45</v>
      </c>
      <c r="U413" s="84" t="n">
        <f aca="false">IF(O413&gt;0,O413,"")</f>
        <v>2400</v>
      </c>
    </row>
    <row r="414" customFormat="false" ht="15" hidden="false" customHeight="false" outlineLevel="0" collapsed="false">
      <c r="A414" s="81" t="s">
        <v>1057</v>
      </c>
      <c r="B414" s="82" t="n">
        <v>46017</v>
      </c>
      <c r="C414" s="81" t="s">
        <v>403</v>
      </c>
      <c r="D414" s="83" t="str">
        <f aca="false">IFERROR(INDEX(c_Name,MATCH($C414,c_ID,0)),"غير معرّف")</f>
        <v>ياسر المطيري</v>
      </c>
      <c r="E414" s="83" t="str">
        <f aca="false">IFERROR(INDEX(c_Region,MATCH($C414,c_ID,0)),"غير معرّف")</f>
        <v>الجنوبية</v>
      </c>
      <c r="F414" s="81" t="s">
        <v>176</v>
      </c>
      <c r="G414" s="83" t="str">
        <f aca="false">IFERROR(INDEX(p_Name,MATCH($F414,p_ID,0)),"غير معرّف")</f>
        <v>طابعة ليزر</v>
      </c>
      <c r="H414" s="83" t="str">
        <f aca="false">IFERROR(INDEX(p_Cat,MATCH($F414,p_ID,0)),"غير معرّف")</f>
        <v>مستلزمات مكتبية</v>
      </c>
      <c r="I414" s="81" t="s">
        <v>467</v>
      </c>
      <c r="J414" s="81" t="s">
        <v>91</v>
      </c>
      <c r="K414" s="81" t="n">
        <v>3</v>
      </c>
      <c r="L414" s="84" t="n">
        <f aca="false">IFERROR(INDEX(p_Price,MATCH($F414,p_ID,0)),0)</f>
        <v>1300</v>
      </c>
      <c r="M414" s="85" t="n">
        <v>0.05</v>
      </c>
      <c r="N414" s="81" t="s">
        <v>644</v>
      </c>
      <c r="O414" s="84" t="n">
        <f aca="false">IF($N414="مرتجع",0,K414*L414*(1-M414))</f>
        <v>3705</v>
      </c>
      <c r="P414" s="84" t="n">
        <f aca="false">IF($N414="مرتجع",0,K414*IFERROR(INDEX(p_Cost,MATCH($F414,p_ID,0)),0))</f>
        <v>2850</v>
      </c>
      <c r="Q414" s="84" t="n">
        <f aca="false">O414-P414</f>
        <v>855</v>
      </c>
      <c r="R414" s="86" t="n">
        <f aca="false">DATE(YEAR(B414),MONTH(B414),1)</f>
        <v>45992</v>
      </c>
      <c r="S414" s="83" t="str">
        <f aca="false">YEAR(B414)&amp;"-Q"&amp;ROUNDUP(MONTH(B414)/3,0)</f>
        <v>2025-Q4</v>
      </c>
      <c r="T414" s="87" t="n">
        <f aca="false">IF(O414&gt;0,Q414/O414,"")</f>
        <v>0.230769230769231</v>
      </c>
      <c r="U414" s="84" t="n">
        <f aca="false">IF(O414&gt;0,O414,"")</f>
        <v>3705</v>
      </c>
    </row>
    <row r="415" customFormat="false" ht="15" hidden="false" customHeight="false" outlineLevel="0" collapsed="false">
      <c r="A415" s="81" t="s">
        <v>1058</v>
      </c>
      <c r="B415" s="82" t="n">
        <v>46017</v>
      </c>
      <c r="C415" s="81" t="s">
        <v>368</v>
      </c>
      <c r="D415" s="83" t="str">
        <f aca="false">IFERROR(INDEX(c_Name,MATCH($C415,c_ID,0)),"غير معرّف")</f>
        <v>خالد الحربي</v>
      </c>
      <c r="E415" s="83" t="str">
        <f aca="false">IFERROR(INDEX(c_Region,MATCH($C415,c_ID,0)),"غير معرّف")</f>
        <v>الغربية</v>
      </c>
      <c r="F415" s="81" t="s">
        <v>166</v>
      </c>
      <c r="G415" s="83" t="str">
        <f aca="false">IFERROR(INDEX(p_Name,MATCH($F415,p_ID,0)),"غير معرّف")</f>
        <v>سماعات لاسلكية</v>
      </c>
      <c r="H415" s="83" t="str">
        <f aca="false">IFERROR(INDEX(p_Cat,MATCH($F415,p_ID,0)),"غير معرّف")</f>
        <v>إلكترونيات</v>
      </c>
      <c r="I415" s="81" t="s">
        <v>452</v>
      </c>
      <c r="J415" s="81" t="s">
        <v>91</v>
      </c>
      <c r="K415" s="81" t="n">
        <v>1</v>
      </c>
      <c r="L415" s="84" t="n">
        <f aca="false">IFERROR(INDEX(p_Price,MATCH($F415,p_ID,0)),0)</f>
        <v>450</v>
      </c>
      <c r="M415" s="85" t="n">
        <v>0</v>
      </c>
      <c r="N415" s="81" t="s">
        <v>650</v>
      </c>
      <c r="O415" s="84" t="n">
        <f aca="false">IF($N415="مرتجع",0,K415*L415*(1-M415))</f>
        <v>0</v>
      </c>
      <c r="P415" s="84" t="n">
        <f aca="false">IF($N415="مرتجع",0,K415*IFERROR(INDEX(p_Cost,MATCH($F415,p_ID,0)),0))</f>
        <v>0</v>
      </c>
      <c r="Q415" s="84" t="n">
        <f aca="false">O415-P415</f>
        <v>0</v>
      </c>
      <c r="R415" s="86" t="n">
        <f aca="false">DATE(YEAR(B415),MONTH(B415),1)</f>
        <v>45992</v>
      </c>
      <c r="S415" s="83" t="str">
        <f aca="false">YEAR(B415)&amp;"-Q"&amp;ROUNDUP(MONTH(B415)/3,0)</f>
        <v>2025-Q4</v>
      </c>
      <c r="T415" s="87" t="str">
        <f aca="false">IF(O415&gt;0,Q415/O415,"")</f>
        <v/>
      </c>
      <c r="U415" s="84" t="str">
        <f aca="false">IF(O415&gt;0,O415,"")</f>
        <v/>
      </c>
    </row>
    <row r="416" customFormat="false" ht="15" hidden="false" customHeight="false" outlineLevel="0" collapsed="false">
      <c r="A416" s="81" t="s">
        <v>1059</v>
      </c>
      <c r="B416" s="82" t="n">
        <v>46017</v>
      </c>
      <c r="C416" s="81" t="s">
        <v>295</v>
      </c>
      <c r="D416" s="83" t="str">
        <f aca="false">IFERROR(INDEX(c_Name,MATCH($C416,c_ID,0)),"غير معرّف")</f>
        <v>عبير الزهراني</v>
      </c>
      <c r="E416" s="83" t="str">
        <f aca="false">IFERROR(INDEX(c_Region,MATCH($C416,c_ID,0)),"غير معرّف")</f>
        <v>الوسطى</v>
      </c>
      <c r="F416" s="81" t="s">
        <v>175</v>
      </c>
      <c r="G416" s="83" t="str">
        <f aca="false">IFERROR(INDEX(p_Name,MATCH($F416,p_ID,0)),"غير معرّف")</f>
        <v>رف كتب</v>
      </c>
      <c r="H416" s="83" t="str">
        <f aca="false">IFERROR(INDEX(p_Cat,MATCH($F416,p_ID,0)),"غير معرّف")</f>
        <v>أثاث</v>
      </c>
      <c r="I416" s="81" t="s">
        <v>443</v>
      </c>
      <c r="J416" s="81" t="s">
        <v>93</v>
      </c>
      <c r="K416" s="81" t="n">
        <v>6</v>
      </c>
      <c r="L416" s="84" t="n">
        <f aca="false">IFERROR(INDEX(p_Price,MATCH($F416,p_ID,0)),0)</f>
        <v>400</v>
      </c>
      <c r="M416" s="85" t="n">
        <v>0.05</v>
      </c>
      <c r="N416" s="81" t="s">
        <v>644</v>
      </c>
      <c r="O416" s="84" t="n">
        <f aca="false">IF($N416="مرتجع",0,K416*L416*(1-M416))</f>
        <v>2280</v>
      </c>
      <c r="P416" s="84" t="n">
        <f aca="false">IF($N416="مرتجع",0,K416*IFERROR(INDEX(p_Cost,MATCH($F416,p_ID,0)),0))</f>
        <v>1320</v>
      </c>
      <c r="Q416" s="84" t="n">
        <f aca="false">O416-P416</f>
        <v>960</v>
      </c>
      <c r="R416" s="86" t="n">
        <f aca="false">DATE(YEAR(B416),MONTH(B416),1)</f>
        <v>45992</v>
      </c>
      <c r="S416" s="83" t="str">
        <f aca="false">YEAR(B416)&amp;"-Q"&amp;ROUNDUP(MONTH(B416)/3,0)</f>
        <v>2025-Q4</v>
      </c>
      <c r="T416" s="87" t="n">
        <f aca="false">IF(O416&gt;0,Q416/O416,"")</f>
        <v>0.421052631578947</v>
      </c>
      <c r="U416" s="84" t="n">
        <f aca="false">IF(O416&gt;0,O416,"")</f>
        <v>2280</v>
      </c>
    </row>
    <row r="417" customFormat="false" ht="15" hidden="false" customHeight="false" outlineLevel="0" collapsed="false">
      <c r="A417" s="81" t="s">
        <v>1060</v>
      </c>
      <c r="B417" s="82" t="n">
        <v>46018</v>
      </c>
      <c r="C417" s="81" t="s">
        <v>385</v>
      </c>
      <c r="D417" s="83" t="str">
        <f aca="false">IFERROR(INDEX(c_Name,MATCH($C417,c_ID,0)),"غير معرّف")</f>
        <v>سارة الشهري</v>
      </c>
      <c r="E417" s="83" t="str">
        <f aca="false">IFERROR(INDEX(c_Region,MATCH($C417,c_ID,0)),"غير معرّف")</f>
        <v>الشرقية</v>
      </c>
      <c r="F417" s="81" t="s">
        <v>173</v>
      </c>
      <c r="G417" s="83" t="str">
        <f aca="false">IFERROR(INDEX(p_Name,MATCH($F417,p_ID,0)),"غير معرّف")</f>
        <v>كرسي مريح</v>
      </c>
      <c r="H417" s="83" t="str">
        <f aca="false">IFERROR(INDEX(p_Cat,MATCH($F417,p_ID,0)),"غير معرّف")</f>
        <v>أثاث</v>
      </c>
      <c r="I417" s="81" t="s">
        <v>461</v>
      </c>
      <c r="J417" s="81" t="s">
        <v>93</v>
      </c>
      <c r="K417" s="81" t="n">
        <v>2</v>
      </c>
      <c r="L417" s="84" t="n">
        <f aca="false">IFERROR(INDEX(p_Price,MATCH($F417,p_ID,0)),0)</f>
        <v>850</v>
      </c>
      <c r="M417" s="85" t="n">
        <v>0</v>
      </c>
      <c r="N417" s="81" t="s">
        <v>644</v>
      </c>
      <c r="O417" s="84" t="n">
        <f aca="false">IF($N417="مرتجع",0,K417*L417*(1-M417))</f>
        <v>1700</v>
      </c>
      <c r="P417" s="84" t="n">
        <f aca="false">IF($N417="مرتجع",0,K417*IFERROR(INDEX(p_Cost,MATCH($F417,p_ID,0)),0))</f>
        <v>960</v>
      </c>
      <c r="Q417" s="84" t="n">
        <f aca="false">O417-P417</f>
        <v>740</v>
      </c>
      <c r="R417" s="86" t="n">
        <f aca="false">DATE(YEAR(B417),MONTH(B417),1)</f>
        <v>45992</v>
      </c>
      <c r="S417" s="83" t="str">
        <f aca="false">YEAR(B417)&amp;"-Q"&amp;ROUNDUP(MONTH(B417)/3,0)</f>
        <v>2025-Q4</v>
      </c>
      <c r="T417" s="87" t="n">
        <f aca="false">IF(O417&gt;0,Q417/O417,"")</f>
        <v>0.435294117647059</v>
      </c>
      <c r="U417" s="84" t="n">
        <f aca="false">IF(O417&gt;0,O417,"")</f>
        <v>1700</v>
      </c>
    </row>
    <row r="418" customFormat="false" ht="15" hidden="false" customHeight="false" outlineLevel="0" collapsed="false">
      <c r="A418" s="81" t="s">
        <v>1061</v>
      </c>
      <c r="B418" s="82" t="n">
        <v>46018</v>
      </c>
      <c r="C418" s="81" t="s">
        <v>301</v>
      </c>
      <c r="D418" s="83" t="str">
        <f aca="false">IFERROR(INDEX(c_Name,MATCH($C418,c_ID,0)),"غير معرّف")</f>
        <v>أحمد الغامدي</v>
      </c>
      <c r="E418" s="83" t="str">
        <f aca="false">IFERROR(INDEX(c_Region,MATCH($C418,c_ID,0)),"غير معرّف")</f>
        <v>الشرقية</v>
      </c>
      <c r="F418" s="81" t="s">
        <v>186</v>
      </c>
      <c r="G418" s="83" t="str">
        <f aca="false">IFERROR(INDEX(p_Name,MATCH($F418,p_ID,0)),"غير معرّف")</f>
        <v>مجفف شعر</v>
      </c>
      <c r="H418" s="83" t="str">
        <f aca="false">IFERROR(INDEX(p_Cat,MATCH($F418,p_ID,0)),"غير معرّف")</f>
        <v>عناية شخصية</v>
      </c>
      <c r="I418" s="81" t="s">
        <v>463</v>
      </c>
      <c r="J418" s="81" t="s">
        <v>93</v>
      </c>
      <c r="K418" s="81" t="n">
        <v>1</v>
      </c>
      <c r="L418" s="84" t="n">
        <f aca="false">IFERROR(INDEX(p_Price,MATCH($F418,p_ID,0)),0)</f>
        <v>280</v>
      </c>
      <c r="M418" s="85" t="n">
        <v>0.05</v>
      </c>
      <c r="N418" s="81" t="s">
        <v>644</v>
      </c>
      <c r="O418" s="84" t="n">
        <f aca="false">IF($N418="مرتجع",0,K418*L418*(1-M418))</f>
        <v>266</v>
      </c>
      <c r="P418" s="84" t="n">
        <f aca="false">IF($N418="مرتجع",0,K418*IFERROR(INDEX(p_Cost,MATCH($F418,p_ID,0)),0))</f>
        <v>140</v>
      </c>
      <c r="Q418" s="84" t="n">
        <f aca="false">O418-P418</f>
        <v>126</v>
      </c>
      <c r="R418" s="86" t="n">
        <f aca="false">DATE(YEAR(B418),MONTH(B418),1)</f>
        <v>45992</v>
      </c>
      <c r="S418" s="83" t="str">
        <f aca="false">YEAR(B418)&amp;"-Q"&amp;ROUNDUP(MONTH(B418)/3,0)</f>
        <v>2025-Q4</v>
      </c>
      <c r="T418" s="87" t="n">
        <f aca="false">IF(O418&gt;0,Q418/O418,"")</f>
        <v>0.473684210526316</v>
      </c>
      <c r="U418" s="84" t="n">
        <f aca="false">IF(O418&gt;0,O418,"")</f>
        <v>266</v>
      </c>
    </row>
    <row r="419" customFormat="false" ht="15" hidden="false" customHeight="false" outlineLevel="0" collapsed="false">
      <c r="A419" s="81" t="s">
        <v>1062</v>
      </c>
      <c r="B419" s="82" t="n">
        <v>46018</v>
      </c>
      <c r="C419" s="81" t="s">
        <v>408</v>
      </c>
      <c r="D419" s="83" t="str">
        <f aca="false">IFERROR(INDEX(c_Name,MATCH($C419,c_ID,0)),"غير معرّف")</f>
        <v>فهد الغامدي</v>
      </c>
      <c r="E419" s="83" t="str">
        <f aca="false">IFERROR(INDEX(c_Region,MATCH($C419,c_ID,0)),"غير معرّف")</f>
        <v>الغربية</v>
      </c>
      <c r="F419" s="81" t="s">
        <v>168</v>
      </c>
      <c r="G419" s="83" t="str">
        <f aca="false">IFERROR(INDEX(p_Name,MATCH($F419,p_ID,0)),"غير معرّف")</f>
        <v>مكنسة كهربائية</v>
      </c>
      <c r="H419" s="83" t="str">
        <f aca="false">IFERROR(INDEX(p_Cat,MATCH($F419,p_ID,0)),"غير معرّف")</f>
        <v>أجهزة منزلية</v>
      </c>
      <c r="I419" s="81" t="s">
        <v>455</v>
      </c>
      <c r="J419" s="81" t="s">
        <v>93</v>
      </c>
      <c r="K419" s="81" t="n">
        <v>4</v>
      </c>
      <c r="L419" s="84" t="n">
        <f aca="false">IFERROR(INDEX(p_Price,MATCH($F419,p_ID,0)),0)</f>
        <v>650</v>
      </c>
      <c r="M419" s="85" t="n">
        <v>0</v>
      </c>
      <c r="N419" s="81" t="s">
        <v>644</v>
      </c>
      <c r="O419" s="84" t="n">
        <f aca="false">IF($N419="مرتجع",0,K419*L419*(1-M419))</f>
        <v>2600</v>
      </c>
      <c r="P419" s="84" t="n">
        <f aca="false">IF($N419="مرتجع",0,K419*IFERROR(INDEX(p_Cost,MATCH($F419,p_ID,0)),0))</f>
        <v>1680</v>
      </c>
      <c r="Q419" s="84" t="n">
        <f aca="false">O419-P419</f>
        <v>920</v>
      </c>
      <c r="R419" s="86" t="n">
        <f aca="false">DATE(YEAR(B419),MONTH(B419),1)</f>
        <v>45992</v>
      </c>
      <c r="S419" s="83" t="str">
        <f aca="false">YEAR(B419)&amp;"-Q"&amp;ROUNDUP(MONTH(B419)/3,0)</f>
        <v>2025-Q4</v>
      </c>
      <c r="T419" s="87" t="n">
        <f aca="false">IF(O419&gt;0,Q419/O419,"")</f>
        <v>0.353846153846154</v>
      </c>
      <c r="U419" s="84" t="n">
        <f aca="false">IF(O419&gt;0,O419,"")</f>
        <v>2600</v>
      </c>
    </row>
    <row r="420" customFormat="false" ht="15" hidden="false" customHeight="false" outlineLevel="0" collapsed="false">
      <c r="A420" s="81" t="s">
        <v>1063</v>
      </c>
      <c r="B420" s="82" t="n">
        <v>46019</v>
      </c>
      <c r="C420" s="81" t="s">
        <v>334</v>
      </c>
      <c r="D420" s="83" t="str">
        <f aca="false">IFERROR(INDEX(c_Name,MATCH($C420,c_ID,0)),"غير معرّف")</f>
        <v>ناصر الغامدي</v>
      </c>
      <c r="E420" s="83" t="str">
        <f aca="false">IFERROR(INDEX(c_Region,MATCH($C420,c_ID,0)),"غير معرّف")</f>
        <v>الغربية</v>
      </c>
      <c r="F420" s="81" t="s">
        <v>187</v>
      </c>
      <c r="G420" s="83" t="str">
        <f aca="false">IFERROR(INDEX(p_Name,MATCH($F420,p_ID,0)),"غير معرّف")</f>
        <v>جهاز تدليك</v>
      </c>
      <c r="H420" s="83" t="str">
        <f aca="false">IFERROR(INDEX(p_Cat,MATCH($F420,p_ID,0)),"غير معرّف")</f>
        <v>عناية شخصية</v>
      </c>
      <c r="I420" s="81" t="s">
        <v>452</v>
      </c>
      <c r="J420" s="81" t="s">
        <v>91</v>
      </c>
      <c r="K420" s="81" t="n">
        <v>1</v>
      </c>
      <c r="L420" s="84" t="n">
        <f aca="false">IFERROR(INDEX(p_Price,MATCH($F420,p_ID,0)),0)</f>
        <v>600</v>
      </c>
      <c r="M420" s="85" t="n">
        <v>0</v>
      </c>
      <c r="N420" s="81" t="s">
        <v>650</v>
      </c>
      <c r="O420" s="84" t="n">
        <f aca="false">IF($N420="مرتجع",0,K420*L420*(1-M420))</f>
        <v>0</v>
      </c>
      <c r="P420" s="84" t="n">
        <f aca="false">IF($N420="مرتجع",0,K420*IFERROR(INDEX(p_Cost,MATCH($F420,p_ID,0)),0))</f>
        <v>0</v>
      </c>
      <c r="Q420" s="84" t="n">
        <f aca="false">O420-P420</f>
        <v>0</v>
      </c>
      <c r="R420" s="86" t="n">
        <f aca="false">DATE(YEAR(B420),MONTH(B420),1)</f>
        <v>45992</v>
      </c>
      <c r="S420" s="83" t="str">
        <f aca="false">YEAR(B420)&amp;"-Q"&amp;ROUNDUP(MONTH(B420)/3,0)</f>
        <v>2025-Q4</v>
      </c>
      <c r="T420" s="87" t="str">
        <f aca="false">IF(O420&gt;0,Q420/O420,"")</f>
        <v/>
      </c>
      <c r="U420" s="84" t="str">
        <f aca="false">IF(O420&gt;0,O420,"")</f>
        <v/>
      </c>
    </row>
    <row r="421" customFormat="false" ht="15" hidden="false" customHeight="false" outlineLevel="0" collapsed="false">
      <c r="A421" s="81" t="s">
        <v>1064</v>
      </c>
      <c r="B421" s="82" t="n">
        <v>46019</v>
      </c>
      <c r="C421" s="81" t="s">
        <v>334</v>
      </c>
      <c r="D421" s="83" t="str">
        <f aca="false">IFERROR(INDEX(c_Name,MATCH($C421,c_ID,0)),"غير معرّف")</f>
        <v>ناصر الغامدي</v>
      </c>
      <c r="E421" s="83" t="str">
        <f aca="false">IFERROR(INDEX(c_Region,MATCH($C421,c_ID,0)),"غير معرّف")</f>
        <v>الغربية</v>
      </c>
      <c r="F421" s="81" t="s">
        <v>177</v>
      </c>
      <c r="G421" s="83" t="str">
        <f aca="false">IFERROR(INDEX(p_Name,MATCH($F421,p_ID,0)),"غير معرّف")</f>
        <v>ورق A4 (صندوق)</v>
      </c>
      <c r="H421" s="83" t="str">
        <f aca="false">IFERROR(INDEX(p_Cat,MATCH($F421,p_ID,0)),"غير معرّف")</f>
        <v>مستلزمات مكتبية</v>
      </c>
      <c r="I421" s="81" t="s">
        <v>458</v>
      </c>
      <c r="J421" s="81" t="s">
        <v>93</v>
      </c>
      <c r="K421" s="81" t="n">
        <v>4</v>
      </c>
      <c r="L421" s="84" t="n">
        <f aca="false">IFERROR(INDEX(p_Price,MATCH($F421,p_ID,0)),0)</f>
        <v>140</v>
      </c>
      <c r="M421" s="85" t="n">
        <v>0</v>
      </c>
      <c r="N421" s="81" t="s">
        <v>644</v>
      </c>
      <c r="O421" s="84" t="n">
        <f aca="false">IF($N421="مرتجع",0,K421*L421*(1-M421))</f>
        <v>560</v>
      </c>
      <c r="P421" s="84" t="n">
        <f aca="false">IF($N421="مرتجع",0,K421*IFERROR(INDEX(p_Cost,MATCH($F421,p_ID,0)),0))</f>
        <v>380</v>
      </c>
      <c r="Q421" s="84" t="n">
        <f aca="false">O421-P421</f>
        <v>180</v>
      </c>
      <c r="R421" s="86" t="n">
        <f aca="false">DATE(YEAR(B421),MONTH(B421),1)</f>
        <v>45992</v>
      </c>
      <c r="S421" s="83" t="str">
        <f aca="false">YEAR(B421)&amp;"-Q"&amp;ROUNDUP(MONTH(B421)/3,0)</f>
        <v>2025-Q4</v>
      </c>
      <c r="T421" s="87" t="n">
        <f aca="false">IF(O421&gt;0,Q421/O421,"")</f>
        <v>0.321428571428571</v>
      </c>
      <c r="U421" s="84" t="n">
        <f aca="false">IF(O421&gt;0,O421,"")</f>
        <v>560</v>
      </c>
    </row>
    <row r="422" customFormat="false" ht="15" hidden="false" customHeight="false" outlineLevel="0" collapsed="false">
      <c r="A422" s="81" t="s">
        <v>1065</v>
      </c>
      <c r="B422" s="82" t="n">
        <v>46019</v>
      </c>
      <c r="C422" s="81" t="s">
        <v>299</v>
      </c>
      <c r="D422" s="83" t="str">
        <f aca="false">IFERROR(INDEX(c_Name,MATCH($C422,c_ID,0)),"غير معرّف")</f>
        <v>جود الخالدي</v>
      </c>
      <c r="E422" s="83" t="str">
        <f aca="false">IFERROR(INDEX(c_Region,MATCH($C422,c_ID,0)),"غير معرّف")</f>
        <v>الوسطى</v>
      </c>
      <c r="F422" s="81" t="s">
        <v>179</v>
      </c>
      <c r="G422" s="83" t="str">
        <f aca="false">IFERROR(INDEX(p_Name,MATCH($F422,p_ID,0)),"غير معرّف")</f>
        <v>طقم أدوات مكتبية</v>
      </c>
      <c r="H422" s="83" t="str">
        <f aca="false">IFERROR(INDEX(p_Cat,MATCH($F422,p_ID,0)),"غير معرّف")</f>
        <v>مستلزمات مكتبية</v>
      </c>
      <c r="I422" s="81" t="s">
        <v>446</v>
      </c>
      <c r="J422" s="81" t="s">
        <v>91</v>
      </c>
      <c r="K422" s="81" t="n">
        <v>4</v>
      </c>
      <c r="L422" s="84" t="n">
        <f aca="false">IFERROR(INDEX(p_Price,MATCH($F422,p_ID,0)),0)</f>
        <v>90</v>
      </c>
      <c r="M422" s="85" t="n">
        <v>0</v>
      </c>
      <c r="N422" s="81" t="s">
        <v>644</v>
      </c>
      <c r="O422" s="84" t="n">
        <f aca="false">IF($N422="مرتجع",0,K422*L422*(1-M422))</f>
        <v>360</v>
      </c>
      <c r="P422" s="84" t="n">
        <f aca="false">IF($N422="مرتجع",0,K422*IFERROR(INDEX(p_Cost,MATCH($F422,p_ID,0)),0))</f>
        <v>180</v>
      </c>
      <c r="Q422" s="84" t="n">
        <f aca="false">O422-P422</f>
        <v>180</v>
      </c>
      <c r="R422" s="86" t="n">
        <f aca="false">DATE(YEAR(B422),MONTH(B422),1)</f>
        <v>45992</v>
      </c>
      <c r="S422" s="83" t="str">
        <f aca="false">YEAR(B422)&amp;"-Q"&amp;ROUNDUP(MONTH(B422)/3,0)</f>
        <v>2025-Q4</v>
      </c>
      <c r="T422" s="87" t="n">
        <f aca="false">IF(O422&gt;0,Q422/O422,"")</f>
        <v>0.5</v>
      </c>
      <c r="U422" s="84" t="n">
        <f aca="false">IF(O422&gt;0,O422,"")</f>
        <v>360</v>
      </c>
    </row>
    <row r="423" customFormat="false" ht="15" hidden="false" customHeight="false" outlineLevel="0" collapsed="false">
      <c r="A423" s="81" t="s">
        <v>1066</v>
      </c>
      <c r="B423" s="82" t="n">
        <v>46019</v>
      </c>
      <c r="C423" s="81" t="s">
        <v>404</v>
      </c>
      <c r="D423" s="83" t="str">
        <f aca="false">IFERROR(INDEX(c_Name,MATCH($C423,c_ID,0)),"غير معرّف")</f>
        <v>عبدالله الحسيني</v>
      </c>
      <c r="E423" s="83" t="str">
        <f aca="false">IFERROR(INDEX(c_Region,MATCH($C423,c_ID,0)),"غير معرّف")</f>
        <v>الشرقية</v>
      </c>
      <c r="F423" s="81" t="s">
        <v>175</v>
      </c>
      <c r="G423" s="83" t="str">
        <f aca="false">IFERROR(INDEX(p_Name,MATCH($F423,p_ID,0)),"غير معرّف")</f>
        <v>رف كتب</v>
      </c>
      <c r="H423" s="83" t="str">
        <f aca="false">IFERROR(INDEX(p_Cat,MATCH($F423,p_ID,0)),"غير معرّف")</f>
        <v>أثاث</v>
      </c>
      <c r="I423" s="81" t="s">
        <v>461</v>
      </c>
      <c r="J423" s="81" t="s">
        <v>93</v>
      </c>
      <c r="K423" s="81" t="n">
        <v>3</v>
      </c>
      <c r="L423" s="84" t="n">
        <f aca="false">IFERROR(INDEX(p_Price,MATCH($F423,p_ID,0)),0)</f>
        <v>400</v>
      </c>
      <c r="M423" s="85" t="n">
        <v>0.15</v>
      </c>
      <c r="N423" s="81" t="s">
        <v>644</v>
      </c>
      <c r="O423" s="84" t="n">
        <f aca="false">IF($N423="مرتجع",0,K423*L423*(1-M423))</f>
        <v>1020</v>
      </c>
      <c r="P423" s="84" t="n">
        <f aca="false">IF($N423="مرتجع",0,K423*IFERROR(INDEX(p_Cost,MATCH($F423,p_ID,0)),0))</f>
        <v>660</v>
      </c>
      <c r="Q423" s="84" t="n">
        <f aca="false">O423-P423</f>
        <v>360</v>
      </c>
      <c r="R423" s="86" t="n">
        <f aca="false">DATE(YEAR(B423),MONTH(B423),1)</f>
        <v>45992</v>
      </c>
      <c r="S423" s="83" t="str">
        <f aca="false">YEAR(B423)&amp;"-Q"&amp;ROUNDUP(MONTH(B423)/3,0)</f>
        <v>2025-Q4</v>
      </c>
      <c r="T423" s="87" t="n">
        <f aca="false">IF(O423&gt;0,Q423/O423,"")</f>
        <v>0.352941176470588</v>
      </c>
      <c r="U423" s="84" t="n">
        <f aca="false">IF(O423&gt;0,O423,"")</f>
        <v>1020</v>
      </c>
    </row>
    <row r="424" customFormat="false" ht="15" hidden="false" customHeight="false" outlineLevel="0" collapsed="false">
      <c r="A424" s="81" t="s">
        <v>1067</v>
      </c>
      <c r="B424" s="82" t="n">
        <v>46020</v>
      </c>
      <c r="C424" s="81" t="s">
        <v>294</v>
      </c>
      <c r="D424" s="83" t="str">
        <f aca="false">IFERROR(INDEX(c_Name,MATCH($C424,c_ID,0)),"غير معرّف")</f>
        <v>خالد البلوي</v>
      </c>
      <c r="E424" s="83" t="str">
        <f aca="false">IFERROR(INDEX(c_Region,MATCH($C424,c_ID,0)),"غير معرّف")</f>
        <v>الوسطى</v>
      </c>
      <c r="F424" s="81" t="s">
        <v>177</v>
      </c>
      <c r="G424" s="83" t="str">
        <f aca="false">IFERROR(INDEX(p_Name,MATCH($F424,p_ID,0)),"غير معرّف")</f>
        <v>ورق A4 (صندوق)</v>
      </c>
      <c r="H424" s="83" t="str">
        <f aca="false">IFERROR(INDEX(p_Cat,MATCH($F424,p_ID,0)),"غير معرّف")</f>
        <v>مستلزمات مكتبية</v>
      </c>
      <c r="I424" s="81" t="s">
        <v>446</v>
      </c>
      <c r="J424" s="81" t="s">
        <v>95</v>
      </c>
      <c r="K424" s="81" t="n">
        <v>9</v>
      </c>
      <c r="L424" s="84" t="n">
        <f aca="false">IFERROR(INDEX(p_Price,MATCH($F424,p_ID,0)),0)</f>
        <v>140</v>
      </c>
      <c r="M424" s="85" t="n">
        <v>0.2</v>
      </c>
      <c r="N424" s="81" t="s">
        <v>644</v>
      </c>
      <c r="O424" s="84" t="n">
        <f aca="false">IF($N424="مرتجع",0,K424*L424*(1-M424))</f>
        <v>1008</v>
      </c>
      <c r="P424" s="84" t="n">
        <f aca="false">IF($N424="مرتجع",0,K424*IFERROR(INDEX(p_Cost,MATCH($F424,p_ID,0)),0))</f>
        <v>855</v>
      </c>
      <c r="Q424" s="84" t="n">
        <f aca="false">O424-P424</f>
        <v>153</v>
      </c>
      <c r="R424" s="86" t="n">
        <f aca="false">DATE(YEAR(B424),MONTH(B424),1)</f>
        <v>45992</v>
      </c>
      <c r="S424" s="83" t="str">
        <f aca="false">YEAR(B424)&amp;"-Q"&amp;ROUNDUP(MONTH(B424)/3,0)</f>
        <v>2025-Q4</v>
      </c>
      <c r="T424" s="87" t="n">
        <f aca="false">IF(O424&gt;0,Q424/O424,"")</f>
        <v>0.151785714285714</v>
      </c>
      <c r="U424" s="84" t="n">
        <f aca="false">IF(O424&gt;0,O424,"")</f>
        <v>1008</v>
      </c>
    </row>
    <row r="425" customFormat="false" ht="15" hidden="false" customHeight="false" outlineLevel="0" collapsed="false">
      <c r="A425" s="81" t="s">
        <v>1068</v>
      </c>
      <c r="B425" s="82" t="n">
        <v>46020</v>
      </c>
      <c r="C425" s="81" t="s">
        <v>374</v>
      </c>
      <c r="D425" s="83" t="str">
        <f aca="false">IFERROR(INDEX(c_Name,MATCH($C425,c_ID,0)),"غير معرّف")</f>
        <v>منى التميمي</v>
      </c>
      <c r="E425" s="83" t="str">
        <f aca="false">IFERROR(INDEX(c_Region,MATCH($C425,c_ID,0)),"غير معرّف")</f>
        <v>الوسطى</v>
      </c>
      <c r="F425" s="81" t="s">
        <v>175</v>
      </c>
      <c r="G425" s="83" t="str">
        <f aca="false">IFERROR(INDEX(p_Name,MATCH($F425,p_ID,0)),"غير معرّف")</f>
        <v>رف كتب</v>
      </c>
      <c r="H425" s="83" t="str">
        <f aca="false">IFERROR(INDEX(p_Cat,MATCH($F425,p_ID,0)),"غير معرّف")</f>
        <v>أثاث</v>
      </c>
      <c r="I425" s="81" t="s">
        <v>443</v>
      </c>
      <c r="J425" s="81" t="s">
        <v>91</v>
      </c>
      <c r="K425" s="81" t="n">
        <v>7</v>
      </c>
      <c r="L425" s="84" t="n">
        <f aca="false">IFERROR(INDEX(p_Price,MATCH($F425,p_ID,0)),0)</f>
        <v>400</v>
      </c>
      <c r="M425" s="85" t="n">
        <v>0.15</v>
      </c>
      <c r="N425" s="81" t="s">
        <v>644</v>
      </c>
      <c r="O425" s="84" t="n">
        <f aca="false">IF($N425="مرتجع",0,K425*L425*(1-M425))</f>
        <v>2380</v>
      </c>
      <c r="P425" s="84" t="n">
        <f aca="false">IF($N425="مرتجع",0,K425*IFERROR(INDEX(p_Cost,MATCH($F425,p_ID,0)),0))</f>
        <v>1540</v>
      </c>
      <c r="Q425" s="84" t="n">
        <f aca="false">O425-P425</f>
        <v>840</v>
      </c>
      <c r="R425" s="86" t="n">
        <f aca="false">DATE(YEAR(B425),MONTH(B425),1)</f>
        <v>45992</v>
      </c>
      <c r="S425" s="83" t="str">
        <f aca="false">YEAR(B425)&amp;"-Q"&amp;ROUNDUP(MONTH(B425)/3,0)</f>
        <v>2025-Q4</v>
      </c>
      <c r="T425" s="87" t="n">
        <f aca="false">IF(O425&gt;0,Q425/O425,"")</f>
        <v>0.352941176470588</v>
      </c>
      <c r="U425" s="84" t="n">
        <f aca="false">IF(O425&gt;0,O425,"")</f>
        <v>2380</v>
      </c>
    </row>
    <row r="426" customFormat="false" ht="15" hidden="false" customHeight="false" outlineLevel="0" collapsed="false">
      <c r="A426" s="81" t="s">
        <v>1069</v>
      </c>
      <c r="B426" s="82" t="n">
        <v>46020</v>
      </c>
      <c r="C426" s="81" t="s">
        <v>260</v>
      </c>
      <c r="D426" s="83" t="str">
        <f aca="false">IFERROR(INDEX(c_Name,MATCH($C426,c_ID,0)),"غير معرّف")</f>
        <v>منى العتيبي</v>
      </c>
      <c r="E426" s="83" t="str">
        <f aca="false">IFERROR(INDEX(c_Region,MATCH($C426,c_ID,0)),"غير معرّف")</f>
        <v>الشرقية</v>
      </c>
      <c r="F426" s="81" t="s">
        <v>175</v>
      </c>
      <c r="G426" s="83" t="str">
        <f aca="false">IFERROR(INDEX(p_Name,MATCH($F426,p_ID,0)),"غير معرّف")</f>
        <v>رف كتب</v>
      </c>
      <c r="H426" s="83" t="str">
        <f aca="false">IFERROR(INDEX(p_Cat,MATCH($F426,p_ID,0)),"غير معرّف")</f>
        <v>أثاث</v>
      </c>
      <c r="I426" s="81" t="s">
        <v>461</v>
      </c>
      <c r="J426" s="81" t="s">
        <v>93</v>
      </c>
      <c r="K426" s="81" t="n">
        <v>7</v>
      </c>
      <c r="L426" s="84" t="n">
        <f aca="false">IFERROR(INDEX(p_Price,MATCH($F426,p_ID,0)),0)</f>
        <v>400</v>
      </c>
      <c r="M426" s="85" t="n">
        <v>0.1</v>
      </c>
      <c r="N426" s="81" t="s">
        <v>644</v>
      </c>
      <c r="O426" s="84" t="n">
        <f aca="false">IF($N426="مرتجع",0,K426*L426*(1-M426))</f>
        <v>2520</v>
      </c>
      <c r="P426" s="84" t="n">
        <f aca="false">IF($N426="مرتجع",0,K426*IFERROR(INDEX(p_Cost,MATCH($F426,p_ID,0)),0))</f>
        <v>1540</v>
      </c>
      <c r="Q426" s="84" t="n">
        <f aca="false">O426-P426</f>
        <v>980</v>
      </c>
      <c r="R426" s="86" t="n">
        <f aca="false">DATE(YEAR(B426),MONTH(B426),1)</f>
        <v>45992</v>
      </c>
      <c r="S426" s="83" t="str">
        <f aca="false">YEAR(B426)&amp;"-Q"&amp;ROUNDUP(MONTH(B426)/3,0)</f>
        <v>2025-Q4</v>
      </c>
      <c r="T426" s="87" t="n">
        <f aca="false">IF(O426&gt;0,Q426/O426,"")</f>
        <v>0.388888888888889</v>
      </c>
      <c r="U426" s="84" t="n">
        <f aca="false">IF(O426&gt;0,O426,"")</f>
        <v>2520</v>
      </c>
    </row>
    <row r="427" customFormat="false" ht="15" hidden="false" customHeight="false" outlineLevel="0" collapsed="false">
      <c r="A427" s="81" t="s">
        <v>1070</v>
      </c>
      <c r="B427" s="82" t="n">
        <v>46020</v>
      </c>
      <c r="C427" s="81" t="s">
        <v>414</v>
      </c>
      <c r="D427" s="83" t="str">
        <f aca="false">IFERROR(INDEX(c_Name,MATCH($C427,c_ID,0)),"غير معرّف")</f>
        <v>هند المطيري</v>
      </c>
      <c r="E427" s="83" t="str">
        <f aca="false">IFERROR(INDEX(c_Region,MATCH($C427,c_ID,0)),"غير معرّف")</f>
        <v>الشرقية</v>
      </c>
      <c r="F427" s="81" t="s">
        <v>171</v>
      </c>
      <c r="G427" s="83" t="str">
        <f aca="false">IFERROR(INDEX(p_Name,MATCH($F427,p_ID,0)),"غير معرّف")</f>
        <v>قلاية هوائية</v>
      </c>
      <c r="H427" s="83" t="str">
        <f aca="false">IFERROR(INDEX(p_Cat,MATCH($F427,p_ID,0)),"غير معرّف")</f>
        <v>أجهزة منزلية</v>
      </c>
      <c r="I427" s="81" t="s">
        <v>461</v>
      </c>
      <c r="J427" s="81" t="s">
        <v>91</v>
      </c>
      <c r="K427" s="81" t="n">
        <v>2</v>
      </c>
      <c r="L427" s="84" t="n">
        <f aca="false">IFERROR(INDEX(p_Price,MATCH($F427,p_ID,0)),0)</f>
        <v>520</v>
      </c>
      <c r="M427" s="85" t="n">
        <v>0</v>
      </c>
      <c r="N427" s="81" t="s">
        <v>644</v>
      </c>
      <c r="O427" s="84" t="n">
        <f aca="false">IF($N427="مرتجع",0,K427*L427*(1-M427))</f>
        <v>1040</v>
      </c>
      <c r="P427" s="84" t="n">
        <f aca="false">IF($N427="مرتجع",0,K427*IFERROR(INDEX(p_Cost,MATCH($F427,p_ID,0)),0))</f>
        <v>600</v>
      </c>
      <c r="Q427" s="84" t="n">
        <f aca="false">O427-P427</f>
        <v>440</v>
      </c>
      <c r="R427" s="86" t="n">
        <f aca="false">DATE(YEAR(B427),MONTH(B427),1)</f>
        <v>45992</v>
      </c>
      <c r="S427" s="83" t="str">
        <f aca="false">YEAR(B427)&amp;"-Q"&amp;ROUNDUP(MONTH(B427)/3,0)</f>
        <v>2025-Q4</v>
      </c>
      <c r="T427" s="87" t="n">
        <f aca="false">IF(O427&gt;0,Q427/O427,"")</f>
        <v>0.423076923076923</v>
      </c>
      <c r="U427" s="84" t="n">
        <f aca="false">IF(O427&gt;0,O427,"")</f>
        <v>1040</v>
      </c>
    </row>
    <row r="428" customFormat="false" ht="15" hidden="false" customHeight="false" outlineLevel="0" collapsed="false">
      <c r="A428" s="81" t="s">
        <v>1071</v>
      </c>
      <c r="B428" s="82" t="n">
        <v>46022</v>
      </c>
      <c r="C428" s="81" t="s">
        <v>405</v>
      </c>
      <c r="D428" s="83" t="str">
        <f aca="false">IFERROR(INDEX(c_Name,MATCH($C428,c_ID,0)),"غير معرّف")</f>
        <v>طارق التميمي</v>
      </c>
      <c r="E428" s="83" t="str">
        <f aca="false">IFERROR(INDEX(c_Region,MATCH($C428,c_ID,0)),"غير معرّف")</f>
        <v>الوسطى</v>
      </c>
      <c r="F428" s="81" t="s">
        <v>177</v>
      </c>
      <c r="G428" s="83" t="str">
        <f aca="false">IFERROR(INDEX(p_Name,MATCH($F428,p_ID,0)),"غير معرّف")</f>
        <v>ورق A4 (صندوق)</v>
      </c>
      <c r="H428" s="83" t="str">
        <f aca="false">IFERROR(INDEX(p_Cat,MATCH($F428,p_ID,0)),"غير معرّف")</f>
        <v>مستلزمات مكتبية</v>
      </c>
      <c r="I428" s="81" t="s">
        <v>446</v>
      </c>
      <c r="J428" s="81" t="s">
        <v>91</v>
      </c>
      <c r="K428" s="81" t="n">
        <v>5</v>
      </c>
      <c r="L428" s="84" t="n">
        <f aca="false">IFERROR(INDEX(p_Price,MATCH($F428,p_ID,0)),0)</f>
        <v>140</v>
      </c>
      <c r="M428" s="85" t="n">
        <v>0</v>
      </c>
      <c r="N428" s="81" t="s">
        <v>644</v>
      </c>
      <c r="O428" s="84" t="n">
        <f aca="false">IF($N428="مرتجع",0,K428*L428*(1-M428))</f>
        <v>700</v>
      </c>
      <c r="P428" s="84" t="n">
        <f aca="false">IF($N428="مرتجع",0,K428*IFERROR(INDEX(p_Cost,MATCH($F428,p_ID,0)),0))</f>
        <v>475</v>
      </c>
      <c r="Q428" s="84" t="n">
        <f aca="false">O428-P428</f>
        <v>225</v>
      </c>
      <c r="R428" s="86" t="n">
        <f aca="false">DATE(YEAR(B428),MONTH(B428),1)</f>
        <v>45992</v>
      </c>
      <c r="S428" s="83" t="str">
        <f aca="false">YEAR(B428)&amp;"-Q"&amp;ROUNDUP(MONTH(B428)/3,0)</f>
        <v>2025-Q4</v>
      </c>
      <c r="T428" s="87" t="n">
        <f aca="false">IF(O428&gt;0,Q428/O428,"")</f>
        <v>0.321428571428571</v>
      </c>
      <c r="U428" s="84" t="n">
        <f aca="false">IF(O428&gt;0,O428,"")</f>
        <v>700</v>
      </c>
    </row>
    <row r="429" customFormat="false" ht="15" hidden="false" customHeight="false" outlineLevel="0" collapsed="false">
      <c r="A429" s="81" t="s">
        <v>1072</v>
      </c>
      <c r="B429" s="82" t="n">
        <v>46022</v>
      </c>
      <c r="C429" s="81" t="s">
        <v>333</v>
      </c>
      <c r="D429" s="83" t="str">
        <f aca="false">IFERROR(INDEX(c_Name,MATCH($C429,c_ID,0)),"غير معرّف")</f>
        <v>جود الحربي</v>
      </c>
      <c r="E429" s="83" t="str">
        <f aca="false">IFERROR(INDEX(c_Region,MATCH($C429,c_ID,0)),"غير معرّف")</f>
        <v>الوسطى</v>
      </c>
      <c r="F429" s="81" t="s">
        <v>179</v>
      </c>
      <c r="G429" s="83" t="str">
        <f aca="false">IFERROR(INDEX(p_Name,MATCH($F429,p_ID,0)),"غير معرّف")</f>
        <v>طقم أدوات مكتبية</v>
      </c>
      <c r="H429" s="83" t="str">
        <f aca="false">IFERROR(INDEX(p_Cat,MATCH($F429,p_ID,0)),"غير معرّف")</f>
        <v>مستلزمات مكتبية</v>
      </c>
      <c r="I429" s="81" t="s">
        <v>449</v>
      </c>
      <c r="J429" s="81" t="s">
        <v>91</v>
      </c>
      <c r="K429" s="81" t="n">
        <v>3</v>
      </c>
      <c r="L429" s="84" t="n">
        <f aca="false">IFERROR(INDEX(p_Price,MATCH($F429,p_ID,0)),0)</f>
        <v>90</v>
      </c>
      <c r="M429" s="85" t="n">
        <v>0</v>
      </c>
      <c r="N429" s="81" t="s">
        <v>644</v>
      </c>
      <c r="O429" s="84" t="n">
        <f aca="false">IF($N429="مرتجع",0,K429*L429*(1-M429))</f>
        <v>270</v>
      </c>
      <c r="P429" s="84" t="n">
        <f aca="false">IF($N429="مرتجع",0,K429*IFERROR(INDEX(p_Cost,MATCH($F429,p_ID,0)),0))</f>
        <v>135</v>
      </c>
      <c r="Q429" s="84" t="n">
        <f aca="false">O429-P429</f>
        <v>135</v>
      </c>
      <c r="R429" s="86" t="n">
        <f aca="false">DATE(YEAR(B429),MONTH(B429),1)</f>
        <v>45992</v>
      </c>
      <c r="S429" s="83" t="str">
        <f aca="false">YEAR(B429)&amp;"-Q"&amp;ROUNDUP(MONTH(B429)/3,0)</f>
        <v>2025-Q4</v>
      </c>
      <c r="T429" s="87" t="n">
        <f aca="false">IF(O429&gt;0,Q429/O429,"")</f>
        <v>0.5</v>
      </c>
      <c r="U429" s="84" t="n">
        <f aca="false">IF(O429&gt;0,O429,"")</f>
        <v>270</v>
      </c>
    </row>
    <row r="430" customFormat="false" ht="15" hidden="false" customHeight="false" outlineLevel="0" collapsed="false">
      <c r="A430" s="81" t="s">
        <v>1073</v>
      </c>
      <c r="B430" s="82" t="n">
        <v>46022</v>
      </c>
      <c r="C430" s="81" t="s">
        <v>265</v>
      </c>
      <c r="D430" s="83" t="str">
        <f aca="false">IFERROR(INDEX(c_Name,MATCH($C430,c_ID,0)),"غير معرّف")</f>
        <v>منى العنزي</v>
      </c>
      <c r="E430" s="83" t="str">
        <f aca="false">IFERROR(INDEX(c_Region,MATCH($C430,c_ID,0)),"غير معرّف")</f>
        <v>الشرقية</v>
      </c>
      <c r="F430" s="81" t="s">
        <v>166</v>
      </c>
      <c r="G430" s="83" t="str">
        <f aca="false">IFERROR(INDEX(p_Name,MATCH($F430,p_ID,0)),"غير معرّف")</f>
        <v>سماعات لاسلكية</v>
      </c>
      <c r="H430" s="83" t="str">
        <f aca="false">IFERROR(INDEX(p_Cat,MATCH($F430,p_ID,0)),"غير معرّف")</f>
        <v>إلكترونيات</v>
      </c>
      <c r="I430" s="81" t="s">
        <v>463</v>
      </c>
      <c r="J430" s="81" t="s">
        <v>93</v>
      </c>
      <c r="K430" s="81" t="n">
        <v>8</v>
      </c>
      <c r="L430" s="84" t="n">
        <f aca="false">IFERROR(INDEX(p_Price,MATCH($F430,p_ID,0)),0)</f>
        <v>450</v>
      </c>
      <c r="M430" s="85" t="n">
        <v>0.1</v>
      </c>
      <c r="N430" s="81" t="s">
        <v>650</v>
      </c>
      <c r="O430" s="84" t="n">
        <f aca="false">IF($N430="مرتجع",0,K430*L430*(1-M430))</f>
        <v>0</v>
      </c>
      <c r="P430" s="84" t="n">
        <f aca="false">IF($N430="مرتجع",0,K430*IFERROR(INDEX(p_Cost,MATCH($F430,p_ID,0)),0))</f>
        <v>0</v>
      </c>
      <c r="Q430" s="84" t="n">
        <f aca="false">O430-P430</f>
        <v>0</v>
      </c>
      <c r="R430" s="86" t="n">
        <f aca="false">DATE(YEAR(B430),MONTH(B430),1)</f>
        <v>45992</v>
      </c>
      <c r="S430" s="83" t="str">
        <f aca="false">YEAR(B430)&amp;"-Q"&amp;ROUNDUP(MONTH(B430)/3,0)</f>
        <v>2025-Q4</v>
      </c>
      <c r="T430" s="87" t="str">
        <f aca="false">IF(O430&gt;0,Q430/O430,"")</f>
        <v/>
      </c>
      <c r="U430" s="84" t="str">
        <f aca="false">IF(O430&gt;0,O430,"")</f>
        <v/>
      </c>
    </row>
    <row r="431" customFormat="false" ht="15" hidden="false" customHeight="false" outlineLevel="0" collapsed="false">
      <c r="A431" s="81" t="s">
        <v>1074</v>
      </c>
      <c r="B431" s="82" t="n">
        <v>46022</v>
      </c>
      <c r="C431" s="81" t="s">
        <v>404</v>
      </c>
      <c r="D431" s="83" t="str">
        <f aca="false">IFERROR(INDEX(c_Name,MATCH($C431,c_ID,0)),"غير معرّف")</f>
        <v>عبدالله الحسيني</v>
      </c>
      <c r="E431" s="83" t="str">
        <f aca="false">IFERROR(INDEX(c_Region,MATCH($C431,c_ID,0)),"غير معرّف")</f>
        <v>الشرقية</v>
      </c>
      <c r="F431" s="81" t="s">
        <v>184</v>
      </c>
      <c r="G431" s="83" t="str">
        <f aca="false">IFERROR(INDEX(p_Name,MATCH($F431,p_ID,0)),"غير معرّف")</f>
        <v>عطر فاخر</v>
      </c>
      <c r="H431" s="83" t="str">
        <f aca="false">IFERROR(INDEX(p_Cat,MATCH($F431,p_ID,0)),"غير معرّف")</f>
        <v>عناية شخصية</v>
      </c>
      <c r="I431" s="81" t="s">
        <v>461</v>
      </c>
      <c r="J431" s="81" t="s">
        <v>91</v>
      </c>
      <c r="K431" s="81" t="n">
        <v>2</v>
      </c>
      <c r="L431" s="84" t="n">
        <f aca="false">IFERROR(INDEX(p_Price,MATCH($F431,p_ID,0)),0)</f>
        <v>520</v>
      </c>
      <c r="M431" s="85" t="n">
        <v>0.05</v>
      </c>
      <c r="N431" s="81" t="s">
        <v>644</v>
      </c>
      <c r="O431" s="84" t="n">
        <f aca="false">IF($N431="مرتجع",0,K431*L431*(1-M431))</f>
        <v>988</v>
      </c>
      <c r="P431" s="84" t="n">
        <f aca="false">IF($N431="مرتجع",0,K431*IFERROR(INDEX(p_Cost,MATCH($F431,p_ID,0)),0))</f>
        <v>420</v>
      </c>
      <c r="Q431" s="84" t="n">
        <f aca="false">O431-P431</f>
        <v>568</v>
      </c>
      <c r="R431" s="86" t="n">
        <f aca="false">DATE(YEAR(B431),MONTH(B431),1)</f>
        <v>45992</v>
      </c>
      <c r="S431" s="83" t="str">
        <f aca="false">YEAR(B431)&amp;"-Q"&amp;ROUNDUP(MONTH(B431)/3,0)</f>
        <v>2025-Q4</v>
      </c>
      <c r="T431" s="87" t="n">
        <f aca="false">IF(O431&gt;0,Q431/O431,"")</f>
        <v>0.574898785425101</v>
      </c>
      <c r="U431" s="84" t="n">
        <f aca="false">IF(O431&gt;0,O431,"")</f>
        <v>988</v>
      </c>
    </row>
    <row r="432" customFormat="false" ht="15" hidden="false" customHeight="false" outlineLevel="0" collapsed="false">
      <c r="A432" s="81" t="s">
        <v>1075</v>
      </c>
      <c r="B432" s="82" t="n">
        <v>46022</v>
      </c>
      <c r="C432" s="81" t="s">
        <v>270</v>
      </c>
      <c r="D432" s="83" t="str">
        <f aca="false">IFERROR(INDEX(c_Name,MATCH($C432,c_ID,0)),"غير معرّف")</f>
        <v>ريم التميمي</v>
      </c>
      <c r="E432" s="83" t="str">
        <f aca="false">IFERROR(INDEX(c_Region,MATCH($C432,c_ID,0)),"غير معرّف")</f>
        <v>الشرقية</v>
      </c>
      <c r="F432" s="81" t="s">
        <v>185</v>
      </c>
      <c r="G432" s="83" t="str">
        <f aca="false">IFERROR(INDEX(p_Name,MATCH($F432,p_ID,0)),"غير معرّف")</f>
        <v>ماكينة حلاقة</v>
      </c>
      <c r="H432" s="83" t="str">
        <f aca="false">IFERROR(INDEX(p_Cat,MATCH($F432,p_ID,0)),"غير معرّف")</f>
        <v>عناية شخصية</v>
      </c>
      <c r="I432" s="81" t="s">
        <v>463</v>
      </c>
      <c r="J432" s="81" t="s">
        <v>91</v>
      </c>
      <c r="K432" s="81" t="n">
        <v>1</v>
      </c>
      <c r="L432" s="84" t="n">
        <f aca="false">IFERROR(INDEX(p_Price,MATCH($F432,p_ID,0)),0)</f>
        <v>340</v>
      </c>
      <c r="M432" s="85" t="n">
        <v>0.15</v>
      </c>
      <c r="N432" s="81" t="s">
        <v>644</v>
      </c>
      <c r="O432" s="84" t="n">
        <f aca="false">IF($N432="مرتجع",0,K432*L432*(1-M432))</f>
        <v>289</v>
      </c>
      <c r="P432" s="84" t="n">
        <f aca="false">IF($N432="مرتجع",0,K432*IFERROR(INDEX(p_Cost,MATCH($F432,p_ID,0)),0))</f>
        <v>170</v>
      </c>
      <c r="Q432" s="84" t="n">
        <f aca="false">O432-P432</f>
        <v>119</v>
      </c>
      <c r="R432" s="86" t="n">
        <f aca="false">DATE(YEAR(B432),MONTH(B432),1)</f>
        <v>45992</v>
      </c>
      <c r="S432" s="83" t="str">
        <f aca="false">YEAR(B432)&amp;"-Q"&amp;ROUNDUP(MONTH(B432)/3,0)</f>
        <v>2025-Q4</v>
      </c>
      <c r="T432" s="87" t="n">
        <f aca="false">IF(O432&gt;0,Q432/O432,"")</f>
        <v>0.411764705882353</v>
      </c>
      <c r="U432" s="84" t="n">
        <f aca="false">IF(O432&gt;0,O432,"")</f>
        <v>289</v>
      </c>
    </row>
    <row r="433" customFormat="false" ht="15" hidden="false" customHeight="false" outlineLevel="0" collapsed="false">
      <c r="A433" s="81" t="s">
        <v>1076</v>
      </c>
      <c r="B433" s="82" t="n">
        <v>46022</v>
      </c>
      <c r="C433" s="81" t="s">
        <v>319</v>
      </c>
      <c r="D433" s="83" t="str">
        <f aca="false">IFERROR(INDEX(c_Name,MATCH($C433,c_ID,0)),"غير معرّف")</f>
        <v>سعد التميمي</v>
      </c>
      <c r="E433" s="83" t="str">
        <f aca="false">IFERROR(INDEX(c_Region,MATCH($C433,c_ID,0)),"غير معرّف")</f>
        <v>الغربية</v>
      </c>
      <c r="F433" s="81" t="s">
        <v>175</v>
      </c>
      <c r="G433" s="83" t="str">
        <f aca="false">IFERROR(INDEX(p_Name,MATCH($F433,p_ID,0)),"غير معرّف")</f>
        <v>رف كتب</v>
      </c>
      <c r="H433" s="83" t="str">
        <f aca="false">IFERROR(INDEX(p_Cat,MATCH($F433,p_ID,0)),"غير معرّف")</f>
        <v>أثاث</v>
      </c>
      <c r="I433" s="81" t="s">
        <v>458</v>
      </c>
      <c r="J433" s="81" t="s">
        <v>95</v>
      </c>
      <c r="K433" s="81" t="n">
        <v>15</v>
      </c>
      <c r="L433" s="84" t="n">
        <f aca="false">IFERROR(INDEX(p_Price,MATCH($F433,p_ID,0)),0)</f>
        <v>400</v>
      </c>
      <c r="M433" s="85" t="n">
        <v>0.2</v>
      </c>
      <c r="N433" s="81" t="s">
        <v>644</v>
      </c>
      <c r="O433" s="84" t="n">
        <f aca="false">IF($N433="مرتجع",0,K433*L433*(1-M433))</f>
        <v>4800</v>
      </c>
      <c r="P433" s="84" t="n">
        <f aca="false">IF($N433="مرتجع",0,K433*IFERROR(INDEX(p_Cost,MATCH($F433,p_ID,0)),0))</f>
        <v>3300</v>
      </c>
      <c r="Q433" s="84" t="n">
        <f aca="false">O433-P433</f>
        <v>1500</v>
      </c>
      <c r="R433" s="86" t="n">
        <f aca="false">DATE(YEAR(B433),MONTH(B433),1)</f>
        <v>45992</v>
      </c>
      <c r="S433" s="83" t="str">
        <f aca="false">YEAR(B433)&amp;"-Q"&amp;ROUNDUP(MONTH(B433)/3,0)</f>
        <v>2025-Q4</v>
      </c>
      <c r="T433" s="87" t="n">
        <f aca="false">IF(O433&gt;0,Q433/O433,"")</f>
        <v>0.3125</v>
      </c>
      <c r="U433" s="84" t="n">
        <f aca="false">IF(O433&gt;0,O433,"")</f>
        <v>4800</v>
      </c>
    </row>
    <row r="434" customFormat="false" ht="15" hidden="false" customHeight="false" outlineLevel="0" collapsed="false">
      <c r="A434" s="81" t="s">
        <v>1077</v>
      </c>
      <c r="B434" s="82" t="n">
        <v>46022</v>
      </c>
      <c r="C434" s="81" t="s">
        <v>428</v>
      </c>
      <c r="D434" s="83" t="str">
        <f aca="false">IFERROR(INDEX(c_Name,MATCH($C434,c_ID,0)),"غير معرّف")</f>
        <v>عبدالله القحطاني</v>
      </c>
      <c r="E434" s="83" t="str">
        <f aca="false">IFERROR(INDEX(c_Region,MATCH($C434,c_ID,0)),"غير معرّف")</f>
        <v>الوسطى</v>
      </c>
      <c r="F434" s="81" t="s">
        <v>185</v>
      </c>
      <c r="G434" s="83" t="str">
        <f aca="false">IFERROR(INDEX(p_Name,MATCH($F434,p_ID,0)),"غير معرّف")</f>
        <v>ماكينة حلاقة</v>
      </c>
      <c r="H434" s="83" t="str">
        <f aca="false">IFERROR(INDEX(p_Cat,MATCH($F434,p_ID,0)),"غير معرّف")</f>
        <v>عناية شخصية</v>
      </c>
      <c r="I434" s="81" t="s">
        <v>449</v>
      </c>
      <c r="J434" s="81" t="s">
        <v>93</v>
      </c>
      <c r="K434" s="81" t="n">
        <v>1</v>
      </c>
      <c r="L434" s="84" t="n">
        <f aca="false">IFERROR(INDEX(p_Price,MATCH($F434,p_ID,0)),0)</f>
        <v>340</v>
      </c>
      <c r="M434" s="85" t="n">
        <v>0.05</v>
      </c>
      <c r="N434" s="81" t="s">
        <v>644</v>
      </c>
      <c r="O434" s="84" t="n">
        <f aca="false">IF($N434="مرتجع",0,K434*L434*(1-M434))</f>
        <v>323</v>
      </c>
      <c r="P434" s="84" t="n">
        <f aca="false">IF($N434="مرتجع",0,K434*IFERROR(INDEX(p_Cost,MATCH($F434,p_ID,0)),0))</f>
        <v>170</v>
      </c>
      <c r="Q434" s="84" t="n">
        <f aca="false">O434-P434</f>
        <v>153</v>
      </c>
      <c r="R434" s="86" t="n">
        <f aca="false">DATE(YEAR(B434),MONTH(B434),1)</f>
        <v>45992</v>
      </c>
      <c r="S434" s="83" t="str">
        <f aca="false">YEAR(B434)&amp;"-Q"&amp;ROUNDUP(MONTH(B434)/3,0)</f>
        <v>2025-Q4</v>
      </c>
      <c r="T434" s="87" t="n">
        <f aca="false">IF(O434&gt;0,Q434/O434,"")</f>
        <v>0.473684210526316</v>
      </c>
      <c r="U434" s="84" t="n">
        <f aca="false">IF(O434&gt;0,O434,"")</f>
        <v>323</v>
      </c>
    </row>
    <row r="435" customFormat="false" ht="15" hidden="false" customHeight="false" outlineLevel="0" collapsed="false">
      <c r="A435" s="81" t="s">
        <v>1078</v>
      </c>
      <c r="B435" s="82" t="n">
        <v>46022</v>
      </c>
      <c r="C435" s="81" t="s">
        <v>275</v>
      </c>
      <c r="D435" s="83" t="str">
        <f aca="false">IFERROR(INDEX(c_Name,MATCH($C435,c_ID,0)),"غير معرّف")</f>
        <v>طارق البلوي</v>
      </c>
      <c r="E435" s="83" t="str">
        <f aca="false">IFERROR(INDEX(c_Region,MATCH($C435,c_ID,0)),"غير معرّف")</f>
        <v>الشرقية</v>
      </c>
      <c r="F435" s="81" t="s">
        <v>170</v>
      </c>
      <c r="G435" s="83" t="str">
        <f aca="false">IFERROR(INDEX(p_Name,MATCH($F435,p_ID,0)),"غير معرّف")</f>
        <v>مكيف نقال</v>
      </c>
      <c r="H435" s="83" t="str">
        <f aca="false">IFERROR(INDEX(p_Cat,MATCH($F435,p_ID,0)),"غير معرّف")</f>
        <v>أجهزة منزلية</v>
      </c>
      <c r="I435" s="81" t="s">
        <v>463</v>
      </c>
      <c r="J435" s="81" t="s">
        <v>93</v>
      </c>
      <c r="K435" s="81" t="n">
        <v>1</v>
      </c>
      <c r="L435" s="84" t="n">
        <f aca="false">IFERROR(INDEX(p_Price,MATCH($F435,p_ID,0)),0)</f>
        <v>1900</v>
      </c>
      <c r="M435" s="85" t="n">
        <v>0</v>
      </c>
      <c r="N435" s="81" t="s">
        <v>644</v>
      </c>
      <c r="O435" s="84" t="n">
        <f aca="false">IF($N435="مرتجع",0,K435*L435*(1-M435))</f>
        <v>1900</v>
      </c>
      <c r="P435" s="84" t="n">
        <f aca="false">IF($N435="مرتجع",0,K435*IFERROR(INDEX(p_Cost,MATCH($F435,p_ID,0)),0))</f>
        <v>1350</v>
      </c>
      <c r="Q435" s="84" t="n">
        <f aca="false">O435-P435</f>
        <v>550</v>
      </c>
      <c r="R435" s="86" t="n">
        <f aca="false">DATE(YEAR(B435),MONTH(B435),1)</f>
        <v>45992</v>
      </c>
      <c r="S435" s="83" t="str">
        <f aca="false">YEAR(B435)&amp;"-Q"&amp;ROUNDUP(MONTH(B435)/3,0)</f>
        <v>2025-Q4</v>
      </c>
      <c r="T435" s="87" t="n">
        <f aca="false">IF(O435&gt;0,Q435/O435,"")</f>
        <v>0.289473684210526</v>
      </c>
      <c r="U435" s="84" t="n">
        <f aca="false">IF(O435&gt;0,O435,"")</f>
        <v>1900</v>
      </c>
    </row>
    <row r="436" customFormat="false" ht="15" hidden="false" customHeight="false" outlineLevel="0" collapsed="false">
      <c r="A436" s="81" t="s">
        <v>1079</v>
      </c>
      <c r="B436" s="82" t="n">
        <v>46022</v>
      </c>
      <c r="C436" s="81" t="s">
        <v>303</v>
      </c>
      <c r="D436" s="83" t="str">
        <f aca="false">IFERROR(INDEX(c_Name,MATCH($C436,c_ID,0)),"غير معرّف")</f>
        <v>ناصر الحسيني</v>
      </c>
      <c r="E436" s="83" t="str">
        <f aca="false">IFERROR(INDEX(c_Region,MATCH($C436,c_ID,0)),"غير معرّف")</f>
        <v>الشرقية</v>
      </c>
      <c r="F436" s="81" t="s">
        <v>182</v>
      </c>
      <c r="G436" s="83" t="str">
        <f aca="false">IFERROR(INDEX(p_Name,MATCH($F436,p_ID,0)),"غير معرّف")</f>
        <v>طقم أوزان</v>
      </c>
      <c r="H436" s="83" t="str">
        <f aca="false">IFERROR(INDEX(p_Cat,MATCH($F436,p_ID,0)),"غير معرّف")</f>
        <v>رياضة</v>
      </c>
      <c r="I436" s="81" t="s">
        <v>463</v>
      </c>
      <c r="J436" s="81" t="s">
        <v>91</v>
      </c>
      <c r="K436" s="81" t="n">
        <v>2</v>
      </c>
      <c r="L436" s="84" t="n">
        <f aca="false">IFERROR(INDEX(p_Price,MATCH($F436,p_ID,0)),0)</f>
        <v>380</v>
      </c>
      <c r="M436" s="85" t="n">
        <v>0</v>
      </c>
      <c r="N436" s="81" t="s">
        <v>644</v>
      </c>
      <c r="O436" s="84" t="n">
        <f aca="false">IF($N436="مرتجع",0,K436*L436*(1-M436))</f>
        <v>760</v>
      </c>
      <c r="P436" s="84" t="n">
        <f aca="false">IF($N436="مرتجع",0,K436*IFERROR(INDEX(p_Cost,MATCH($F436,p_ID,0)),0))</f>
        <v>420</v>
      </c>
      <c r="Q436" s="84" t="n">
        <f aca="false">O436-P436</f>
        <v>340</v>
      </c>
      <c r="R436" s="86" t="n">
        <f aca="false">DATE(YEAR(B436),MONTH(B436),1)</f>
        <v>45992</v>
      </c>
      <c r="S436" s="83" t="str">
        <f aca="false">YEAR(B436)&amp;"-Q"&amp;ROUNDUP(MONTH(B436)/3,0)</f>
        <v>2025-Q4</v>
      </c>
      <c r="T436" s="87" t="n">
        <f aca="false">IF(O436&gt;0,Q436/O436,"")</f>
        <v>0.447368421052632</v>
      </c>
      <c r="U436" s="84" t="n">
        <f aca="false">IF(O436&gt;0,O436,"")</f>
        <v>760</v>
      </c>
    </row>
    <row r="437" customFormat="false" ht="15" hidden="false" customHeight="false" outlineLevel="0" collapsed="false">
      <c r="A437" s="81" t="s">
        <v>1080</v>
      </c>
      <c r="B437" s="82" t="n">
        <v>46023</v>
      </c>
      <c r="C437" s="81" t="s">
        <v>263</v>
      </c>
      <c r="D437" s="83" t="str">
        <f aca="false">IFERROR(INDEX(c_Name,MATCH($C437,c_ID,0)),"غير معرّف")</f>
        <v>سارة الخالدي</v>
      </c>
      <c r="E437" s="83" t="str">
        <f aca="false">IFERROR(INDEX(c_Region,MATCH($C437,c_ID,0)),"غير معرّف")</f>
        <v>الغربية</v>
      </c>
      <c r="F437" s="81" t="s">
        <v>172</v>
      </c>
      <c r="G437" s="83" t="str">
        <f aca="false">IFERROR(INDEX(p_Name,MATCH($F437,p_ID,0)),"غير معرّف")</f>
        <v>مكتب عمل</v>
      </c>
      <c r="H437" s="83" t="str">
        <f aca="false">IFERROR(INDEX(p_Cat,MATCH($F437,p_ID,0)),"غير معرّف")</f>
        <v>أثاث</v>
      </c>
      <c r="I437" s="81" t="s">
        <v>458</v>
      </c>
      <c r="J437" s="81" t="s">
        <v>95</v>
      </c>
      <c r="K437" s="81" t="n">
        <v>1</v>
      </c>
      <c r="L437" s="84" t="n">
        <f aca="false">IFERROR(INDEX(p_Price,MATCH($F437,p_ID,0)),0)</f>
        <v>1200</v>
      </c>
      <c r="M437" s="85" t="n">
        <v>0.2</v>
      </c>
      <c r="N437" s="81" t="s">
        <v>644</v>
      </c>
      <c r="O437" s="84" t="n">
        <f aca="false">IF($N437="مرتجع",0,K437*L437*(1-M437))</f>
        <v>960</v>
      </c>
      <c r="P437" s="84" t="n">
        <f aca="false">IF($N437="مرتجع",0,K437*IFERROR(INDEX(p_Cost,MATCH($F437,p_ID,0)),0))</f>
        <v>700</v>
      </c>
      <c r="Q437" s="84" t="n">
        <f aca="false">O437-P437</f>
        <v>260</v>
      </c>
      <c r="R437" s="86" t="n">
        <f aca="false">DATE(YEAR(B437),MONTH(B437),1)</f>
        <v>46023</v>
      </c>
      <c r="S437" s="83" t="str">
        <f aca="false">YEAR(B437)&amp;"-Q"&amp;ROUNDUP(MONTH(B437)/3,0)</f>
        <v>2026-Q1</v>
      </c>
      <c r="T437" s="87" t="n">
        <f aca="false">IF(O437&gt;0,Q437/O437,"")</f>
        <v>0.270833333333333</v>
      </c>
      <c r="U437" s="84" t="n">
        <f aca="false">IF(O437&gt;0,O437,"")</f>
        <v>960</v>
      </c>
    </row>
    <row r="438" customFormat="false" ht="15" hidden="false" customHeight="false" outlineLevel="0" collapsed="false">
      <c r="A438" s="81" t="s">
        <v>1081</v>
      </c>
      <c r="B438" s="82" t="n">
        <v>46023</v>
      </c>
      <c r="C438" s="81" t="s">
        <v>251</v>
      </c>
      <c r="D438" s="83" t="str">
        <f aca="false">IFERROR(INDEX(c_Name,MATCH($C438,c_ID,0)),"غير معرّف")</f>
        <v>ليلى البلوي</v>
      </c>
      <c r="E438" s="83" t="str">
        <f aca="false">IFERROR(INDEX(c_Region,MATCH($C438,c_ID,0)),"غير معرّف")</f>
        <v>الجنوبية</v>
      </c>
      <c r="F438" s="81" t="s">
        <v>169</v>
      </c>
      <c r="G438" s="83" t="str">
        <f aca="false">IFERROR(INDEX(p_Name,MATCH($F438,p_ID,0)),"غير معرّف")</f>
        <v>خلاط</v>
      </c>
      <c r="H438" s="83" t="str">
        <f aca="false">IFERROR(INDEX(p_Cat,MATCH($F438,p_ID,0)),"غير معرّف")</f>
        <v>أجهزة منزلية</v>
      </c>
      <c r="I438" s="81" t="s">
        <v>467</v>
      </c>
      <c r="J438" s="81" t="s">
        <v>93</v>
      </c>
      <c r="K438" s="81" t="n">
        <v>8</v>
      </c>
      <c r="L438" s="84" t="n">
        <f aca="false">IFERROR(INDEX(p_Price,MATCH($F438,p_ID,0)),0)</f>
        <v>300</v>
      </c>
      <c r="M438" s="85" t="n">
        <v>0.15</v>
      </c>
      <c r="N438" s="81" t="s">
        <v>644</v>
      </c>
      <c r="O438" s="84" t="n">
        <f aca="false">IF($N438="مرتجع",0,K438*L438*(1-M438))</f>
        <v>2040</v>
      </c>
      <c r="P438" s="84" t="n">
        <f aca="false">IF($N438="مرتجع",0,K438*IFERROR(INDEX(p_Cost,MATCH($F438,p_ID,0)),0))</f>
        <v>1400</v>
      </c>
      <c r="Q438" s="84" t="n">
        <f aca="false">O438-P438</f>
        <v>640</v>
      </c>
      <c r="R438" s="86" t="n">
        <f aca="false">DATE(YEAR(B438),MONTH(B438),1)</f>
        <v>46023</v>
      </c>
      <c r="S438" s="83" t="str">
        <f aca="false">YEAR(B438)&amp;"-Q"&amp;ROUNDUP(MONTH(B438)/3,0)</f>
        <v>2026-Q1</v>
      </c>
      <c r="T438" s="87" t="n">
        <f aca="false">IF(O438&gt;0,Q438/O438,"")</f>
        <v>0.313725490196078</v>
      </c>
      <c r="U438" s="84" t="n">
        <f aca="false">IF(O438&gt;0,O438,"")</f>
        <v>2040</v>
      </c>
    </row>
    <row r="439" customFormat="false" ht="15" hidden="false" customHeight="false" outlineLevel="0" collapsed="false">
      <c r="A439" s="81" t="s">
        <v>1082</v>
      </c>
      <c r="B439" s="82" t="n">
        <v>46023</v>
      </c>
      <c r="C439" s="81" t="s">
        <v>387</v>
      </c>
      <c r="D439" s="83" t="str">
        <f aca="false">IFERROR(INDEX(c_Name,MATCH($C439,c_ID,0)),"غير معرّف")</f>
        <v>لمى الشمري</v>
      </c>
      <c r="E439" s="83" t="str">
        <f aca="false">IFERROR(INDEX(c_Region,MATCH($C439,c_ID,0)),"غير معرّف")</f>
        <v>الوسطى</v>
      </c>
      <c r="F439" s="81" t="s">
        <v>177</v>
      </c>
      <c r="G439" s="83" t="str">
        <f aca="false">IFERROR(INDEX(p_Name,MATCH($F439,p_ID,0)),"غير معرّف")</f>
        <v>ورق A4 (صندوق)</v>
      </c>
      <c r="H439" s="83" t="str">
        <f aca="false">IFERROR(INDEX(p_Cat,MATCH($F439,p_ID,0)),"غير معرّف")</f>
        <v>مستلزمات مكتبية</v>
      </c>
      <c r="I439" s="81" t="s">
        <v>446</v>
      </c>
      <c r="J439" s="81" t="s">
        <v>91</v>
      </c>
      <c r="K439" s="81" t="n">
        <v>1</v>
      </c>
      <c r="L439" s="84" t="n">
        <f aca="false">IFERROR(INDEX(p_Price,MATCH($F439,p_ID,0)),0)</f>
        <v>140</v>
      </c>
      <c r="M439" s="85" t="n">
        <v>0.05</v>
      </c>
      <c r="N439" s="81" t="s">
        <v>644</v>
      </c>
      <c r="O439" s="84" t="n">
        <f aca="false">IF($N439="مرتجع",0,K439*L439*(1-M439))</f>
        <v>133</v>
      </c>
      <c r="P439" s="84" t="n">
        <f aca="false">IF($N439="مرتجع",0,K439*IFERROR(INDEX(p_Cost,MATCH($F439,p_ID,0)),0))</f>
        <v>95</v>
      </c>
      <c r="Q439" s="84" t="n">
        <f aca="false">O439-P439</f>
        <v>38</v>
      </c>
      <c r="R439" s="86" t="n">
        <f aca="false">DATE(YEAR(B439),MONTH(B439),1)</f>
        <v>46023</v>
      </c>
      <c r="S439" s="83" t="str">
        <f aca="false">YEAR(B439)&amp;"-Q"&amp;ROUNDUP(MONTH(B439)/3,0)</f>
        <v>2026-Q1</v>
      </c>
      <c r="T439" s="87" t="n">
        <f aca="false">IF(O439&gt;0,Q439/O439,"")</f>
        <v>0.285714285714286</v>
      </c>
      <c r="U439" s="84" t="n">
        <f aca="false">IF(O439&gt;0,O439,"")</f>
        <v>133</v>
      </c>
    </row>
    <row r="440" customFormat="false" ht="15" hidden="false" customHeight="false" outlineLevel="0" collapsed="false">
      <c r="A440" s="81" t="s">
        <v>1083</v>
      </c>
      <c r="B440" s="82" t="n">
        <v>46023</v>
      </c>
      <c r="C440" s="81" t="s">
        <v>265</v>
      </c>
      <c r="D440" s="83" t="str">
        <f aca="false">IFERROR(INDEX(c_Name,MATCH($C440,c_ID,0)),"غير معرّف")</f>
        <v>منى العنزي</v>
      </c>
      <c r="E440" s="83" t="str">
        <f aca="false">IFERROR(INDEX(c_Region,MATCH($C440,c_ID,0)),"غير معرّف")</f>
        <v>الشرقية</v>
      </c>
      <c r="F440" s="81" t="s">
        <v>178</v>
      </c>
      <c r="G440" s="83" t="str">
        <f aca="false">IFERROR(INDEX(p_Name,MATCH($F440,p_ID,0)),"غير معرّف")</f>
        <v>حقيبة لابتوب</v>
      </c>
      <c r="H440" s="83" t="str">
        <f aca="false">IFERROR(INDEX(p_Cat,MATCH($F440,p_ID,0)),"غير معرّف")</f>
        <v>مستلزمات مكتبية</v>
      </c>
      <c r="I440" s="81" t="s">
        <v>463</v>
      </c>
      <c r="J440" s="81" t="s">
        <v>93</v>
      </c>
      <c r="K440" s="81" t="n">
        <v>5</v>
      </c>
      <c r="L440" s="84" t="n">
        <f aca="false">IFERROR(INDEX(p_Price,MATCH($F440,p_ID,0)),0)</f>
        <v>260</v>
      </c>
      <c r="M440" s="85" t="n">
        <v>0.05</v>
      </c>
      <c r="N440" s="81" t="s">
        <v>644</v>
      </c>
      <c r="O440" s="84" t="n">
        <f aca="false">IF($N440="مرتجع",0,K440*L440*(1-M440))</f>
        <v>1235</v>
      </c>
      <c r="P440" s="84" t="n">
        <f aca="false">IF($N440="مرتجع",0,K440*IFERROR(INDEX(p_Cost,MATCH($F440,p_ID,0)),0))</f>
        <v>600</v>
      </c>
      <c r="Q440" s="84" t="n">
        <f aca="false">O440-P440</f>
        <v>635</v>
      </c>
      <c r="R440" s="86" t="n">
        <f aca="false">DATE(YEAR(B440),MONTH(B440),1)</f>
        <v>46023</v>
      </c>
      <c r="S440" s="83" t="str">
        <f aca="false">YEAR(B440)&amp;"-Q"&amp;ROUNDUP(MONTH(B440)/3,0)</f>
        <v>2026-Q1</v>
      </c>
      <c r="T440" s="87" t="n">
        <f aca="false">IF(O440&gt;0,Q440/O440,"")</f>
        <v>0.51417004048583</v>
      </c>
      <c r="U440" s="84" t="n">
        <f aca="false">IF(O440&gt;0,O440,"")</f>
        <v>1235</v>
      </c>
    </row>
    <row r="441" customFormat="false" ht="15" hidden="false" customHeight="false" outlineLevel="0" collapsed="false">
      <c r="A441" s="81" t="s">
        <v>1084</v>
      </c>
      <c r="B441" s="82" t="n">
        <v>46024</v>
      </c>
      <c r="C441" s="81" t="s">
        <v>267</v>
      </c>
      <c r="D441" s="83" t="str">
        <f aca="false">IFERROR(INDEX(c_Name,MATCH($C441,c_ID,0)),"غير معرّف")</f>
        <v>منى الدوسري</v>
      </c>
      <c r="E441" s="83" t="str">
        <f aca="false">IFERROR(INDEX(c_Region,MATCH($C441,c_ID,0)),"غير معرّف")</f>
        <v>الوسطى</v>
      </c>
      <c r="F441" s="81" t="s">
        <v>181</v>
      </c>
      <c r="G441" s="83" t="str">
        <f aca="false">IFERROR(INDEX(p_Name,MATCH($F441,p_ID,0)),"غير معرّف")</f>
        <v>دراجة ثابتة</v>
      </c>
      <c r="H441" s="83" t="str">
        <f aca="false">IFERROR(INDEX(p_Cat,MATCH($F441,p_ID,0)),"غير معرّف")</f>
        <v>رياضة</v>
      </c>
      <c r="I441" s="81" t="s">
        <v>449</v>
      </c>
      <c r="J441" s="81" t="s">
        <v>91</v>
      </c>
      <c r="K441" s="81" t="n">
        <v>1</v>
      </c>
      <c r="L441" s="84" t="n">
        <f aca="false">IFERROR(INDEX(p_Price,MATCH($F441,p_ID,0)),0)</f>
        <v>1800</v>
      </c>
      <c r="M441" s="85" t="n">
        <v>0.2</v>
      </c>
      <c r="N441" s="81" t="s">
        <v>644</v>
      </c>
      <c r="O441" s="84" t="n">
        <f aca="false">IF($N441="مرتجع",0,K441*L441*(1-M441))</f>
        <v>1440</v>
      </c>
      <c r="P441" s="84" t="n">
        <f aca="false">IF($N441="مرتجع",0,K441*IFERROR(INDEX(p_Cost,MATCH($F441,p_ID,0)),0))</f>
        <v>1200</v>
      </c>
      <c r="Q441" s="84" t="n">
        <f aca="false">O441-P441</f>
        <v>240</v>
      </c>
      <c r="R441" s="86" t="n">
        <f aca="false">DATE(YEAR(B441),MONTH(B441),1)</f>
        <v>46023</v>
      </c>
      <c r="S441" s="83" t="str">
        <f aca="false">YEAR(B441)&amp;"-Q"&amp;ROUNDUP(MONTH(B441)/3,0)</f>
        <v>2026-Q1</v>
      </c>
      <c r="T441" s="87" t="n">
        <f aca="false">IF(O441&gt;0,Q441/O441,"")</f>
        <v>0.166666666666667</v>
      </c>
      <c r="U441" s="84" t="n">
        <f aca="false">IF(O441&gt;0,O441,"")</f>
        <v>1440</v>
      </c>
    </row>
    <row r="442" customFormat="false" ht="15" hidden="false" customHeight="false" outlineLevel="0" collapsed="false">
      <c r="A442" s="81" t="s">
        <v>1085</v>
      </c>
      <c r="B442" s="82" t="n">
        <v>46024</v>
      </c>
      <c r="C442" s="81" t="s">
        <v>402</v>
      </c>
      <c r="D442" s="83" t="str">
        <f aca="false">IFERROR(INDEX(c_Name,MATCH($C442,c_ID,0)),"غير معرّف")</f>
        <v>أحمد القحطاني</v>
      </c>
      <c r="E442" s="83" t="str">
        <f aca="false">IFERROR(INDEX(c_Region,MATCH($C442,c_ID,0)),"غير معرّف")</f>
        <v>الوسطى</v>
      </c>
      <c r="F442" s="81" t="s">
        <v>174</v>
      </c>
      <c r="G442" s="83" t="str">
        <f aca="false">IFERROR(INDEX(p_Name,MATCH($F442,p_ID,0)),"غير معرّف")</f>
        <v>خزانة ملفات</v>
      </c>
      <c r="H442" s="83" t="str">
        <f aca="false">IFERROR(INDEX(p_Cat,MATCH($F442,p_ID,0)),"غير معرّف")</f>
        <v>أثاث</v>
      </c>
      <c r="I442" s="81" t="s">
        <v>443</v>
      </c>
      <c r="J442" s="81" t="s">
        <v>95</v>
      </c>
      <c r="K442" s="81" t="n">
        <v>23</v>
      </c>
      <c r="L442" s="84" t="n">
        <f aca="false">IFERROR(INDEX(p_Price,MATCH($F442,p_ID,0)),0)</f>
        <v>700</v>
      </c>
      <c r="M442" s="85" t="n">
        <v>0</v>
      </c>
      <c r="N442" s="81" t="s">
        <v>644</v>
      </c>
      <c r="O442" s="84" t="n">
        <f aca="false">IF($N442="مرتجع",0,K442*L442*(1-M442))</f>
        <v>16100</v>
      </c>
      <c r="P442" s="84" t="n">
        <f aca="false">IF($N442="مرتجع",0,K442*IFERROR(INDEX(p_Cost,MATCH($F442,p_ID,0)),0))</f>
        <v>9430</v>
      </c>
      <c r="Q442" s="84" t="n">
        <f aca="false">O442-P442</f>
        <v>6670</v>
      </c>
      <c r="R442" s="86" t="n">
        <f aca="false">DATE(YEAR(B442),MONTH(B442),1)</f>
        <v>46023</v>
      </c>
      <c r="S442" s="83" t="str">
        <f aca="false">YEAR(B442)&amp;"-Q"&amp;ROUNDUP(MONTH(B442)/3,0)</f>
        <v>2026-Q1</v>
      </c>
      <c r="T442" s="87" t="n">
        <f aca="false">IF(O442&gt;0,Q442/O442,"")</f>
        <v>0.414285714285714</v>
      </c>
      <c r="U442" s="84" t="n">
        <f aca="false">IF(O442&gt;0,O442,"")</f>
        <v>16100</v>
      </c>
    </row>
    <row r="443" customFormat="false" ht="15" hidden="false" customHeight="false" outlineLevel="0" collapsed="false">
      <c r="A443" s="81" t="s">
        <v>1086</v>
      </c>
      <c r="B443" s="82" t="n">
        <v>46024</v>
      </c>
      <c r="C443" s="81" t="s">
        <v>404</v>
      </c>
      <c r="D443" s="83" t="str">
        <f aca="false">IFERROR(INDEX(c_Name,MATCH($C443,c_ID,0)),"غير معرّف")</f>
        <v>عبدالله الحسيني</v>
      </c>
      <c r="E443" s="83" t="str">
        <f aca="false">IFERROR(INDEX(c_Region,MATCH($C443,c_ID,0)),"غير معرّف")</f>
        <v>الشرقية</v>
      </c>
      <c r="F443" s="81" t="s">
        <v>169</v>
      </c>
      <c r="G443" s="83" t="str">
        <f aca="false">IFERROR(INDEX(p_Name,MATCH($F443,p_ID,0)),"غير معرّف")</f>
        <v>خلاط</v>
      </c>
      <c r="H443" s="83" t="str">
        <f aca="false">IFERROR(INDEX(p_Cat,MATCH($F443,p_ID,0)),"غير معرّف")</f>
        <v>أجهزة منزلية</v>
      </c>
      <c r="I443" s="81" t="s">
        <v>463</v>
      </c>
      <c r="J443" s="81" t="s">
        <v>91</v>
      </c>
      <c r="K443" s="81" t="n">
        <v>1</v>
      </c>
      <c r="L443" s="84" t="n">
        <f aca="false">IFERROR(INDEX(p_Price,MATCH($F443,p_ID,0)),0)</f>
        <v>300</v>
      </c>
      <c r="M443" s="85" t="n">
        <v>0</v>
      </c>
      <c r="N443" s="81" t="s">
        <v>644</v>
      </c>
      <c r="O443" s="84" t="n">
        <f aca="false">IF($N443="مرتجع",0,K443*L443*(1-M443))</f>
        <v>300</v>
      </c>
      <c r="P443" s="84" t="n">
        <f aca="false">IF($N443="مرتجع",0,K443*IFERROR(INDEX(p_Cost,MATCH($F443,p_ID,0)),0))</f>
        <v>175</v>
      </c>
      <c r="Q443" s="84" t="n">
        <f aca="false">O443-P443</f>
        <v>125</v>
      </c>
      <c r="R443" s="86" t="n">
        <f aca="false">DATE(YEAR(B443),MONTH(B443),1)</f>
        <v>46023</v>
      </c>
      <c r="S443" s="83" t="str">
        <f aca="false">YEAR(B443)&amp;"-Q"&amp;ROUNDUP(MONTH(B443)/3,0)</f>
        <v>2026-Q1</v>
      </c>
      <c r="T443" s="87" t="n">
        <f aca="false">IF(O443&gt;0,Q443/O443,"")</f>
        <v>0.416666666666667</v>
      </c>
      <c r="U443" s="84" t="n">
        <f aca="false">IF(O443&gt;0,O443,"")</f>
        <v>300</v>
      </c>
    </row>
    <row r="444" customFormat="false" ht="15" hidden="false" customHeight="false" outlineLevel="0" collapsed="false">
      <c r="A444" s="81" t="s">
        <v>1087</v>
      </c>
      <c r="B444" s="82" t="n">
        <v>46024</v>
      </c>
      <c r="C444" s="81" t="s">
        <v>248</v>
      </c>
      <c r="D444" s="83" t="str">
        <f aca="false">IFERROR(INDEX(c_Name,MATCH($C444,c_ID,0)),"غير معرّف")</f>
        <v>خالد الشهري</v>
      </c>
      <c r="E444" s="83" t="str">
        <f aca="false">IFERROR(INDEX(c_Region,MATCH($C444,c_ID,0)),"غير معرّف")</f>
        <v>الوسطى</v>
      </c>
      <c r="F444" s="81" t="s">
        <v>186</v>
      </c>
      <c r="G444" s="83" t="str">
        <f aca="false">IFERROR(INDEX(p_Name,MATCH($F444,p_ID,0)),"غير معرّف")</f>
        <v>مجفف شعر</v>
      </c>
      <c r="H444" s="83" t="str">
        <f aca="false">IFERROR(INDEX(p_Cat,MATCH($F444,p_ID,0)),"غير معرّف")</f>
        <v>عناية شخصية</v>
      </c>
      <c r="I444" s="81" t="s">
        <v>446</v>
      </c>
      <c r="J444" s="81" t="s">
        <v>91</v>
      </c>
      <c r="K444" s="81" t="n">
        <v>1</v>
      </c>
      <c r="L444" s="84" t="n">
        <f aca="false">IFERROR(INDEX(p_Price,MATCH($F444,p_ID,0)),0)</f>
        <v>280</v>
      </c>
      <c r="M444" s="85" t="n">
        <v>0</v>
      </c>
      <c r="N444" s="81" t="s">
        <v>644</v>
      </c>
      <c r="O444" s="84" t="n">
        <f aca="false">IF($N444="مرتجع",0,K444*L444*(1-M444))</f>
        <v>280</v>
      </c>
      <c r="P444" s="84" t="n">
        <f aca="false">IF($N444="مرتجع",0,K444*IFERROR(INDEX(p_Cost,MATCH($F444,p_ID,0)),0))</f>
        <v>140</v>
      </c>
      <c r="Q444" s="84" t="n">
        <f aca="false">O444-P444</f>
        <v>140</v>
      </c>
      <c r="R444" s="86" t="n">
        <f aca="false">DATE(YEAR(B444),MONTH(B444),1)</f>
        <v>46023</v>
      </c>
      <c r="S444" s="83" t="str">
        <f aca="false">YEAR(B444)&amp;"-Q"&amp;ROUNDUP(MONTH(B444)/3,0)</f>
        <v>2026-Q1</v>
      </c>
      <c r="T444" s="87" t="n">
        <f aca="false">IF(O444&gt;0,Q444/O444,"")</f>
        <v>0.5</v>
      </c>
      <c r="U444" s="84" t="n">
        <f aca="false">IF(O444&gt;0,O444,"")</f>
        <v>280</v>
      </c>
    </row>
    <row r="445" customFormat="false" ht="15" hidden="false" customHeight="false" outlineLevel="0" collapsed="false">
      <c r="A445" s="81" t="s">
        <v>1088</v>
      </c>
      <c r="B445" s="82" t="n">
        <v>46024</v>
      </c>
      <c r="C445" s="81" t="s">
        <v>415</v>
      </c>
      <c r="D445" s="83" t="str">
        <f aca="false">IFERROR(INDEX(c_Name,MATCH($C445,c_ID,0)),"غير معرّف")</f>
        <v>سارة القحطاني</v>
      </c>
      <c r="E445" s="83" t="str">
        <f aca="false">IFERROR(INDEX(c_Region,MATCH($C445,c_ID,0)),"غير معرّف")</f>
        <v>الشرقية</v>
      </c>
      <c r="F445" s="81" t="s">
        <v>168</v>
      </c>
      <c r="G445" s="83" t="str">
        <f aca="false">IFERROR(INDEX(p_Name,MATCH($F445,p_ID,0)),"غير معرّف")</f>
        <v>مكنسة كهربائية</v>
      </c>
      <c r="H445" s="83" t="str">
        <f aca="false">IFERROR(INDEX(p_Cat,MATCH($F445,p_ID,0)),"غير معرّف")</f>
        <v>أجهزة منزلية</v>
      </c>
      <c r="I445" s="81" t="s">
        <v>463</v>
      </c>
      <c r="J445" s="81" t="s">
        <v>93</v>
      </c>
      <c r="K445" s="81" t="n">
        <v>1</v>
      </c>
      <c r="L445" s="84" t="n">
        <f aca="false">IFERROR(INDEX(p_Price,MATCH($F445,p_ID,0)),0)</f>
        <v>650</v>
      </c>
      <c r="M445" s="85" t="n">
        <v>0</v>
      </c>
      <c r="N445" s="81" t="s">
        <v>644</v>
      </c>
      <c r="O445" s="84" t="n">
        <f aca="false">IF($N445="مرتجع",0,K445*L445*(1-M445))</f>
        <v>650</v>
      </c>
      <c r="P445" s="84" t="n">
        <f aca="false">IF($N445="مرتجع",0,K445*IFERROR(INDEX(p_Cost,MATCH($F445,p_ID,0)),0))</f>
        <v>420</v>
      </c>
      <c r="Q445" s="84" t="n">
        <f aca="false">O445-P445</f>
        <v>230</v>
      </c>
      <c r="R445" s="86" t="n">
        <f aca="false">DATE(YEAR(B445),MONTH(B445),1)</f>
        <v>46023</v>
      </c>
      <c r="S445" s="83" t="str">
        <f aca="false">YEAR(B445)&amp;"-Q"&amp;ROUNDUP(MONTH(B445)/3,0)</f>
        <v>2026-Q1</v>
      </c>
      <c r="T445" s="87" t="n">
        <f aca="false">IF(O445&gt;0,Q445/O445,"")</f>
        <v>0.353846153846154</v>
      </c>
      <c r="U445" s="84" t="n">
        <f aca="false">IF(O445&gt;0,O445,"")</f>
        <v>650</v>
      </c>
    </row>
    <row r="446" customFormat="false" ht="15" hidden="false" customHeight="false" outlineLevel="0" collapsed="false">
      <c r="A446" s="81" t="s">
        <v>1089</v>
      </c>
      <c r="B446" s="82" t="n">
        <v>46024</v>
      </c>
      <c r="C446" s="81" t="s">
        <v>259</v>
      </c>
      <c r="D446" s="83" t="str">
        <f aca="false">IFERROR(INDEX(c_Name,MATCH($C446,c_ID,0)),"غير معرّف")</f>
        <v>عبير العتيبي</v>
      </c>
      <c r="E446" s="83" t="str">
        <f aca="false">IFERROR(INDEX(c_Region,MATCH($C446,c_ID,0)),"غير معرّف")</f>
        <v>الوسطى</v>
      </c>
      <c r="F446" s="81" t="s">
        <v>179</v>
      </c>
      <c r="G446" s="83" t="str">
        <f aca="false">IFERROR(INDEX(p_Name,MATCH($F446,p_ID,0)),"غير معرّف")</f>
        <v>طقم أدوات مكتبية</v>
      </c>
      <c r="H446" s="83" t="str">
        <f aca="false">IFERROR(INDEX(p_Cat,MATCH($F446,p_ID,0)),"غير معرّف")</f>
        <v>مستلزمات مكتبية</v>
      </c>
      <c r="I446" s="81" t="s">
        <v>443</v>
      </c>
      <c r="J446" s="81" t="s">
        <v>93</v>
      </c>
      <c r="K446" s="81" t="n">
        <v>1</v>
      </c>
      <c r="L446" s="84" t="n">
        <f aca="false">IFERROR(INDEX(p_Price,MATCH($F446,p_ID,0)),0)</f>
        <v>90</v>
      </c>
      <c r="M446" s="85" t="n">
        <v>0.05</v>
      </c>
      <c r="N446" s="81" t="s">
        <v>644</v>
      </c>
      <c r="O446" s="84" t="n">
        <f aca="false">IF($N446="مرتجع",0,K446*L446*(1-M446))</f>
        <v>85.5</v>
      </c>
      <c r="P446" s="84" t="n">
        <f aca="false">IF($N446="مرتجع",0,K446*IFERROR(INDEX(p_Cost,MATCH($F446,p_ID,0)),0))</f>
        <v>45</v>
      </c>
      <c r="Q446" s="84" t="n">
        <f aca="false">O446-P446</f>
        <v>40.5</v>
      </c>
      <c r="R446" s="86" t="n">
        <f aca="false">DATE(YEAR(B446),MONTH(B446),1)</f>
        <v>46023</v>
      </c>
      <c r="S446" s="83" t="str">
        <f aca="false">YEAR(B446)&amp;"-Q"&amp;ROUNDUP(MONTH(B446)/3,0)</f>
        <v>2026-Q1</v>
      </c>
      <c r="T446" s="87" t="n">
        <f aca="false">IF(O446&gt;0,Q446/O446,"")</f>
        <v>0.473684210526316</v>
      </c>
      <c r="U446" s="84" t="n">
        <f aca="false">IF(O446&gt;0,O446,"")</f>
        <v>85.5</v>
      </c>
    </row>
    <row r="447" customFormat="false" ht="15" hidden="false" customHeight="false" outlineLevel="0" collapsed="false">
      <c r="A447" s="81" t="s">
        <v>1090</v>
      </c>
      <c r="B447" s="82" t="n">
        <v>46025</v>
      </c>
      <c r="C447" s="81" t="s">
        <v>426</v>
      </c>
      <c r="D447" s="83" t="str">
        <f aca="false">IFERROR(INDEX(c_Name,MATCH($C447,c_ID,0)),"غير معرّف")</f>
        <v>لمى البلوي</v>
      </c>
      <c r="E447" s="83" t="str">
        <f aca="false">IFERROR(INDEX(c_Region,MATCH($C447,c_ID,0)),"غير معرّف")</f>
        <v>الشرقية</v>
      </c>
      <c r="F447" s="81" t="s">
        <v>185</v>
      </c>
      <c r="G447" s="83" t="str">
        <f aca="false">IFERROR(INDEX(p_Name,MATCH($F447,p_ID,0)),"غير معرّف")</f>
        <v>ماكينة حلاقة</v>
      </c>
      <c r="H447" s="83" t="str">
        <f aca="false">IFERROR(INDEX(p_Cat,MATCH($F447,p_ID,0)),"غير معرّف")</f>
        <v>عناية شخصية</v>
      </c>
      <c r="I447" s="81" t="s">
        <v>461</v>
      </c>
      <c r="J447" s="81" t="s">
        <v>91</v>
      </c>
      <c r="K447" s="81" t="n">
        <v>1</v>
      </c>
      <c r="L447" s="84" t="n">
        <f aca="false">IFERROR(INDEX(p_Price,MATCH($F447,p_ID,0)),0)</f>
        <v>340</v>
      </c>
      <c r="M447" s="85" t="n">
        <v>0</v>
      </c>
      <c r="N447" s="81" t="s">
        <v>644</v>
      </c>
      <c r="O447" s="84" t="n">
        <f aca="false">IF($N447="مرتجع",0,K447*L447*(1-M447))</f>
        <v>340</v>
      </c>
      <c r="P447" s="84" t="n">
        <f aca="false">IF($N447="مرتجع",0,K447*IFERROR(INDEX(p_Cost,MATCH($F447,p_ID,0)),0))</f>
        <v>170</v>
      </c>
      <c r="Q447" s="84" t="n">
        <f aca="false">O447-P447</f>
        <v>170</v>
      </c>
      <c r="R447" s="86" t="n">
        <f aca="false">DATE(YEAR(B447),MONTH(B447),1)</f>
        <v>46023</v>
      </c>
      <c r="S447" s="83" t="str">
        <f aca="false">YEAR(B447)&amp;"-Q"&amp;ROUNDUP(MONTH(B447)/3,0)</f>
        <v>2026-Q1</v>
      </c>
      <c r="T447" s="87" t="n">
        <f aca="false">IF(O447&gt;0,Q447/O447,"")</f>
        <v>0.5</v>
      </c>
      <c r="U447" s="84" t="n">
        <f aca="false">IF(O447&gt;0,O447,"")</f>
        <v>340</v>
      </c>
    </row>
    <row r="448" customFormat="false" ht="15" hidden="false" customHeight="false" outlineLevel="0" collapsed="false">
      <c r="A448" s="81" t="s">
        <v>1091</v>
      </c>
      <c r="B448" s="82" t="n">
        <v>46026</v>
      </c>
      <c r="C448" s="81" t="s">
        <v>244</v>
      </c>
      <c r="D448" s="83" t="str">
        <f aca="false">IFERROR(INDEX(c_Name,MATCH($C448,c_ID,0)),"غير معرّف")</f>
        <v>طارق الشهري</v>
      </c>
      <c r="E448" s="83" t="str">
        <f aca="false">IFERROR(INDEX(c_Region,MATCH($C448,c_ID,0)),"غير معرّف")</f>
        <v>الوسطى</v>
      </c>
      <c r="F448" s="81" t="s">
        <v>186</v>
      </c>
      <c r="G448" s="83" t="str">
        <f aca="false">IFERROR(INDEX(p_Name,MATCH($F448,p_ID,0)),"غير معرّف")</f>
        <v>مجفف شعر</v>
      </c>
      <c r="H448" s="83" t="str">
        <f aca="false">IFERROR(INDEX(p_Cat,MATCH($F448,p_ID,0)),"غير معرّف")</f>
        <v>عناية شخصية</v>
      </c>
      <c r="I448" s="81" t="s">
        <v>446</v>
      </c>
      <c r="J448" s="81" t="s">
        <v>91</v>
      </c>
      <c r="K448" s="81" t="n">
        <v>1</v>
      </c>
      <c r="L448" s="84" t="n">
        <f aca="false">IFERROR(INDEX(p_Price,MATCH($F448,p_ID,0)),0)</f>
        <v>280</v>
      </c>
      <c r="M448" s="85" t="n">
        <v>0.05</v>
      </c>
      <c r="N448" s="81" t="s">
        <v>644</v>
      </c>
      <c r="O448" s="84" t="n">
        <f aca="false">IF($N448="مرتجع",0,K448*L448*(1-M448))</f>
        <v>266</v>
      </c>
      <c r="P448" s="84" t="n">
        <f aca="false">IF($N448="مرتجع",0,K448*IFERROR(INDEX(p_Cost,MATCH($F448,p_ID,0)),0))</f>
        <v>140</v>
      </c>
      <c r="Q448" s="84" t="n">
        <f aca="false">O448-P448</f>
        <v>126</v>
      </c>
      <c r="R448" s="86" t="n">
        <f aca="false">DATE(YEAR(B448),MONTH(B448),1)</f>
        <v>46023</v>
      </c>
      <c r="S448" s="83" t="str">
        <f aca="false">YEAR(B448)&amp;"-Q"&amp;ROUNDUP(MONTH(B448)/3,0)</f>
        <v>2026-Q1</v>
      </c>
      <c r="T448" s="87" t="n">
        <f aca="false">IF(O448&gt;0,Q448/O448,"")</f>
        <v>0.473684210526316</v>
      </c>
      <c r="U448" s="84" t="n">
        <f aca="false">IF(O448&gt;0,O448,"")</f>
        <v>266</v>
      </c>
    </row>
    <row r="449" customFormat="false" ht="15" hidden="false" customHeight="false" outlineLevel="0" collapsed="false">
      <c r="A449" s="81" t="s">
        <v>1092</v>
      </c>
      <c r="B449" s="82" t="n">
        <v>46026</v>
      </c>
      <c r="C449" s="81" t="s">
        <v>275</v>
      </c>
      <c r="D449" s="83" t="str">
        <f aca="false">IFERROR(INDEX(c_Name,MATCH($C449,c_ID,0)),"غير معرّف")</f>
        <v>طارق البلوي</v>
      </c>
      <c r="E449" s="83" t="str">
        <f aca="false">IFERROR(INDEX(c_Region,MATCH($C449,c_ID,0)),"غير معرّف")</f>
        <v>الشرقية</v>
      </c>
      <c r="F449" s="81" t="s">
        <v>172</v>
      </c>
      <c r="G449" s="83" t="str">
        <f aca="false">IFERROR(INDEX(p_Name,MATCH($F449,p_ID,0)),"غير معرّف")</f>
        <v>مكتب عمل</v>
      </c>
      <c r="H449" s="83" t="str">
        <f aca="false">IFERROR(INDEX(p_Cat,MATCH($F449,p_ID,0)),"غير معرّف")</f>
        <v>أثاث</v>
      </c>
      <c r="I449" s="81" t="s">
        <v>463</v>
      </c>
      <c r="J449" s="81" t="s">
        <v>91</v>
      </c>
      <c r="K449" s="81" t="n">
        <v>1</v>
      </c>
      <c r="L449" s="84" t="n">
        <f aca="false">IFERROR(INDEX(p_Price,MATCH($F449,p_ID,0)),0)</f>
        <v>1200</v>
      </c>
      <c r="M449" s="85" t="n">
        <v>0.05</v>
      </c>
      <c r="N449" s="81" t="s">
        <v>644</v>
      </c>
      <c r="O449" s="84" t="n">
        <f aca="false">IF($N449="مرتجع",0,K449*L449*(1-M449))</f>
        <v>1140</v>
      </c>
      <c r="P449" s="84" t="n">
        <f aca="false">IF($N449="مرتجع",0,K449*IFERROR(INDEX(p_Cost,MATCH($F449,p_ID,0)),0))</f>
        <v>700</v>
      </c>
      <c r="Q449" s="84" t="n">
        <f aca="false">O449-P449</f>
        <v>440</v>
      </c>
      <c r="R449" s="86" t="n">
        <f aca="false">DATE(YEAR(B449),MONTH(B449),1)</f>
        <v>46023</v>
      </c>
      <c r="S449" s="83" t="str">
        <f aca="false">YEAR(B449)&amp;"-Q"&amp;ROUNDUP(MONTH(B449)/3,0)</f>
        <v>2026-Q1</v>
      </c>
      <c r="T449" s="87" t="n">
        <f aca="false">IF(O449&gt;0,Q449/O449,"")</f>
        <v>0.385964912280702</v>
      </c>
      <c r="U449" s="84" t="n">
        <f aca="false">IF(O449&gt;0,O449,"")</f>
        <v>1140</v>
      </c>
    </row>
    <row r="450" customFormat="false" ht="15" hidden="false" customHeight="false" outlineLevel="0" collapsed="false">
      <c r="A450" s="81" t="s">
        <v>1093</v>
      </c>
      <c r="B450" s="82" t="n">
        <v>46026</v>
      </c>
      <c r="C450" s="81" t="s">
        <v>279</v>
      </c>
      <c r="D450" s="83" t="str">
        <f aca="false">IFERROR(INDEX(c_Name,MATCH($C450,c_ID,0)),"غير معرّف")</f>
        <v>لمى القحطاني</v>
      </c>
      <c r="E450" s="83" t="str">
        <f aca="false">IFERROR(INDEX(c_Region,MATCH($C450,c_ID,0)),"غير معرّف")</f>
        <v>الجنوبية</v>
      </c>
      <c r="F450" s="81" t="s">
        <v>182</v>
      </c>
      <c r="G450" s="83" t="str">
        <f aca="false">IFERROR(INDEX(p_Name,MATCH($F450,p_ID,0)),"غير معرّف")</f>
        <v>طقم أوزان</v>
      </c>
      <c r="H450" s="83" t="str">
        <f aca="false">IFERROR(INDEX(p_Cat,MATCH($F450,p_ID,0)),"غير معرّف")</f>
        <v>رياضة</v>
      </c>
      <c r="I450" s="81" t="s">
        <v>465</v>
      </c>
      <c r="J450" s="81" t="s">
        <v>91</v>
      </c>
      <c r="K450" s="81" t="n">
        <v>1</v>
      </c>
      <c r="L450" s="84" t="n">
        <f aca="false">IFERROR(INDEX(p_Price,MATCH($F450,p_ID,0)),0)</f>
        <v>380</v>
      </c>
      <c r="M450" s="85" t="n">
        <v>0</v>
      </c>
      <c r="N450" s="81" t="s">
        <v>644</v>
      </c>
      <c r="O450" s="84" t="n">
        <f aca="false">IF($N450="مرتجع",0,K450*L450*(1-M450))</f>
        <v>380</v>
      </c>
      <c r="P450" s="84" t="n">
        <f aca="false">IF($N450="مرتجع",0,K450*IFERROR(INDEX(p_Cost,MATCH($F450,p_ID,0)),0))</f>
        <v>210</v>
      </c>
      <c r="Q450" s="84" t="n">
        <f aca="false">O450-P450</f>
        <v>170</v>
      </c>
      <c r="R450" s="86" t="n">
        <f aca="false">DATE(YEAR(B450),MONTH(B450),1)</f>
        <v>46023</v>
      </c>
      <c r="S450" s="83" t="str">
        <f aca="false">YEAR(B450)&amp;"-Q"&amp;ROUNDUP(MONTH(B450)/3,0)</f>
        <v>2026-Q1</v>
      </c>
      <c r="T450" s="87" t="n">
        <f aca="false">IF(O450&gt;0,Q450/O450,"")</f>
        <v>0.447368421052632</v>
      </c>
      <c r="U450" s="84" t="n">
        <f aca="false">IF(O450&gt;0,O450,"")</f>
        <v>380</v>
      </c>
    </row>
    <row r="451" customFormat="false" ht="15" hidden="false" customHeight="false" outlineLevel="0" collapsed="false">
      <c r="A451" s="81" t="s">
        <v>1094</v>
      </c>
      <c r="B451" s="82" t="n">
        <v>46027</v>
      </c>
      <c r="C451" s="81" t="s">
        <v>404</v>
      </c>
      <c r="D451" s="83" t="str">
        <f aca="false">IFERROR(INDEX(c_Name,MATCH($C451,c_ID,0)),"غير معرّف")</f>
        <v>عبدالله الحسيني</v>
      </c>
      <c r="E451" s="83" t="str">
        <f aca="false">IFERROR(INDEX(c_Region,MATCH($C451,c_ID,0)),"غير معرّف")</f>
        <v>الشرقية</v>
      </c>
      <c r="F451" s="81" t="s">
        <v>169</v>
      </c>
      <c r="G451" s="83" t="str">
        <f aca="false">IFERROR(INDEX(p_Name,MATCH($F451,p_ID,0)),"غير معرّف")</f>
        <v>خلاط</v>
      </c>
      <c r="H451" s="83" t="str">
        <f aca="false">IFERROR(INDEX(p_Cat,MATCH($F451,p_ID,0)),"غير معرّف")</f>
        <v>أجهزة منزلية</v>
      </c>
      <c r="I451" s="81" t="s">
        <v>461</v>
      </c>
      <c r="J451" s="81" t="s">
        <v>91</v>
      </c>
      <c r="K451" s="81" t="n">
        <v>2</v>
      </c>
      <c r="L451" s="84" t="n">
        <f aca="false">IFERROR(INDEX(p_Price,MATCH($F451,p_ID,0)),0)</f>
        <v>300</v>
      </c>
      <c r="M451" s="85" t="n">
        <v>0.15</v>
      </c>
      <c r="N451" s="81" t="s">
        <v>644</v>
      </c>
      <c r="O451" s="84" t="n">
        <f aca="false">IF($N451="مرتجع",0,K451*L451*(1-M451))</f>
        <v>510</v>
      </c>
      <c r="P451" s="84" t="n">
        <f aca="false">IF($N451="مرتجع",0,K451*IFERROR(INDEX(p_Cost,MATCH($F451,p_ID,0)),0))</f>
        <v>350</v>
      </c>
      <c r="Q451" s="84" t="n">
        <f aca="false">O451-P451</f>
        <v>160</v>
      </c>
      <c r="R451" s="86" t="n">
        <f aca="false">DATE(YEAR(B451),MONTH(B451),1)</f>
        <v>46023</v>
      </c>
      <c r="S451" s="83" t="str">
        <f aca="false">YEAR(B451)&amp;"-Q"&amp;ROUNDUP(MONTH(B451)/3,0)</f>
        <v>2026-Q1</v>
      </c>
      <c r="T451" s="87" t="n">
        <f aca="false">IF(O451&gt;0,Q451/O451,"")</f>
        <v>0.313725490196078</v>
      </c>
      <c r="U451" s="84" t="n">
        <f aca="false">IF(O451&gt;0,O451,"")</f>
        <v>510</v>
      </c>
    </row>
    <row r="452" customFormat="false" ht="15" hidden="false" customHeight="false" outlineLevel="0" collapsed="false">
      <c r="A452" s="81" t="s">
        <v>1095</v>
      </c>
      <c r="B452" s="82" t="n">
        <v>46027</v>
      </c>
      <c r="C452" s="81" t="s">
        <v>262</v>
      </c>
      <c r="D452" s="83" t="str">
        <f aca="false">IFERROR(INDEX(c_Name,MATCH($C452,c_ID,0)),"غير معرّف")</f>
        <v>ناصر السبيعي</v>
      </c>
      <c r="E452" s="83" t="str">
        <f aca="false">IFERROR(INDEX(c_Region,MATCH($C452,c_ID,0)),"غير معرّف")</f>
        <v>الغربية</v>
      </c>
      <c r="F452" s="81" t="s">
        <v>182</v>
      </c>
      <c r="G452" s="83" t="str">
        <f aca="false">IFERROR(INDEX(p_Name,MATCH($F452,p_ID,0)),"غير معرّف")</f>
        <v>طقم أوزان</v>
      </c>
      <c r="H452" s="83" t="str">
        <f aca="false">IFERROR(INDEX(p_Cat,MATCH($F452,p_ID,0)),"غير معرّف")</f>
        <v>رياضة</v>
      </c>
      <c r="I452" s="81" t="s">
        <v>458</v>
      </c>
      <c r="J452" s="81" t="s">
        <v>93</v>
      </c>
      <c r="K452" s="81" t="n">
        <v>2</v>
      </c>
      <c r="L452" s="84" t="n">
        <f aca="false">IFERROR(INDEX(p_Price,MATCH($F452,p_ID,0)),0)</f>
        <v>380</v>
      </c>
      <c r="M452" s="85" t="n">
        <v>0.1</v>
      </c>
      <c r="N452" s="81" t="s">
        <v>644</v>
      </c>
      <c r="O452" s="84" t="n">
        <f aca="false">IF($N452="مرتجع",0,K452*L452*(1-M452))</f>
        <v>684</v>
      </c>
      <c r="P452" s="84" t="n">
        <f aca="false">IF($N452="مرتجع",0,K452*IFERROR(INDEX(p_Cost,MATCH($F452,p_ID,0)),0))</f>
        <v>420</v>
      </c>
      <c r="Q452" s="84" t="n">
        <f aca="false">O452-P452</f>
        <v>264</v>
      </c>
      <c r="R452" s="86" t="n">
        <f aca="false">DATE(YEAR(B452),MONTH(B452),1)</f>
        <v>46023</v>
      </c>
      <c r="S452" s="83" t="str">
        <f aca="false">YEAR(B452)&amp;"-Q"&amp;ROUNDUP(MONTH(B452)/3,0)</f>
        <v>2026-Q1</v>
      </c>
      <c r="T452" s="87" t="n">
        <f aca="false">IF(O452&gt;0,Q452/O452,"")</f>
        <v>0.385964912280702</v>
      </c>
      <c r="U452" s="84" t="n">
        <f aca="false">IF(O452&gt;0,O452,"")</f>
        <v>684</v>
      </c>
    </row>
    <row r="453" customFormat="false" ht="15" hidden="false" customHeight="false" outlineLevel="0" collapsed="false">
      <c r="A453" s="81" t="s">
        <v>1096</v>
      </c>
      <c r="B453" s="82" t="n">
        <v>46027</v>
      </c>
      <c r="C453" s="81" t="s">
        <v>351</v>
      </c>
      <c r="D453" s="83" t="str">
        <f aca="false">IFERROR(INDEX(c_Name,MATCH($C453,c_ID,0)),"غير معرّف")</f>
        <v>منى البلوي</v>
      </c>
      <c r="E453" s="83" t="str">
        <f aca="false">IFERROR(INDEX(c_Region,MATCH($C453,c_ID,0)),"غير معرّف")</f>
        <v>الوسطى</v>
      </c>
      <c r="F453" s="81" t="s">
        <v>172</v>
      </c>
      <c r="G453" s="83" t="str">
        <f aca="false">IFERROR(INDEX(p_Name,MATCH($F453,p_ID,0)),"غير معرّف")</f>
        <v>مكتب عمل</v>
      </c>
      <c r="H453" s="83" t="str">
        <f aca="false">IFERROR(INDEX(p_Cat,MATCH($F453,p_ID,0)),"غير معرّف")</f>
        <v>أثاث</v>
      </c>
      <c r="I453" s="81" t="s">
        <v>443</v>
      </c>
      <c r="J453" s="81" t="s">
        <v>93</v>
      </c>
      <c r="K453" s="81" t="n">
        <v>2</v>
      </c>
      <c r="L453" s="84" t="n">
        <f aca="false">IFERROR(INDEX(p_Price,MATCH($F453,p_ID,0)),0)</f>
        <v>1200</v>
      </c>
      <c r="M453" s="85" t="n">
        <v>0</v>
      </c>
      <c r="N453" s="81" t="s">
        <v>644</v>
      </c>
      <c r="O453" s="84" t="n">
        <f aca="false">IF($N453="مرتجع",0,K453*L453*(1-M453))</f>
        <v>2400</v>
      </c>
      <c r="P453" s="84" t="n">
        <f aca="false">IF($N453="مرتجع",0,K453*IFERROR(INDEX(p_Cost,MATCH($F453,p_ID,0)),0))</f>
        <v>1400</v>
      </c>
      <c r="Q453" s="84" t="n">
        <f aca="false">O453-P453</f>
        <v>1000</v>
      </c>
      <c r="R453" s="86" t="n">
        <f aca="false">DATE(YEAR(B453),MONTH(B453),1)</f>
        <v>46023</v>
      </c>
      <c r="S453" s="83" t="str">
        <f aca="false">YEAR(B453)&amp;"-Q"&amp;ROUNDUP(MONTH(B453)/3,0)</f>
        <v>2026-Q1</v>
      </c>
      <c r="T453" s="87" t="n">
        <f aca="false">IF(O453&gt;0,Q453/O453,"")</f>
        <v>0.416666666666667</v>
      </c>
      <c r="U453" s="84" t="n">
        <f aca="false">IF(O453&gt;0,O453,"")</f>
        <v>2400</v>
      </c>
    </row>
    <row r="454" customFormat="false" ht="15" hidden="false" customHeight="false" outlineLevel="0" collapsed="false">
      <c r="A454" s="81" t="s">
        <v>1097</v>
      </c>
      <c r="B454" s="82" t="n">
        <v>46027</v>
      </c>
      <c r="C454" s="81" t="s">
        <v>386</v>
      </c>
      <c r="D454" s="83" t="str">
        <f aca="false">IFERROR(INDEX(c_Name,MATCH($C454,c_ID,0)),"غير معرّف")</f>
        <v>نورة الشمري</v>
      </c>
      <c r="E454" s="83" t="str">
        <f aca="false">IFERROR(INDEX(c_Region,MATCH($C454,c_ID,0)),"غير معرّف")</f>
        <v>الغربية</v>
      </c>
      <c r="F454" s="81" t="s">
        <v>185</v>
      </c>
      <c r="G454" s="83" t="str">
        <f aca="false">IFERROR(INDEX(p_Name,MATCH($F454,p_ID,0)),"غير معرّف")</f>
        <v>ماكينة حلاقة</v>
      </c>
      <c r="H454" s="83" t="str">
        <f aca="false">IFERROR(INDEX(p_Cat,MATCH($F454,p_ID,0)),"غير معرّف")</f>
        <v>عناية شخصية</v>
      </c>
      <c r="I454" s="81" t="s">
        <v>458</v>
      </c>
      <c r="J454" s="81" t="s">
        <v>91</v>
      </c>
      <c r="K454" s="81" t="n">
        <v>2</v>
      </c>
      <c r="L454" s="84" t="n">
        <f aca="false">IFERROR(INDEX(p_Price,MATCH($F454,p_ID,0)),0)</f>
        <v>340</v>
      </c>
      <c r="M454" s="85" t="n">
        <v>0</v>
      </c>
      <c r="N454" s="81" t="s">
        <v>644</v>
      </c>
      <c r="O454" s="84" t="n">
        <f aca="false">IF($N454="مرتجع",0,K454*L454*(1-M454))</f>
        <v>680</v>
      </c>
      <c r="P454" s="84" t="n">
        <f aca="false">IF($N454="مرتجع",0,K454*IFERROR(INDEX(p_Cost,MATCH($F454,p_ID,0)),0))</f>
        <v>340</v>
      </c>
      <c r="Q454" s="84" t="n">
        <f aca="false">O454-P454</f>
        <v>340</v>
      </c>
      <c r="R454" s="86" t="n">
        <f aca="false">DATE(YEAR(B454),MONTH(B454),1)</f>
        <v>46023</v>
      </c>
      <c r="S454" s="83" t="str">
        <f aca="false">YEAR(B454)&amp;"-Q"&amp;ROUNDUP(MONTH(B454)/3,0)</f>
        <v>2026-Q1</v>
      </c>
      <c r="T454" s="87" t="n">
        <f aca="false">IF(O454&gt;0,Q454/O454,"")</f>
        <v>0.5</v>
      </c>
      <c r="U454" s="84" t="n">
        <f aca="false">IF(O454&gt;0,O454,"")</f>
        <v>680</v>
      </c>
    </row>
    <row r="455" customFormat="false" ht="15" hidden="false" customHeight="false" outlineLevel="0" collapsed="false">
      <c r="A455" s="81" t="s">
        <v>1098</v>
      </c>
      <c r="B455" s="82" t="n">
        <v>46028</v>
      </c>
      <c r="C455" s="81" t="s">
        <v>279</v>
      </c>
      <c r="D455" s="83" t="str">
        <f aca="false">IFERROR(INDEX(c_Name,MATCH($C455,c_ID,0)),"غير معرّف")</f>
        <v>لمى القحطاني</v>
      </c>
      <c r="E455" s="83" t="str">
        <f aca="false">IFERROR(INDEX(c_Region,MATCH($C455,c_ID,0)),"غير معرّف")</f>
        <v>الجنوبية</v>
      </c>
      <c r="F455" s="81" t="s">
        <v>185</v>
      </c>
      <c r="G455" s="83" t="str">
        <f aca="false">IFERROR(INDEX(p_Name,MATCH($F455,p_ID,0)),"غير معرّف")</f>
        <v>ماكينة حلاقة</v>
      </c>
      <c r="H455" s="83" t="str">
        <f aca="false">IFERROR(INDEX(p_Cat,MATCH($F455,p_ID,0)),"غير معرّف")</f>
        <v>عناية شخصية</v>
      </c>
      <c r="I455" s="81" t="s">
        <v>467</v>
      </c>
      <c r="J455" s="81" t="s">
        <v>93</v>
      </c>
      <c r="K455" s="81" t="n">
        <v>4</v>
      </c>
      <c r="L455" s="84" t="n">
        <f aca="false">IFERROR(INDEX(p_Price,MATCH($F455,p_ID,0)),0)</f>
        <v>340</v>
      </c>
      <c r="M455" s="85" t="n">
        <v>0.05</v>
      </c>
      <c r="N455" s="81" t="s">
        <v>644</v>
      </c>
      <c r="O455" s="84" t="n">
        <f aca="false">IF($N455="مرتجع",0,K455*L455*(1-M455))</f>
        <v>1292</v>
      </c>
      <c r="P455" s="84" t="n">
        <f aca="false">IF($N455="مرتجع",0,K455*IFERROR(INDEX(p_Cost,MATCH($F455,p_ID,0)),0))</f>
        <v>680</v>
      </c>
      <c r="Q455" s="84" t="n">
        <f aca="false">O455-P455</f>
        <v>612</v>
      </c>
      <c r="R455" s="86" t="n">
        <f aca="false">DATE(YEAR(B455),MONTH(B455),1)</f>
        <v>46023</v>
      </c>
      <c r="S455" s="83" t="str">
        <f aca="false">YEAR(B455)&amp;"-Q"&amp;ROUNDUP(MONTH(B455)/3,0)</f>
        <v>2026-Q1</v>
      </c>
      <c r="T455" s="87" t="n">
        <f aca="false">IF(O455&gt;0,Q455/O455,"")</f>
        <v>0.473684210526316</v>
      </c>
      <c r="U455" s="84" t="n">
        <f aca="false">IF(O455&gt;0,O455,"")</f>
        <v>1292</v>
      </c>
    </row>
    <row r="456" customFormat="false" ht="15" hidden="false" customHeight="false" outlineLevel="0" collapsed="false">
      <c r="A456" s="81" t="s">
        <v>1099</v>
      </c>
      <c r="B456" s="82" t="n">
        <v>46029</v>
      </c>
      <c r="C456" s="81" t="s">
        <v>250</v>
      </c>
      <c r="D456" s="83" t="str">
        <f aca="false">IFERROR(INDEX(c_Name,MATCH($C456,c_ID,0)),"غير معرّف")</f>
        <v>ليلى المطيري</v>
      </c>
      <c r="E456" s="83" t="str">
        <f aca="false">IFERROR(INDEX(c_Region,MATCH($C456,c_ID,0)),"غير معرّف")</f>
        <v>الغربية</v>
      </c>
      <c r="F456" s="81" t="s">
        <v>175</v>
      </c>
      <c r="G456" s="83" t="str">
        <f aca="false">IFERROR(INDEX(p_Name,MATCH($F456,p_ID,0)),"غير معرّف")</f>
        <v>رف كتب</v>
      </c>
      <c r="H456" s="83" t="str">
        <f aca="false">IFERROR(INDEX(p_Cat,MATCH($F456,p_ID,0)),"غير معرّف")</f>
        <v>أثاث</v>
      </c>
      <c r="I456" s="81" t="s">
        <v>455</v>
      </c>
      <c r="J456" s="81" t="s">
        <v>93</v>
      </c>
      <c r="K456" s="81" t="n">
        <v>6</v>
      </c>
      <c r="L456" s="84" t="n">
        <f aca="false">IFERROR(INDEX(p_Price,MATCH($F456,p_ID,0)),0)</f>
        <v>400</v>
      </c>
      <c r="M456" s="85" t="n">
        <v>0</v>
      </c>
      <c r="N456" s="81" t="s">
        <v>644</v>
      </c>
      <c r="O456" s="84" t="n">
        <f aca="false">IF($N456="مرتجع",0,K456*L456*(1-M456))</f>
        <v>2400</v>
      </c>
      <c r="P456" s="84" t="n">
        <f aca="false">IF($N456="مرتجع",0,K456*IFERROR(INDEX(p_Cost,MATCH($F456,p_ID,0)),0))</f>
        <v>1320</v>
      </c>
      <c r="Q456" s="84" t="n">
        <f aca="false">O456-P456</f>
        <v>1080</v>
      </c>
      <c r="R456" s="86" t="n">
        <f aca="false">DATE(YEAR(B456),MONTH(B456),1)</f>
        <v>46023</v>
      </c>
      <c r="S456" s="83" t="str">
        <f aca="false">YEAR(B456)&amp;"-Q"&amp;ROUNDUP(MONTH(B456)/3,0)</f>
        <v>2026-Q1</v>
      </c>
      <c r="T456" s="87" t="n">
        <f aca="false">IF(O456&gt;0,Q456/O456,"")</f>
        <v>0.45</v>
      </c>
      <c r="U456" s="84" t="n">
        <f aca="false">IF(O456&gt;0,O456,"")</f>
        <v>2400</v>
      </c>
    </row>
    <row r="457" customFormat="false" ht="15" hidden="false" customHeight="false" outlineLevel="0" collapsed="false">
      <c r="A457" s="81" t="s">
        <v>1100</v>
      </c>
      <c r="B457" s="82" t="n">
        <v>46029</v>
      </c>
      <c r="C457" s="81" t="s">
        <v>368</v>
      </c>
      <c r="D457" s="83" t="str">
        <f aca="false">IFERROR(INDEX(c_Name,MATCH($C457,c_ID,0)),"غير معرّف")</f>
        <v>خالد الحربي</v>
      </c>
      <c r="E457" s="83" t="str">
        <f aca="false">IFERROR(INDEX(c_Region,MATCH($C457,c_ID,0)),"غير معرّف")</f>
        <v>الغربية</v>
      </c>
      <c r="F457" s="81" t="s">
        <v>170</v>
      </c>
      <c r="G457" s="83" t="str">
        <f aca="false">IFERROR(INDEX(p_Name,MATCH($F457,p_ID,0)),"غير معرّف")</f>
        <v>مكيف نقال</v>
      </c>
      <c r="H457" s="83" t="str">
        <f aca="false">IFERROR(INDEX(p_Cat,MATCH($F457,p_ID,0)),"غير معرّف")</f>
        <v>أجهزة منزلية</v>
      </c>
      <c r="I457" s="81" t="s">
        <v>452</v>
      </c>
      <c r="J457" s="81" t="s">
        <v>91</v>
      </c>
      <c r="K457" s="81" t="n">
        <v>1</v>
      </c>
      <c r="L457" s="84" t="n">
        <f aca="false">IFERROR(INDEX(p_Price,MATCH($F457,p_ID,0)),0)</f>
        <v>1900</v>
      </c>
      <c r="M457" s="85" t="n">
        <v>0.1</v>
      </c>
      <c r="N457" s="81" t="s">
        <v>644</v>
      </c>
      <c r="O457" s="84" t="n">
        <f aca="false">IF($N457="مرتجع",0,K457*L457*(1-M457))</f>
        <v>1710</v>
      </c>
      <c r="P457" s="84" t="n">
        <f aca="false">IF($N457="مرتجع",0,K457*IFERROR(INDEX(p_Cost,MATCH($F457,p_ID,0)),0))</f>
        <v>1350</v>
      </c>
      <c r="Q457" s="84" t="n">
        <f aca="false">O457-P457</f>
        <v>360</v>
      </c>
      <c r="R457" s="86" t="n">
        <f aca="false">DATE(YEAR(B457),MONTH(B457),1)</f>
        <v>46023</v>
      </c>
      <c r="S457" s="83" t="str">
        <f aca="false">YEAR(B457)&amp;"-Q"&amp;ROUNDUP(MONTH(B457)/3,0)</f>
        <v>2026-Q1</v>
      </c>
      <c r="T457" s="87" t="n">
        <f aca="false">IF(O457&gt;0,Q457/O457,"")</f>
        <v>0.210526315789474</v>
      </c>
      <c r="U457" s="84" t="n">
        <f aca="false">IF(O457&gt;0,O457,"")</f>
        <v>1710</v>
      </c>
    </row>
    <row r="458" customFormat="false" ht="15" hidden="false" customHeight="false" outlineLevel="0" collapsed="false">
      <c r="A458" s="81" t="s">
        <v>1101</v>
      </c>
      <c r="B458" s="82" t="n">
        <v>46030</v>
      </c>
      <c r="C458" s="81" t="s">
        <v>342</v>
      </c>
      <c r="D458" s="83" t="str">
        <f aca="false">IFERROR(INDEX(c_Name,MATCH($C458,c_ID,0)),"غير معرّف")</f>
        <v>دانة الحربي</v>
      </c>
      <c r="E458" s="83" t="str">
        <f aca="false">IFERROR(INDEX(c_Region,MATCH($C458,c_ID,0)),"غير معرّف")</f>
        <v>الشرقية</v>
      </c>
      <c r="F458" s="81" t="s">
        <v>173</v>
      </c>
      <c r="G458" s="83" t="str">
        <f aca="false">IFERROR(INDEX(p_Name,MATCH($F458,p_ID,0)),"غير معرّف")</f>
        <v>كرسي مريح</v>
      </c>
      <c r="H458" s="83" t="str">
        <f aca="false">IFERROR(INDEX(p_Cat,MATCH($F458,p_ID,0)),"غير معرّف")</f>
        <v>أثاث</v>
      </c>
      <c r="I458" s="81" t="s">
        <v>461</v>
      </c>
      <c r="J458" s="81" t="s">
        <v>91</v>
      </c>
      <c r="K458" s="81" t="n">
        <v>8</v>
      </c>
      <c r="L458" s="84" t="n">
        <f aca="false">IFERROR(INDEX(p_Price,MATCH($F458,p_ID,0)),0)</f>
        <v>850</v>
      </c>
      <c r="M458" s="85" t="n">
        <v>0.2</v>
      </c>
      <c r="N458" s="81" t="s">
        <v>644</v>
      </c>
      <c r="O458" s="84" t="n">
        <f aca="false">IF($N458="مرتجع",0,K458*L458*(1-M458))</f>
        <v>5440</v>
      </c>
      <c r="P458" s="84" t="n">
        <f aca="false">IF($N458="مرتجع",0,K458*IFERROR(INDEX(p_Cost,MATCH($F458,p_ID,0)),0))</f>
        <v>3840</v>
      </c>
      <c r="Q458" s="84" t="n">
        <f aca="false">O458-P458</f>
        <v>1600</v>
      </c>
      <c r="R458" s="86" t="n">
        <f aca="false">DATE(YEAR(B458),MONTH(B458),1)</f>
        <v>46023</v>
      </c>
      <c r="S458" s="83" t="str">
        <f aca="false">YEAR(B458)&amp;"-Q"&amp;ROUNDUP(MONTH(B458)/3,0)</f>
        <v>2026-Q1</v>
      </c>
      <c r="T458" s="87" t="n">
        <f aca="false">IF(O458&gt;0,Q458/O458,"")</f>
        <v>0.294117647058824</v>
      </c>
      <c r="U458" s="84" t="n">
        <f aca="false">IF(O458&gt;0,O458,"")</f>
        <v>5440</v>
      </c>
    </row>
    <row r="459" customFormat="false" ht="15" hidden="false" customHeight="false" outlineLevel="0" collapsed="false">
      <c r="A459" s="81" t="s">
        <v>1102</v>
      </c>
      <c r="B459" s="82" t="n">
        <v>46030</v>
      </c>
      <c r="C459" s="81" t="s">
        <v>392</v>
      </c>
      <c r="D459" s="83" t="str">
        <f aca="false">IFERROR(INDEX(c_Name,MATCH($C459,c_ID,0)),"غير معرّف")</f>
        <v>ريم الزهراني</v>
      </c>
      <c r="E459" s="83" t="str">
        <f aca="false">IFERROR(INDEX(c_Region,MATCH($C459,c_ID,0)),"غير معرّف")</f>
        <v>الوسطى</v>
      </c>
      <c r="F459" s="81" t="s">
        <v>164</v>
      </c>
      <c r="G459" s="83" t="str">
        <f aca="false">IFERROR(INDEX(p_Name,MATCH($F459,p_ID,0)),"غير معرّف")</f>
        <v>هاتف ذكي</v>
      </c>
      <c r="H459" s="83" t="str">
        <f aca="false">IFERROR(INDEX(p_Cat,MATCH($F459,p_ID,0)),"غير معرّف")</f>
        <v>إلكترونيات</v>
      </c>
      <c r="I459" s="81" t="s">
        <v>446</v>
      </c>
      <c r="J459" s="81" t="s">
        <v>93</v>
      </c>
      <c r="K459" s="81" t="n">
        <v>1</v>
      </c>
      <c r="L459" s="84" t="n">
        <f aca="false">IFERROR(INDEX(p_Price,MATCH($F459,p_ID,0)),0)</f>
        <v>2400</v>
      </c>
      <c r="M459" s="85" t="n">
        <v>0</v>
      </c>
      <c r="N459" s="81" t="s">
        <v>644</v>
      </c>
      <c r="O459" s="84" t="n">
        <f aca="false">IF($N459="مرتجع",0,K459*L459*(1-M459))</f>
        <v>2400</v>
      </c>
      <c r="P459" s="84" t="n">
        <f aca="false">IF($N459="مرتجع",0,K459*IFERROR(INDEX(p_Cost,MATCH($F459,p_ID,0)),0))</f>
        <v>1750</v>
      </c>
      <c r="Q459" s="84" t="n">
        <f aca="false">O459-P459</f>
        <v>650</v>
      </c>
      <c r="R459" s="86" t="n">
        <f aca="false">DATE(YEAR(B459),MONTH(B459),1)</f>
        <v>46023</v>
      </c>
      <c r="S459" s="83" t="str">
        <f aca="false">YEAR(B459)&amp;"-Q"&amp;ROUNDUP(MONTH(B459)/3,0)</f>
        <v>2026-Q1</v>
      </c>
      <c r="T459" s="87" t="n">
        <f aca="false">IF(O459&gt;0,Q459/O459,"")</f>
        <v>0.270833333333333</v>
      </c>
      <c r="U459" s="84" t="n">
        <f aca="false">IF(O459&gt;0,O459,"")</f>
        <v>2400</v>
      </c>
    </row>
    <row r="460" customFormat="false" ht="15" hidden="false" customHeight="false" outlineLevel="0" collapsed="false">
      <c r="A460" s="81" t="s">
        <v>1103</v>
      </c>
      <c r="B460" s="82" t="n">
        <v>46030</v>
      </c>
      <c r="C460" s="81" t="s">
        <v>291</v>
      </c>
      <c r="D460" s="83" t="str">
        <f aca="false">IFERROR(INDEX(c_Name,MATCH($C460,c_ID,0)),"غير معرّف")</f>
        <v>ياسر الشمري</v>
      </c>
      <c r="E460" s="83" t="str">
        <f aca="false">IFERROR(INDEX(c_Region,MATCH($C460,c_ID,0)),"غير معرّف")</f>
        <v>الوسطى</v>
      </c>
      <c r="F460" s="81" t="s">
        <v>170</v>
      </c>
      <c r="G460" s="83" t="str">
        <f aca="false">IFERROR(INDEX(p_Name,MATCH($F460,p_ID,0)),"غير معرّف")</f>
        <v>مكيف نقال</v>
      </c>
      <c r="H460" s="83" t="str">
        <f aca="false">IFERROR(INDEX(p_Cat,MATCH($F460,p_ID,0)),"غير معرّف")</f>
        <v>أجهزة منزلية</v>
      </c>
      <c r="I460" s="81" t="s">
        <v>449</v>
      </c>
      <c r="J460" s="81" t="s">
        <v>91</v>
      </c>
      <c r="K460" s="81" t="n">
        <v>1</v>
      </c>
      <c r="L460" s="84" t="n">
        <f aca="false">IFERROR(INDEX(p_Price,MATCH($F460,p_ID,0)),0)</f>
        <v>1900</v>
      </c>
      <c r="M460" s="85" t="n">
        <v>0.1</v>
      </c>
      <c r="N460" s="81" t="s">
        <v>644</v>
      </c>
      <c r="O460" s="84" t="n">
        <f aca="false">IF($N460="مرتجع",0,K460*L460*(1-M460))</f>
        <v>1710</v>
      </c>
      <c r="P460" s="84" t="n">
        <f aca="false">IF($N460="مرتجع",0,K460*IFERROR(INDEX(p_Cost,MATCH($F460,p_ID,0)),0))</f>
        <v>1350</v>
      </c>
      <c r="Q460" s="84" t="n">
        <f aca="false">O460-P460</f>
        <v>360</v>
      </c>
      <c r="R460" s="86" t="n">
        <f aca="false">DATE(YEAR(B460),MONTH(B460),1)</f>
        <v>46023</v>
      </c>
      <c r="S460" s="83" t="str">
        <f aca="false">YEAR(B460)&amp;"-Q"&amp;ROUNDUP(MONTH(B460)/3,0)</f>
        <v>2026-Q1</v>
      </c>
      <c r="T460" s="87" t="n">
        <f aca="false">IF(O460&gt;0,Q460/O460,"")</f>
        <v>0.210526315789474</v>
      </c>
      <c r="U460" s="84" t="n">
        <f aca="false">IF(O460&gt;0,O460,"")</f>
        <v>1710</v>
      </c>
    </row>
    <row r="461" customFormat="false" ht="15" hidden="false" customHeight="false" outlineLevel="0" collapsed="false">
      <c r="A461" s="81" t="s">
        <v>1104</v>
      </c>
      <c r="B461" s="82" t="n">
        <v>46030</v>
      </c>
      <c r="C461" s="81" t="s">
        <v>403</v>
      </c>
      <c r="D461" s="83" t="str">
        <f aca="false">IFERROR(INDEX(c_Name,MATCH($C461,c_ID,0)),"غير معرّف")</f>
        <v>ياسر المطيري</v>
      </c>
      <c r="E461" s="83" t="str">
        <f aca="false">IFERROR(INDEX(c_Region,MATCH($C461,c_ID,0)),"غير معرّف")</f>
        <v>الجنوبية</v>
      </c>
      <c r="F461" s="81" t="s">
        <v>179</v>
      </c>
      <c r="G461" s="83" t="str">
        <f aca="false">IFERROR(INDEX(p_Name,MATCH($F461,p_ID,0)),"غير معرّف")</f>
        <v>طقم أدوات مكتبية</v>
      </c>
      <c r="H461" s="83" t="str">
        <f aca="false">IFERROR(INDEX(p_Cat,MATCH($F461,p_ID,0)),"غير معرّف")</f>
        <v>مستلزمات مكتبية</v>
      </c>
      <c r="I461" s="81" t="s">
        <v>465</v>
      </c>
      <c r="J461" s="81" t="s">
        <v>93</v>
      </c>
      <c r="K461" s="81" t="n">
        <v>2</v>
      </c>
      <c r="L461" s="84" t="n">
        <f aca="false">IFERROR(INDEX(p_Price,MATCH($F461,p_ID,0)),0)</f>
        <v>90</v>
      </c>
      <c r="M461" s="85" t="n">
        <v>0</v>
      </c>
      <c r="N461" s="81" t="s">
        <v>650</v>
      </c>
      <c r="O461" s="84" t="n">
        <f aca="false">IF($N461="مرتجع",0,K461*L461*(1-M461))</f>
        <v>0</v>
      </c>
      <c r="P461" s="84" t="n">
        <f aca="false">IF($N461="مرتجع",0,K461*IFERROR(INDEX(p_Cost,MATCH($F461,p_ID,0)),0))</f>
        <v>0</v>
      </c>
      <c r="Q461" s="84" t="n">
        <f aca="false">O461-P461</f>
        <v>0</v>
      </c>
      <c r="R461" s="86" t="n">
        <f aca="false">DATE(YEAR(B461),MONTH(B461),1)</f>
        <v>46023</v>
      </c>
      <c r="S461" s="83" t="str">
        <f aca="false">YEAR(B461)&amp;"-Q"&amp;ROUNDUP(MONTH(B461)/3,0)</f>
        <v>2026-Q1</v>
      </c>
      <c r="T461" s="87" t="str">
        <f aca="false">IF(O461&gt;0,Q461/O461,"")</f>
        <v/>
      </c>
      <c r="U461" s="84" t="str">
        <f aca="false">IF(O461&gt;0,O461,"")</f>
        <v/>
      </c>
    </row>
    <row r="462" customFormat="false" ht="15" hidden="false" customHeight="false" outlineLevel="0" collapsed="false">
      <c r="A462" s="81" t="s">
        <v>1105</v>
      </c>
      <c r="B462" s="82" t="n">
        <v>46030</v>
      </c>
      <c r="C462" s="81" t="s">
        <v>420</v>
      </c>
      <c r="D462" s="83" t="str">
        <f aca="false">IFERROR(INDEX(c_Name,MATCH($C462,c_ID,0)),"غير معرّف")</f>
        <v>عبدالله الدوسري</v>
      </c>
      <c r="E462" s="83" t="str">
        <f aca="false">IFERROR(INDEX(c_Region,MATCH($C462,c_ID,0)),"غير معرّف")</f>
        <v>الجنوبية</v>
      </c>
      <c r="F462" s="81" t="s">
        <v>178</v>
      </c>
      <c r="G462" s="83" t="str">
        <f aca="false">IFERROR(INDEX(p_Name,MATCH($F462,p_ID,0)),"غير معرّف")</f>
        <v>حقيبة لابتوب</v>
      </c>
      <c r="H462" s="83" t="str">
        <f aca="false">IFERROR(INDEX(p_Cat,MATCH($F462,p_ID,0)),"غير معرّف")</f>
        <v>مستلزمات مكتبية</v>
      </c>
      <c r="I462" s="81" t="s">
        <v>467</v>
      </c>
      <c r="J462" s="81" t="s">
        <v>91</v>
      </c>
      <c r="K462" s="81" t="n">
        <v>3</v>
      </c>
      <c r="L462" s="84" t="n">
        <f aca="false">IFERROR(INDEX(p_Price,MATCH($F462,p_ID,0)),0)</f>
        <v>260</v>
      </c>
      <c r="M462" s="85" t="n">
        <v>0.2</v>
      </c>
      <c r="N462" s="81" t="s">
        <v>644</v>
      </c>
      <c r="O462" s="84" t="n">
        <f aca="false">IF($N462="مرتجع",0,K462*L462*(1-M462))</f>
        <v>624</v>
      </c>
      <c r="P462" s="84" t="n">
        <f aca="false">IF($N462="مرتجع",0,K462*IFERROR(INDEX(p_Cost,MATCH($F462,p_ID,0)),0))</f>
        <v>360</v>
      </c>
      <c r="Q462" s="84" t="n">
        <f aca="false">O462-P462</f>
        <v>264</v>
      </c>
      <c r="R462" s="86" t="n">
        <f aca="false">DATE(YEAR(B462),MONTH(B462),1)</f>
        <v>46023</v>
      </c>
      <c r="S462" s="83" t="str">
        <f aca="false">YEAR(B462)&amp;"-Q"&amp;ROUNDUP(MONTH(B462)/3,0)</f>
        <v>2026-Q1</v>
      </c>
      <c r="T462" s="87" t="n">
        <f aca="false">IF(O462&gt;0,Q462/O462,"")</f>
        <v>0.423076923076923</v>
      </c>
      <c r="U462" s="84" t="n">
        <f aca="false">IF(O462&gt;0,O462,"")</f>
        <v>624</v>
      </c>
    </row>
    <row r="463" customFormat="false" ht="15" hidden="false" customHeight="false" outlineLevel="0" collapsed="false">
      <c r="A463" s="81" t="s">
        <v>1106</v>
      </c>
      <c r="B463" s="82" t="n">
        <v>46031</v>
      </c>
      <c r="C463" s="81" t="s">
        <v>311</v>
      </c>
      <c r="D463" s="83" t="str">
        <f aca="false">IFERROR(INDEX(c_Name,MATCH($C463,c_ID,0)),"غير معرّف")</f>
        <v>لمى الحسيني</v>
      </c>
      <c r="E463" s="83" t="str">
        <f aca="false">IFERROR(INDEX(c_Region,MATCH($C463,c_ID,0)),"غير معرّف")</f>
        <v>الوسطى</v>
      </c>
      <c r="F463" s="81" t="s">
        <v>169</v>
      </c>
      <c r="G463" s="83" t="str">
        <f aca="false">IFERROR(INDEX(p_Name,MATCH($F463,p_ID,0)),"غير معرّف")</f>
        <v>خلاط</v>
      </c>
      <c r="H463" s="83" t="str">
        <f aca="false">IFERROR(INDEX(p_Cat,MATCH($F463,p_ID,0)),"غير معرّف")</f>
        <v>أجهزة منزلية</v>
      </c>
      <c r="I463" s="81" t="s">
        <v>446</v>
      </c>
      <c r="J463" s="81" t="s">
        <v>91</v>
      </c>
      <c r="K463" s="81" t="n">
        <v>1</v>
      </c>
      <c r="L463" s="84" t="n">
        <f aca="false">IFERROR(INDEX(p_Price,MATCH($F463,p_ID,0)),0)</f>
        <v>300</v>
      </c>
      <c r="M463" s="85" t="n">
        <v>0.05</v>
      </c>
      <c r="N463" s="81" t="s">
        <v>644</v>
      </c>
      <c r="O463" s="84" t="n">
        <f aca="false">IF($N463="مرتجع",0,K463*L463*(1-M463))</f>
        <v>285</v>
      </c>
      <c r="P463" s="84" t="n">
        <f aca="false">IF($N463="مرتجع",0,K463*IFERROR(INDEX(p_Cost,MATCH($F463,p_ID,0)),0))</f>
        <v>175</v>
      </c>
      <c r="Q463" s="84" t="n">
        <f aca="false">O463-P463</f>
        <v>110</v>
      </c>
      <c r="R463" s="86" t="n">
        <f aca="false">DATE(YEAR(B463),MONTH(B463),1)</f>
        <v>46023</v>
      </c>
      <c r="S463" s="83" t="str">
        <f aca="false">YEAR(B463)&amp;"-Q"&amp;ROUNDUP(MONTH(B463)/3,0)</f>
        <v>2026-Q1</v>
      </c>
      <c r="T463" s="87" t="n">
        <f aca="false">IF(O463&gt;0,Q463/O463,"")</f>
        <v>0.385964912280702</v>
      </c>
      <c r="U463" s="84" t="n">
        <f aca="false">IF(O463&gt;0,O463,"")</f>
        <v>285</v>
      </c>
    </row>
    <row r="464" customFormat="false" ht="15" hidden="false" customHeight="false" outlineLevel="0" collapsed="false">
      <c r="A464" s="81" t="s">
        <v>1107</v>
      </c>
      <c r="B464" s="82" t="n">
        <v>46031</v>
      </c>
      <c r="C464" s="81" t="s">
        <v>323</v>
      </c>
      <c r="D464" s="83" t="str">
        <f aca="false">IFERROR(INDEX(c_Name,MATCH($C464,c_ID,0)),"غير معرّف")</f>
        <v>ليلى الدوسري</v>
      </c>
      <c r="E464" s="83" t="str">
        <f aca="false">IFERROR(INDEX(c_Region,MATCH($C464,c_ID,0)),"غير معرّف")</f>
        <v>الشرقية</v>
      </c>
      <c r="F464" s="81" t="s">
        <v>187</v>
      </c>
      <c r="G464" s="83" t="str">
        <f aca="false">IFERROR(INDEX(p_Name,MATCH($F464,p_ID,0)),"غير معرّف")</f>
        <v>جهاز تدليك</v>
      </c>
      <c r="H464" s="83" t="str">
        <f aca="false">IFERROR(INDEX(p_Cat,MATCH($F464,p_ID,0)),"غير معرّف")</f>
        <v>عناية شخصية</v>
      </c>
      <c r="I464" s="81" t="s">
        <v>461</v>
      </c>
      <c r="J464" s="81" t="s">
        <v>93</v>
      </c>
      <c r="K464" s="81" t="n">
        <v>1</v>
      </c>
      <c r="L464" s="84" t="n">
        <f aca="false">IFERROR(INDEX(p_Price,MATCH($F464,p_ID,0)),0)</f>
        <v>600</v>
      </c>
      <c r="M464" s="85" t="n">
        <v>0.1</v>
      </c>
      <c r="N464" s="81" t="s">
        <v>644</v>
      </c>
      <c r="O464" s="84" t="n">
        <f aca="false">IF($N464="مرتجع",0,K464*L464*(1-M464))</f>
        <v>540</v>
      </c>
      <c r="P464" s="84" t="n">
        <f aca="false">IF($N464="مرتجع",0,K464*IFERROR(INDEX(p_Cost,MATCH($F464,p_ID,0)),0))</f>
        <v>330</v>
      </c>
      <c r="Q464" s="84" t="n">
        <f aca="false">O464-P464</f>
        <v>210</v>
      </c>
      <c r="R464" s="86" t="n">
        <f aca="false">DATE(YEAR(B464),MONTH(B464),1)</f>
        <v>46023</v>
      </c>
      <c r="S464" s="83" t="str">
        <f aca="false">YEAR(B464)&amp;"-Q"&amp;ROUNDUP(MONTH(B464)/3,0)</f>
        <v>2026-Q1</v>
      </c>
      <c r="T464" s="87" t="n">
        <f aca="false">IF(O464&gt;0,Q464/O464,"")</f>
        <v>0.388888888888889</v>
      </c>
      <c r="U464" s="84" t="n">
        <f aca="false">IF(O464&gt;0,O464,"")</f>
        <v>540</v>
      </c>
    </row>
    <row r="465" customFormat="false" ht="15" hidden="false" customHeight="false" outlineLevel="0" collapsed="false">
      <c r="A465" s="81" t="s">
        <v>1108</v>
      </c>
      <c r="B465" s="82" t="n">
        <v>46031</v>
      </c>
      <c r="C465" s="81" t="s">
        <v>345</v>
      </c>
      <c r="D465" s="83" t="str">
        <f aca="false">IFERROR(INDEX(c_Name,MATCH($C465,c_ID,0)),"غير معرّف")</f>
        <v>عبدالله العنزي</v>
      </c>
      <c r="E465" s="83" t="str">
        <f aca="false">IFERROR(INDEX(c_Region,MATCH($C465,c_ID,0)),"غير معرّف")</f>
        <v>الغربية</v>
      </c>
      <c r="F465" s="81" t="s">
        <v>182</v>
      </c>
      <c r="G465" s="83" t="str">
        <f aca="false">IFERROR(INDEX(p_Name,MATCH($F465,p_ID,0)),"غير معرّف")</f>
        <v>طقم أوزان</v>
      </c>
      <c r="H465" s="83" t="str">
        <f aca="false">IFERROR(INDEX(p_Cat,MATCH($F465,p_ID,0)),"غير معرّف")</f>
        <v>رياضة</v>
      </c>
      <c r="I465" s="81" t="s">
        <v>452</v>
      </c>
      <c r="J465" s="81" t="s">
        <v>93</v>
      </c>
      <c r="K465" s="81" t="n">
        <v>7</v>
      </c>
      <c r="L465" s="84" t="n">
        <f aca="false">IFERROR(INDEX(p_Price,MATCH($F465,p_ID,0)),0)</f>
        <v>380</v>
      </c>
      <c r="M465" s="85" t="n">
        <v>0.15</v>
      </c>
      <c r="N465" s="81" t="s">
        <v>644</v>
      </c>
      <c r="O465" s="84" t="n">
        <f aca="false">IF($N465="مرتجع",0,K465*L465*(1-M465))</f>
        <v>2261</v>
      </c>
      <c r="P465" s="84" t="n">
        <f aca="false">IF($N465="مرتجع",0,K465*IFERROR(INDEX(p_Cost,MATCH($F465,p_ID,0)),0))</f>
        <v>1470</v>
      </c>
      <c r="Q465" s="84" t="n">
        <f aca="false">O465-P465</f>
        <v>791</v>
      </c>
      <c r="R465" s="86" t="n">
        <f aca="false">DATE(YEAR(B465),MONTH(B465),1)</f>
        <v>46023</v>
      </c>
      <c r="S465" s="83" t="str">
        <f aca="false">YEAR(B465)&amp;"-Q"&amp;ROUNDUP(MONTH(B465)/3,0)</f>
        <v>2026-Q1</v>
      </c>
      <c r="T465" s="87" t="n">
        <f aca="false">IF(O465&gt;0,Q465/O465,"")</f>
        <v>0.34984520123839</v>
      </c>
      <c r="U465" s="84" t="n">
        <f aca="false">IF(O465&gt;0,O465,"")</f>
        <v>2261</v>
      </c>
    </row>
    <row r="466" customFormat="false" ht="15" hidden="false" customHeight="false" outlineLevel="0" collapsed="false">
      <c r="A466" s="81" t="s">
        <v>1109</v>
      </c>
      <c r="B466" s="82" t="n">
        <v>46031</v>
      </c>
      <c r="C466" s="81" t="s">
        <v>356</v>
      </c>
      <c r="D466" s="83" t="str">
        <f aca="false">IFERROR(INDEX(c_Name,MATCH($C466,c_ID,0)),"غير معرّف")</f>
        <v>هند البلوي</v>
      </c>
      <c r="E466" s="83" t="str">
        <f aca="false">IFERROR(INDEX(c_Region,MATCH($C466,c_ID,0)),"غير معرّف")</f>
        <v>الغربية</v>
      </c>
      <c r="F466" s="81" t="s">
        <v>183</v>
      </c>
      <c r="G466" s="83" t="str">
        <f aca="false">IFERROR(INDEX(p_Name,MATCH($F466,p_ID,0)),"غير معرّف")</f>
        <v>سجادة يوغا</v>
      </c>
      <c r="H466" s="83" t="str">
        <f aca="false">IFERROR(INDEX(p_Cat,MATCH($F466,p_ID,0)),"غير معرّف")</f>
        <v>رياضة</v>
      </c>
      <c r="I466" s="81" t="s">
        <v>452</v>
      </c>
      <c r="J466" s="81" t="s">
        <v>91</v>
      </c>
      <c r="K466" s="81" t="n">
        <v>2</v>
      </c>
      <c r="L466" s="84" t="n">
        <f aca="false">IFERROR(INDEX(p_Price,MATCH($F466,p_ID,0)),0)</f>
        <v>120</v>
      </c>
      <c r="M466" s="85" t="n">
        <v>0</v>
      </c>
      <c r="N466" s="81" t="s">
        <v>644</v>
      </c>
      <c r="O466" s="84" t="n">
        <f aca="false">IF($N466="مرتجع",0,K466*L466*(1-M466))</f>
        <v>240</v>
      </c>
      <c r="P466" s="84" t="n">
        <f aca="false">IF($N466="مرتجع",0,K466*IFERROR(INDEX(p_Cost,MATCH($F466,p_ID,0)),0))</f>
        <v>100</v>
      </c>
      <c r="Q466" s="84" t="n">
        <f aca="false">O466-P466</f>
        <v>140</v>
      </c>
      <c r="R466" s="86" t="n">
        <f aca="false">DATE(YEAR(B466),MONTH(B466),1)</f>
        <v>46023</v>
      </c>
      <c r="S466" s="83" t="str">
        <f aca="false">YEAR(B466)&amp;"-Q"&amp;ROUNDUP(MONTH(B466)/3,0)</f>
        <v>2026-Q1</v>
      </c>
      <c r="T466" s="87" t="n">
        <f aca="false">IF(O466&gt;0,Q466/O466,"")</f>
        <v>0.583333333333333</v>
      </c>
      <c r="U466" s="84" t="n">
        <f aca="false">IF(O466&gt;0,O466,"")</f>
        <v>240</v>
      </c>
    </row>
    <row r="467" customFormat="false" ht="15" hidden="false" customHeight="false" outlineLevel="0" collapsed="false">
      <c r="A467" s="81" t="s">
        <v>1110</v>
      </c>
      <c r="B467" s="82" t="n">
        <v>46031</v>
      </c>
      <c r="C467" s="81" t="s">
        <v>340</v>
      </c>
      <c r="D467" s="83" t="str">
        <f aca="false">IFERROR(INDEX(c_Name,MATCH($C467,c_ID,0)),"غير معرّف")</f>
        <v>سعد الشهري</v>
      </c>
      <c r="E467" s="83" t="str">
        <f aca="false">IFERROR(INDEX(c_Region,MATCH($C467,c_ID,0)),"غير معرّف")</f>
        <v>الوسطى</v>
      </c>
      <c r="F467" s="81" t="s">
        <v>168</v>
      </c>
      <c r="G467" s="83" t="str">
        <f aca="false">IFERROR(INDEX(p_Name,MATCH($F467,p_ID,0)),"غير معرّف")</f>
        <v>مكنسة كهربائية</v>
      </c>
      <c r="H467" s="83" t="str">
        <f aca="false">IFERROR(INDEX(p_Cat,MATCH($F467,p_ID,0)),"غير معرّف")</f>
        <v>أجهزة منزلية</v>
      </c>
      <c r="I467" s="81" t="s">
        <v>446</v>
      </c>
      <c r="J467" s="81" t="s">
        <v>91</v>
      </c>
      <c r="K467" s="81" t="n">
        <v>3</v>
      </c>
      <c r="L467" s="84" t="n">
        <f aca="false">IFERROR(INDEX(p_Price,MATCH($F467,p_ID,0)),0)</f>
        <v>650</v>
      </c>
      <c r="M467" s="85" t="n">
        <v>0.1</v>
      </c>
      <c r="N467" s="81" t="s">
        <v>644</v>
      </c>
      <c r="O467" s="84" t="n">
        <f aca="false">IF($N467="مرتجع",0,K467*L467*(1-M467))</f>
        <v>1755</v>
      </c>
      <c r="P467" s="84" t="n">
        <f aca="false">IF($N467="مرتجع",0,K467*IFERROR(INDEX(p_Cost,MATCH($F467,p_ID,0)),0))</f>
        <v>1260</v>
      </c>
      <c r="Q467" s="84" t="n">
        <f aca="false">O467-P467</f>
        <v>495</v>
      </c>
      <c r="R467" s="86" t="n">
        <f aca="false">DATE(YEAR(B467),MONTH(B467),1)</f>
        <v>46023</v>
      </c>
      <c r="S467" s="83" t="str">
        <f aca="false">YEAR(B467)&amp;"-Q"&amp;ROUNDUP(MONTH(B467)/3,0)</f>
        <v>2026-Q1</v>
      </c>
      <c r="T467" s="87" t="n">
        <f aca="false">IF(O467&gt;0,Q467/O467,"")</f>
        <v>0.282051282051282</v>
      </c>
      <c r="U467" s="84" t="n">
        <f aca="false">IF(O467&gt;0,O467,"")</f>
        <v>1755</v>
      </c>
    </row>
    <row r="468" customFormat="false" ht="15" hidden="false" customHeight="false" outlineLevel="0" collapsed="false">
      <c r="A468" s="81" t="s">
        <v>1111</v>
      </c>
      <c r="B468" s="82" t="n">
        <v>46032</v>
      </c>
      <c r="C468" s="81" t="s">
        <v>236</v>
      </c>
      <c r="D468" s="83" t="str">
        <f aca="false">IFERROR(INDEX(c_Name,MATCH($C468,c_ID,0)),"غير معرّف")</f>
        <v>ناصر البلوي</v>
      </c>
      <c r="E468" s="83" t="str">
        <f aca="false">IFERROR(INDEX(c_Region,MATCH($C468,c_ID,0)),"غير معرّف")</f>
        <v>الوسطى</v>
      </c>
      <c r="F468" s="81" t="s">
        <v>169</v>
      </c>
      <c r="G468" s="83" t="str">
        <f aca="false">IFERROR(INDEX(p_Name,MATCH($F468,p_ID,0)),"غير معرّف")</f>
        <v>خلاط</v>
      </c>
      <c r="H468" s="83" t="str">
        <f aca="false">IFERROR(INDEX(p_Cat,MATCH($F468,p_ID,0)),"غير معرّف")</f>
        <v>أجهزة منزلية</v>
      </c>
      <c r="I468" s="81" t="s">
        <v>449</v>
      </c>
      <c r="J468" s="81" t="s">
        <v>93</v>
      </c>
      <c r="K468" s="81" t="n">
        <v>1</v>
      </c>
      <c r="L468" s="84" t="n">
        <f aca="false">IFERROR(INDEX(p_Price,MATCH($F468,p_ID,0)),0)</f>
        <v>300</v>
      </c>
      <c r="M468" s="85" t="n">
        <v>0.05</v>
      </c>
      <c r="N468" s="81" t="s">
        <v>644</v>
      </c>
      <c r="O468" s="84" t="n">
        <f aca="false">IF($N468="مرتجع",0,K468*L468*(1-M468))</f>
        <v>285</v>
      </c>
      <c r="P468" s="84" t="n">
        <f aca="false">IF($N468="مرتجع",0,K468*IFERROR(INDEX(p_Cost,MATCH($F468,p_ID,0)),0))</f>
        <v>175</v>
      </c>
      <c r="Q468" s="84" t="n">
        <f aca="false">O468-P468</f>
        <v>110</v>
      </c>
      <c r="R468" s="86" t="n">
        <f aca="false">DATE(YEAR(B468),MONTH(B468),1)</f>
        <v>46023</v>
      </c>
      <c r="S468" s="83" t="str">
        <f aca="false">YEAR(B468)&amp;"-Q"&amp;ROUNDUP(MONTH(B468)/3,0)</f>
        <v>2026-Q1</v>
      </c>
      <c r="T468" s="87" t="n">
        <f aca="false">IF(O468&gt;0,Q468/O468,"")</f>
        <v>0.385964912280702</v>
      </c>
      <c r="U468" s="84" t="n">
        <f aca="false">IF(O468&gt;0,O468,"")</f>
        <v>285</v>
      </c>
    </row>
    <row r="469" customFormat="false" ht="15" hidden="false" customHeight="false" outlineLevel="0" collapsed="false">
      <c r="A469" s="81" t="s">
        <v>1112</v>
      </c>
      <c r="B469" s="82" t="n">
        <v>46032</v>
      </c>
      <c r="C469" s="81" t="s">
        <v>357</v>
      </c>
      <c r="D469" s="83" t="str">
        <f aca="false">IFERROR(INDEX(c_Name,MATCH($C469,c_ID,0)),"غير معرّف")</f>
        <v>منى الحربي</v>
      </c>
      <c r="E469" s="83" t="str">
        <f aca="false">IFERROR(INDEX(c_Region,MATCH($C469,c_ID,0)),"غير معرّف")</f>
        <v>الوسطى</v>
      </c>
      <c r="F469" s="81" t="s">
        <v>183</v>
      </c>
      <c r="G469" s="83" t="str">
        <f aca="false">IFERROR(INDEX(p_Name,MATCH($F469,p_ID,0)),"غير معرّف")</f>
        <v>سجادة يوغا</v>
      </c>
      <c r="H469" s="83" t="str">
        <f aca="false">IFERROR(INDEX(p_Cat,MATCH($F469,p_ID,0)),"غير معرّف")</f>
        <v>رياضة</v>
      </c>
      <c r="I469" s="81" t="s">
        <v>443</v>
      </c>
      <c r="J469" s="81" t="s">
        <v>91</v>
      </c>
      <c r="K469" s="81" t="n">
        <v>1</v>
      </c>
      <c r="L469" s="84" t="n">
        <f aca="false">IFERROR(INDEX(p_Price,MATCH($F469,p_ID,0)),0)</f>
        <v>120</v>
      </c>
      <c r="M469" s="85" t="n">
        <v>0.05</v>
      </c>
      <c r="N469" s="81" t="s">
        <v>644</v>
      </c>
      <c r="O469" s="84" t="n">
        <f aca="false">IF($N469="مرتجع",0,K469*L469*(1-M469))</f>
        <v>114</v>
      </c>
      <c r="P469" s="84" t="n">
        <f aca="false">IF($N469="مرتجع",0,K469*IFERROR(INDEX(p_Cost,MATCH($F469,p_ID,0)),0))</f>
        <v>50</v>
      </c>
      <c r="Q469" s="84" t="n">
        <f aca="false">O469-P469</f>
        <v>64</v>
      </c>
      <c r="R469" s="86" t="n">
        <f aca="false">DATE(YEAR(B469),MONTH(B469),1)</f>
        <v>46023</v>
      </c>
      <c r="S469" s="83" t="str">
        <f aca="false">YEAR(B469)&amp;"-Q"&amp;ROUNDUP(MONTH(B469)/3,0)</f>
        <v>2026-Q1</v>
      </c>
      <c r="T469" s="87" t="n">
        <f aca="false">IF(O469&gt;0,Q469/O469,"")</f>
        <v>0.56140350877193</v>
      </c>
      <c r="U469" s="84" t="n">
        <f aca="false">IF(O469&gt;0,O469,"")</f>
        <v>114</v>
      </c>
    </row>
    <row r="470" customFormat="false" ht="15" hidden="false" customHeight="false" outlineLevel="0" collapsed="false">
      <c r="A470" s="81" t="s">
        <v>1113</v>
      </c>
      <c r="B470" s="82" t="n">
        <v>46032</v>
      </c>
      <c r="C470" s="81" t="s">
        <v>340</v>
      </c>
      <c r="D470" s="83" t="str">
        <f aca="false">IFERROR(INDEX(c_Name,MATCH($C470,c_ID,0)),"غير معرّف")</f>
        <v>سعد الشهري</v>
      </c>
      <c r="E470" s="83" t="str">
        <f aca="false">IFERROR(INDEX(c_Region,MATCH($C470,c_ID,0)),"غير معرّف")</f>
        <v>الوسطى</v>
      </c>
      <c r="F470" s="81" t="s">
        <v>179</v>
      </c>
      <c r="G470" s="83" t="str">
        <f aca="false">IFERROR(INDEX(p_Name,MATCH($F470,p_ID,0)),"غير معرّف")</f>
        <v>طقم أدوات مكتبية</v>
      </c>
      <c r="H470" s="83" t="str">
        <f aca="false">IFERROR(INDEX(p_Cat,MATCH($F470,p_ID,0)),"غير معرّف")</f>
        <v>مستلزمات مكتبية</v>
      </c>
      <c r="I470" s="81" t="s">
        <v>449</v>
      </c>
      <c r="J470" s="81" t="s">
        <v>91</v>
      </c>
      <c r="K470" s="81" t="n">
        <v>2</v>
      </c>
      <c r="L470" s="84" t="n">
        <f aca="false">IFERROR(INDEX(p_Price,MATCH($F470,p_ID,0)),0)</f>
        <v>90</v>
      </c>
      <c r="M470" s="85" t="n">
        <v>0.05</v>
      </c>
      <c r="N470" s="81" t="s">
        <v>644</v>
      </c>
      <c r="O470" s="84" t="n">
        <f aca="false">IF($N470="مرتجع",0,K470*L470*(1-M470))</f>
        <v>171</v>
      </c>
      <c r="P470" s="84" t="n">
        <f aca="false">IF($N470="مرتجع",0,K470*IFERROR(INDEX(p_Cost,MATCH($F470,p_ID,0)),0))</f>
        <v>90</v>
      </c>
      <c r="Q470" s="84" t="n">
        <f aca="false">O470-P470</f>
        <v>81</v>
      </c>
      <c r="R470" s="86" t="n">
        <f aca="false">DATE(YEAR(B470),MONTH(B470),1)</f>
        <v>46023</v>
      </c>
      <c r="S470" s="83" t="str">
        <f aca="false">YEAR(B470)&amp;"-Q"&amp;ROUNDUP(MONTH(B470)/3,0)</f>
        <v>2026-Q1</v>
      </c>
      <c r="T470" s="87" t="n">
        <f aca="false">IF(O470&gt;0,Q470/O470,"")</f>
        <v>0.473684210526316</v>
      </c>
      <c r="U470" s="84" t="n">
        <f aca="false">IF(O470&gt;0,O470,"")</f>
        <v>171</v>
      </c>
    </row>
    <row r="471" customFormat="false" ht="15" hidden="false" customHeight="false" outlineLevel="0" collapsed="false">
      <c r="A471" s="81" t="s">
        <v>1114</v>
      </c>
      <c r="B471" s="82" t="n">
        <v>46032</v>
      </c>
      <c r="C471" s="81" t="s">
        <v>387</v>
      </c>
      <c r="D471" s="83" t="str">
        <f aca="false">IFERROR(INDEX(c_Name,MATCH($C471,c_ID,0)),"غير معرّف")</f>
        <v>لمى الشمري</v>
      </c>
      <c r="E471" s="83" t="str">
        <f aca="false">IFERROR(INDEX(c_Region,MATCH($C471,c_ID,0)),"غير معرّف")</f>
        <v>الوسطى</v>
      </c>
      <c r="F471" s="81" t="s">
        <v>179</v>
      </c>
      <c r="G471" s="83" t="str">
        <f aca="false">IFERROR(INDEX(p_Name,MATCH($F471,p_ID,0)),"غير معرّف")</f>
        <v>طقم أدوات مكتبية</v>
      </c>
      <c r="H471" s="83" t="str">
        <f aca="false">IFERROR(INDEX(p_Cat,MATCH($F471,p_ID,0)),"غير معرّف")</f>
        <v>مستلزمات مكتبية</v>
      </c>
      <c r="I471" s="81" t="s">
        <v>449</v>
      </c>
      <c r="J471" s="81" t="s">
        <v>91</v>
      </c>
      <c r="K471" s="81" t="n">
        <v>1</v>
      </c>
      <c r="L471" s="84" t="n">
        <f aca="false">IFERROR(INDEX(p_Price,MATCH($F471,p_ID,0)),0)</f>
        <v>90</v>
      </c>
      <c r="M471" s="85" t="n">
        <v>0</v>
      </c>
      <c r="N471" s="81" t="s">
        <v>644</v>
      </c>
      <c r="O471" s="84" t="n">
        <f aca="false">IF($N471="مرتجع",0,K471*L471*(1-M471))</f>
        <v>90</v>
      </c>
      <c r="P471" s="84" t="n">
        <f aca="false">IF($N471="مرتجع",0,K471*IFERROR(INDEX(p_Cost,MATCH($F471,p_ID,0)),0))</f>
        <v>45</v>
      </c>
      <c r="Q471" s="84" t="n">
        <f aca="false">O471-P471</f>
        <v>45</v>
      </c>
      <c r="R471" s="86" t="n">
        <f aca="false">DATE(YEAR(B471),MONTH(B471),1)</f>
        <v>46023</v>
      </c>
      <c r="S471" s="83" t="str">
        <f aca="false">YEAR(B471)&amp;"-Q"&amp;ROUNDUP(MONTH(B471)/3,0)</f>
        <v>2026-Q1</v>
      </c>
      <c r="T471" s="87" t="n">
        <f aca="false">IF(O471&gt;0,Q471/O471,"")</f>
        <v>0.5</v>
      </c>
      <c r="U471" s="84" t="n">
        <f aca="false">IF(O471&gt;0,O471,"")</f>
        <v>90</v>
      </c>
    </row>
    <row r="472" customFormat="false" ht="15" hidden="false" customHeight="false" outlineLevel="0" collapsed="false">
      <c r="A472" s="81" t="s">
        <v>1115</v>
      </c>
      <c r="B472" s="82" t="n">
        <v>46032</v>
      </c>
      <c r="C472" s="81" t="s">
        <v>277</v>
      </c>
      <c r="D472" s="83" t="str">
        <f aca="false">IFERROR(INDEX(c_Name,MATCH($C472,c_ID,0)),"غير معرّف")</f>
        <v>خالد الخالدي</v>
      </c>
      <c r="E472" s="83" t="str">
        <f aca="false">IFERROR(INDEX(c_Region,MATCH($C472,c_ID,0)),"غير معرّف")</f>
        <v>الغربية</v>
      </c>
      <c r="F472" s="81" t="s">
        <v>164</v>
      </c>
      <c r="G472" s="83" t="str">
        <f aca="false">IFERROR(INDEX(p_Name,MATCH($F472,p_ID,0)),"غير معرّف")</f>
        <v>هاتف ذكي</v>
      </c>
      <c r="H472" s="83" t="str">
        <f aca="false">IFERROR(INDEX(p_Cat,MATCH($F472,p_ID,0)),"غير معرّف")</f>
        <v>إلكترونيات</v>
      </c>
      <c r="I472" s="81" t="s">
        <v>458</v>
      </c>
      <c r="J472" s="81" t="s">
        <v>91</v>
      </c>
      <c r="K472" s="81" t="n">
        <v>2</v>
      </c>
      <c r="L472" s="84" t="n">
        <f aca="false">IFERROR(INDEX(p_Price,MATCH($F472,p_ID,0)),0)</f>
        <v>2400</v>
      </c>
      <c r="M472" s="85" t="n">
        <v>0</v>
      </c>
      <c r="N472" s="81" t="s">
        <v>644</v>
      </c>
      <c r="O472" s="84" t="n">
        <f aca="false">IF($N472="مرتجع",0,K472*L472*(1-M472))</f>
        <v>4800</v>
      </c>
      <c r="P472" s="84" t="n">
        <f aca="false">IF($N472="مرتجع",0,K472*IFERROR(INDEX(p_Cost,MATCH($F472,p_ID,0)),0))</f>
        <v>3500</v>
      </c>
      <c r="Q472" s="84" t="n">
        <f aca="false">O472-P472</f>
        <v>1300</v>
      </c>
      <c r="R472" s="86" t="n">
        <f aca="false">DATE(YEAR(B472),MONTH(B472),1)</f>
        <v>46023</v>
      </c>
      <c r="S472" s="83" t="str">
        <f aca="false">YEAR(B472)&amp;"-Q"&amp;ROUNDUP(MONTH(B472)/3,0)</f>
        <v>2026-Q1</v>
      </c>
      <c r="T472" s="87" t="n">
        <f aca="false">IF(O472&gt;0,Q472/O472,"")</f>
        <v>0.270833333333333</v>
      </c>
      <c r="U472" s="84" t="n">
        <f aca="false">IF(O472&gt;0,O472,"")</f>
        <v>4800</v>
      </c>
    </row>
    <row r="473" customFormat="false" ht="15" hidden="false" customHeight="false" outlineLevel="0" collapsed="false">
      <c r="A473" s="81" t="s">
        <v>1116</v>
      </c>
      <c r="B473" s="82" t="n">
        <v>46032</v>
      </c>
      <c r="C473" s="81" t="s">
        <v>382</v>
      </c>
      <c r="D473" s="83" t="str">
        <f aca="false">IFERROR(INDEX(c_Name,MATCH($C473,c_ID,0)),"غير معرّف")</f>
        <v>دانة العتيبي</v>
      </c>
      <c r="E473" s="83" t="str">
        <f aca="false">IFERROR(INDEX(c_Region,MATCH($C473,c_ID,0)),"غير معرّف")</f>
        <v>الشرقية</v>
      </c>
      <c r="F473" s="81" t="s">
        <v>179</v>
      </c>
      <c r="G473" s="83" t="str">
        <f aca="false">IFERROR(INDEX(p_Name,MATCH($F473,p_ID,0)),"غير معرّف")</f>
        <v>طقم أدوات مكتبية</v>
      </c>
      <c r="H473" s="83" t="str">
        <f aca="false">IFERROR(INDEX(p_Cat,MATCH($F473,p_ID,0)),"غير معرّف")</f>
        <v>مستلزمات مكتبية</v>
      </c>
      <c r="I473" s="81" t="s">
        <v>463</v>
      </c>
      <c r="J473" s="81" t="s">
        <v>95</v>
      </c>
      <c r="K473" s="81" t="n">
        <v>18</v>
      </c>
      <c r="L473" s="84" t="n">
        <f aca="false">IFERROR(INDEX(p_Price,MATCH($F473,p_ID,0)),0)</f>
        <v>90</v>
      </c>
      <c r="M473" s="85" t="n">
        <v>0.15</v>
      </c>
      <c r="N473" s="81" t="s">
        <v>644</v>
      </c>
      <c r="O473" s="84" t="n">
        <f aca="false">IF($N473="مرتجع",0,K473*L473*(1-M473))</f>
        <v>1377</v>
      </c>
      <c r="P473" s="84" t="n">
        <f aca="false">IF($N473="مرتجع",0,K473*IFERROR(INDEX(p_Cost,MATCH($F473,p_ID,0)),0))</f>
        <v>810</v>
      </c>
      <c r="Q473" s="84" t="n">
        <f aca="false">O473-P473</f>
        <v>567</v>
      </c>
      <c r="R473" s="86" t="n">
        <f aca="false">DATE(YEAR(B473),MONTH(B473),1)</f>
        <v>46023</v>
      </c>
      <c r="S473" s="83" t="str">
        <f aca="false">YEAR(B473)&amp;"-Q"&amp;ROUNDUP(MONTH(B473)/3,0)</f>
        <v>2026-Q1</v>
      </c>
      <c r="T473" s="87" t="n">
        <f aca="false">IF(O473&gt;0,Q473/O473,"")</f>
        <v>0.411764705882353</v>
      </c>
      <c r="U473" s="84" t="n">
        <f aca="false">IF(O473&gt;0,O473,"")</f>
        <v>1377</v>
      </c>
    </row>
    <row r="474" customFormat="false" ht="15" hidden="false" customHeight="false" outlineLevel="0" collapsed="false">
      <c r="A474" s="81" t="s">
        <v>1117</v>
      </c>
      <c r="B474" s="82" t="n">
        <v>46033</v>
      </c>
      <c r="C474" s="81" t="s">
        <v>233</v>
      </c>
      <c r="D474" s="83" t="str">
        <f aca="false">IFERROR(INDEX(c_Name,MATCH($C474,c_ID,0)),"غير معرّف")</f>
        <v>سلمان الخالدي</v>
      </c>
      <c r="E474" s="83" t="str">
        <f aca="false">IFERROR(INDEX(c_Region,MATCH($C474,c_ID,0)),"غير معرّف")</f>
        <v>الشرقية</v>
      </c>
      <c r="F474" s="81" t="s">
        <v>179</v>
      </c>
      <c r="G474" s="83" t="str">
        <f aca="false">IFERROR(INDEX(p_Name,MATCH($F474,p_ID,0)),"غير معرّف")</f>
        <v>طقم أدوات مكتبية</v>
      </c>
      <c r="H474" s="83" t="str">
        <f aca="false">IFERROR(INDEX(p_Cat,MATCH($F474,p_ID,0)),"غير معرّف")</f>
        <v>مستلزمات مكتبية</v>
      </c>
      <c r="I474" s="81" t="s">
        <v>461</v>
      </c>
      <c r="J474" s="81" t="s">
        <v>93</v>
      </c>
      <c r="K474" s="81" t="n">
        <v>8</v>
      </c>
      <c r="L474" s="84" t="n">
        <f aca="false">IFERROR(INDEX(p_Price,MATCH($F474,p_ID,0)),0)</f>
        <v>90</v>
      </c>
      <c r="M474" s="85" t="n">
        <v>0.1</v>
      </c>
      <c r="N474" s="81" t="s">
        <v>644</v>
      </c>
      <c r="O474" s="84" t="n">
        <f aca="false">IF($N474="مرتجع",0,K474*L474*(1-M474))</f>
        <v>648</v>
      </c>
      <c r="P474" s="84" t="n">
        <f aca="false">IF($N474="مرتجع",0,K474*IFERROR(INDEX(p_Cost,MATCH($F474,p_ID,0)),0))</f>
        <v>360</v>
      </c>
      <c r="Q474" s="84" t="n">
        <f aca="false">O474-P474</f>
        <v>288</v>
      </c>
      <c r="R474" s="86" t="n">
        <f aca="false">DATE(YEAR(B474),MONTH(B474),1)</f>
        <v>46023</v>
      </c>
      <c r="S474" s="83" t="str">
        <f aca="false">YEAR(B474)&amp;"-Q"&amp;ROUNDUP(MONTH(B474)/3,0)</f>
        <v>2026-Q1</v>
      </c>
      <c r="T474" s="87" t="n">
        <f aca="false">IF(O474&gt;0,Q474/O474,"")</f>
        <v>0.444444444444444</v>
      </c>
      <c r="U474" s="84" t="n">
        <f aca="false">IF(O474&gt;0,O474,"")</f>
        <v>648</v>
      </c>
    </row>
    <row r="475" customFormat="false" ht="15" hidden="false" customHeight="false" outlineLevel="0" collapsed="false">
      <c r="A475" s="81" t="s">
        <v>1118</v>
      </c>
      <c r="B475" s="82" t="n">
        <v>46033</v>
      </c>
      <c r="C475" s="81" t="s">
        <v>244</v>
      </c>
      <c r="D475" s="83" t="str">
        <f aca="false">IFERROR(INDEX(c_Name,MATCH($C475,c_ID,0)),"غير معرّف")</f>
        <v>طارق الشهري</v>
      </c>
      <c r="E475" s="83" t="str">
        <f aca="false">IFERROR(INDEX(c_Region,MATCH($C475,c_ID,0)),"غير معرّف")</f>
        <v>الوسطى</v>
      </c>
      <c r="F475" s="81" t="s">
        <v>169</v>
      </c>
      <c r="G475" s="83" t="str">
        <f aca="false">IFERROR(INDEX(p_Name,MATCH($F475,p_ID,0)),"غير معرّف")</f>
        <v>خلاط</v>
      </c>
      <c r="H475" s="83" t="str">
        <f aca="false">IFERROR(INDEX(p_Cat,MATCH($F475,p_ID,0)),"غير معرّف")</f>
        <v>أجهزة منزلية</v>
      </c>
      <c r="I475" s="81" t="s">
        <v>446</v>
      </c>
      <c r="J475" s="81" t="s">
        <v>91</v>
      </c>
      <c r="K475" s="81" t="n">
        <v>3</v>
      </c>
      <c r="L475" s="84" t="n">
        <f aca="false">IFERROR(INDEX(p_Price,MATCH($F475,p_ID,0)),0)</f>
        <v>300</v>
      </c>
      <c r="M475" s="85" t="n">
        <v>0</v>
      </c>
      <c r="N475" s="81" t="s">
        <v>644</v>
      </c>
      <c r="O475" s="84" t="n">
        <f aca="false">IF($N475="مرتجع",0,K475*L475*(1-M475))</f>
        <v>900</v>
      </c>
      <c r="P475" s="84" t="n">
        <f aca="false">IF($N475="مرتجع",0,K475*IFERROR(INDEX(p_Cost,MATCH($F475,p_ID,0)),0))</f>
        <v>525</v>
      </c>
      <c r="Q475" s="84" t="n">
        <f aca="false">O475-P475</f>
        <v>375</v>
      </c>
      <c r="R475" s="86" t="n">
        <f aca="false">DATE(YEAR(B475),MONTH(B475),1)</f>
        <v>46023</v>
      </c>
      <c r="S475" s="83" t="str">
        <f aca="false">YEAR(B475)&amp;"-Q"&amp;ROUNDUP(MONTH(B475)/3,0)</f>
        <v>2026-Q1</v>
      </c>
      <c r="T475" s="87" t="n">
        <f aca="false">IF(O475&gt;0,Q475/O475,"")</f>
        <v>0.416666666666667</v>
      </c>
      <c r="U475" s="84" t="n">
        <f aca="false">IF(O475&gt;0,O475,"")</f>
        <v>900</v>
      </c>
    </row>
    <row r="476" customFormat="false" ht="15" hidden="false" customHeight="false" outlineLevel="0" collapsed="false">
      <c r="A476" s="81" t="s">
        <v>1119</v>
      </c>
      <c r="B476" s="82" t="n">
        <v>46033</v>
      </c>
      <c r="C476" s="81" t="s">
        <v>294</v>
      </c>
      <c r="D476" s="83" t="str">
        <f aca="false">IFERROR(INDEX(c_Name,MATCH($C476,c_ID,0)),"غير معرّف")</f>
        <v>خالد البلوي</v>
      </c>
      <c r="E476" s="83" t="str">
        <f aca="false">IFERROR(INDEX(c_Region,MATCH($C476,c_ID,0)),"غير معرّف")</f>
        <v>الوسطى</v>
      </c>
      <c r="F476" s="81" t="s">
        <v>183</v>
      </c>
      <c r="G476" s="83" t="str">
        <f aca="false">IFERROR(INDEX(p_Name,MATCH($F476,p_ID,0)),"غير معرّف")</f>
        <v>سجادة يوغا</v>
      </c>
      <c r="H476" s="83" t="str">
        <f aca="false">IFERROR(INDEX(p_Cat,MATCH($F476,p_ID,0)),"غير معرّف")</f>
        <v>رياضة</v>
      </c>
      <c r="I476" s="81" t="s">
        <v>446</v>
      </c>
      <c r="J476" s="81" t="s">
        <v>93</v>
      </c>
      <c r="K476" s="81" t="n">
        <v>10</v>
      </c>
      <c r="L476" s="84" t="n">
        <f aca="false">IFERROR(INDEX(p_Price,MATCH($F476,p_ID,0)),0)</f>
        <v>120</v>
      </c>
      <c r="M476" s="85" t="n">
        <v>0</v>
      </c>
      <c r="N476" s="81" t="s">
        <v>644</v>
      </c>
      <c r="O476" s="84" t="n">
        <f aca="false">IF($N476="مرتجع",0,K476*L476*(1-M476))</f>
        <v>1200</v>
      </c>
      <c r="P476" s="84" t="n">
        <f aca="false">IF($N476="مرتجع",0,K476*IFERROR(INDEX(p_Cost,MATCH($F476,p_ID,0)),0))</f>
        <v>500</v>
      </c>
      <c r="Q476" s="84" t="n">
        <f aca="false">O476-P476</f>
        <v>700</v>
      </c>
      <c r="R476" s="86" t="n">
        <f aca="false">DATE(YEAR(B476),MONTH(B476),1)</f>
        <v>46023</v>
      </c>
      <c r="S476" s="83" t="str">
        <f aca="false">YEAR(B476)&amp;"-Q"&amp;ROUNDUP(MONTH(B476)/3,0)</f>
        <v>2026-Q1</v>
      </c>
      <c r="T476" s="87" t="n">
        <f aca="false">IF(O476&gt;0,Q476/O476,"")</f>
        <v>0.583333333333333</v>
      </c>
      <c r="U476" s="84" t="n">
        <f aca="false">IF(O476&gt;0,O476,"")</f>
        <v>1200</v>
      </c>
    </row>
    <row r="477" customFormat="false" ht="15" hidden="false" customHeight="false" outlineLevel="0" collapsed="false">
      <c r="A477" s="81" t="s">
        <v>1120</v>
      </c>
      <c r="B477" s="82" t="n">
        <v>46033</v>
      </c>
      <c r="C477" s="81" t="s">
        <v>392</v>
      </c>
      <c r="D477" s="83" t="str">
        <f aca="false">IFERROR(INDEX(c_Name,MATCH($C477,c_ID,0)),"غير معرّف")</f>
        <v>ريم الزهراني</v>
      </c>
      <c r="E477" s="83" t="str">
        <f aca="false">IFERROR(INDEX(c_Region,MATCH($C477,c_ID,0)),"غير معرّف")</f>
        <v>الوسطى</v>
      </c>
      <c r="F477" s="81" t="s">
        <v>166</v>
      </c>
      <c r="G477" s="83" t="str">
        <f aca="false">IFERROR(INDEX(p_Name,MATCH($F477,p_ID,0)),"غير معرّف")</f>
        <v>سماعات لاسلكية</v>
      </c>
      <c r="H477" s="83" t="str">
        <f aca="false">IFERROR(INDEX(p_Cat,MATCH($F477,p_ID,0)),"غير معرّف")</f>
        <v>إلكترونيات</v>
      </c>
      <c r="I477" s="81" t="s">
        <v>446</v>
      </c>
      <c r="J477" s="81" t="s">
        <v>93</v>
      </c>
      <c r="K477" s="81" t="n">
        <v>3</v>
      </c>
      <c r="L477" s="84" t="n">
        <f aca="false">IFERROR(INDEX(p_Price,MATCH($F477,p_ID,0)),0)</f>
        <v>450</v>
      </c>
      <c r="M477" s="85" t="n">
        <v>0.1</v>
      </c>
      <c r="N477" s="81" t="s">
        <v>644</v>
      </c>
      <c r="O477" s="84" t="n">
        <f aca="false">IF($N477="مرتجع",0,K477*L477*(1-M477))</f>
        <v>1215</v>
      </c>
      <c r="P477" s="84" t="n">
        <f aca="false">IF($N477="مرتجع",0,K477*IFERROR(INDEX(p_Cost,MATCH($F477,p_ID,0)),0))</f>
        <v>780</v>
      </c>
      <c r="Q477" s="84" t="n">
        <f aca="false">O477-P477</f>
        <v>435</v>
      </c>
      <c r="R477" s="86" t="n">
        <f aca="false">DATE(YEAR(B477),MONTH(B477),1)</f>
        <v>46023</v>
      </c>
      <c r="S477" s="83" t="str">
        <f aca="false">YEAR(B477)&amp;"-Q"&amp;ROUNDUP(MONTH(B477)/3,0)</f>
        <v>2026-Q1</v>
      </c>
      <c r="T477" s="87" t="n">
        <f aca="false">IF(O477&gt;0,Q477/O477,"")</f>
        <v>0.358024691358025</v>
      </c>
      <c r="U477" s="84" t="n">
        <f aca="false">IF(O477&gt;0,O477,"")</f>
        <v>1215</v>
      </c>
    </row>
    <row r="478" customFormat="false" ht="15" hidden="false" customHeight="false" outlineLevel="0" collapsed="false">
      <c r="A478" s="81" t="s">
        <v>1121</v>
      </c>
      <c r="B478" s="82" t="n">
        <v>46033</v>
      </c>
      <c r="C478" s="81" t="s">
        <v>260</v>
      </c>
      <c r="D478" s="83" t="str">
        <f aca="false">IFERROR(INDEX(c_Name,MATCH($C478,c_ID,0)),"غير معرّف")</f>
        <v>منى العتيبي</v>
      </c>
      <c r="E478" s="83" t="str">
        <f aca="false">IFERROR(INDEX(c_Region,MATCH($C478,c_ID,0)),"غير معرّف")</f>
        <v>الشرقية</v>
      </c>
      <c r="F478" s="81" t="s">
        <v>177</v>
      </c>
      <c r="G478" s="83" t="str">
        <f aca="false">IFERROR(INDEX(p_Name,MATCH($F478,p_ID,0)),"غير معرّف")</f>
        <v>ورق A4 (صندوق)</v>
      </c>
      <c r="H478" s="83" t="str">
        <f aca="false">IFERROR(INDEX(p_Cat,MATCH($F478,p_ID,0)),"غير معرّف")</f>
        <v>مستلزمات مكتبية</v>
      </c>
      <c r="I478" s="81" t="s">
        <v>463</v>
      </c>
      <c r="J478" s="81" t="s">
        <v>95</v>
      </c>
      <c r="K478" s="81" t="n">
        <v>6</v>
      </c>
      <c r="L478" s="84" t="n">
        <f aca="false">IFERROR(INDEX(p_Price,MATCH($F478,p_ID,0)),0)</f>
        <v>140</v>
      </c>
      <c r="M478" s="85" t="n">
        <v>0.1</v>
      </c>
      <c r="N478" s="81" t="s">
        <v>644</v>
      </c>
      <c r="O478" s="84" t="n">
        <f aca="false">IF($N478="مرتجع",0,K478*L478*(1-M478))</f>
        <v>756</v>
      </c>
      <c r="P478" s="84" t="n">
        <f aca="false">IF($N478="مرتجع",0,K478*IFERROR(INDEX(p_Cost,MATCH($F478,p_ID,0)),0))</f>
        <v>570</v>
      </c>
      <c r="Q478" s="84" t="n">
        <f aca="false">O478-P478</f>
        <v>186</v>
      </c>
      <c r="R478" s="86" t="n">
        <f aca="false">DATE(YEAR(B478),MONTH(B478),1)</f>
        <v>46023</v>
      </c>
      <c r="S478" s="83" t="str">
        <f aca="false">YEAR(B478)&amp;"-Q"&amp;ROUNDUP(MONTH(B478)/3,0)</f>
        <v>2026-Q1</v>
      </c>
      <c r="T478" s="87" t="n">
        <f aca="false">IF(O478&gt;0,Q478/O478,"")</f>
        <v>0.246031746031746</v>
      </c>
      <c r="U478" s="84" t="n">
        <f aca="false">IF(O478&gt;0,O478,"")</f>
        <v>756</v>
      </c>
    </row>
    <row r="479" customFormat="false" ht="15" hidden="false" customHeight="false" outlineLevel="0" collapsed="false">
      <c r="A479" s="81" t="s">
        <v>1122</v>
      </c>
      <c r="B479" s="82" t="n">
        <v>46033</v>
      </c>
      <c r="C479" s="81" t="s">
        <v>323</v>
      </c>
      <c r="D479" s="83" t="str">
        <f aca="false">IFERROR(INDEX(c_Name,MATCH($C479,c_ID,0)),"غير معرّف")</f>
        <v>ليلى الدوسري</v>
      </c>
      <c r="E479" s="83" t="str">
        <f aca="false">IFERROR(INDEX(c_Region,MATCH($C479,c_ID,0)),"غير معرّف")</f>
        <v>الشرقية</v>
      </c>
      <c r="F479" s="81" t="s">
        <v>171</v>
      </c>
      <c r="G479" s="83" t="str">
        <f aca="false">IFERROR(INDEX(p_Name,MATCH($F479,p_ID,0)),"غير معرّف")</f>
        <v>قلاية هوائية</v>
      </c>
      <c r="H479" s="83" t="str">
        <f aca="false">IFERROR(INDEX(p_Cat,MATCH($F479,p_ID,0)),"غير معرّف")</f>
        <v>أجهزة منزلية</v>
      </c>
      <c r="I479" s="81" t="s">
        <v>461</v>
      </c>
      <c r="J479" s="81" t="s">
        <v>91</v>
      </c>
      <c r="K479" s="81" t="n">
        <v>1</v>
      </c>
      <c r="L479" s="84" t="n">
        <f aca="false">IFERROR(INDEX(p_Price,MATCH($F479,p_ID,0)),0)</f>
        <v>520</v>
      </c>
      <c r="M479" s="85" t="n">
        <v>0</v>
      </c>
      <c r="N479" s="81" t="s">
        <v>644</v>
      </c>
      <c r="O479" s="84" t="n">
        <f aca="false">IF($N479="مرتجع",0,K479*L479*(1-M479))</f>
        <v>520</v>
      </c>
      <c r="P479" s="84" t="n">
        <f aca="false">IF($N479="مرتجع",0,K479*IFERROR(INDEX(p_Cost,MATCH($F479,p_ID,0)),0))</f>
        <v>300</v>
      </c>
      <c r="Q479" s="84" t="n">
        <f aca="false">O479-P479</f>
        <v>220</v>
      </c>
      <c r="R479" s="86" t="n">
        <f aca="false">DATE(YEAR(B479),MONTH(B479),1)</f>
        <v>46023</v>
      </c>
      <c r="S479" s="83" t="str">
        <f aca="false">YEAR(B479)&amp;"-Q"&amp;ROUNDUP(MONTH(B479)/3,0)</f>
        <v>2026-Q1</v>
      </c>
      <c r="T479" s="87" t="n">
        <f aca="false">IF(O479&gt;0,Q479/O479,"")</f>
        <v>0.423076923076923</v>
      </c>
      <c r="U479" s="84" t="n">
        <f aca="false">IF(O479&gt;0,O479,"")</f>
        <v>520</v>
      </c>
    </row>
    <row r="480" customFormat="false" ht="15" hidden="false" customHeight="false" outlineLevel="0" collapsed="false">
      <c r="A480" s="81" t="s">
        <v>1123</v>
      </c>
      <c r="B480" s="82" t="n">
        <v>46034</v>
      </c>
      <c r="C480" s="81" t="s">
        <v>350</v>
      </c>
      <c r="D480" s="83" t="str">
        <f aca="false">IFERROR(INDEX(c_Name,MATCH($C480,c_ID,0)),"غير معرّف")</f>
        <v>نورة التميمي</v>
      </c>
      <c r="E480" s="83" t="str">
        <f aca="false">IFERROR(INDEX(c_Region,MATCH($C480,c_ID,0)),"غير معرّف")</f>
        <v>الغربية</v>
      </c>
      <c r="F480" s="81" t="s">
        <v>177</v>
      </c>
      <c r="G480" s="83" t="str">
        <f aca="false">IFERROR(INDEX(p_Name,MATCH($F480,p_ID,0)),"غير معرّف")</f>
        <v>ورق A4 (صندوق)</v>
      </c>
      <c r="H480" s="83" t="str">
        <f aca="false">IFERROR(INDEX(p_Cat,MATCH($F480,p_ID,0)),"غير معرّف")</f>
        <v>مستلزمات مكتبية</v>
      </c>
      <c r="I480" s="81" t="s">
        <v>458</v>
      </c>
      <c r="J480" s="81" t="s">
        <v>91</v>
      </c>
      <c r="K480" s="81" t="n">
        <v>1</v>
      </c>
      <c r="L480" s="84" t="n">
        <f aca="false">IFERROR(INDEX(p_Price,MATCH($F480,p_ID,0)),0)</f>
        <v>140</v>
      </c>
      <c r="M480" s="85" t="n">
        <v>0.05</v>
      </c>
      <c r="N480" s="81" t="s">
        <v>644</v>
      </c>
      <c r="O480" s="84" t="n">
        <f aca="false">IF($N480="مرتجع",0,K480*L480*(1-M480))</f>
        <v>133</v>
      </c>
      <c r="P480" s="84" t="n">
        <f aca="false">IF($N480="مرتجع",0,K480*IFERROR(INDEX(p_Cost,MATCH($F480,p_ID,0)),0))</f>
        <v>95</v>
      </c>
      <c r="Q480" s="84" t="n">
        <f aca="false">O480-P480</f>
        <v>38</v>
      </c>
      <c r="R480" s="86" t="n">
        <f aca="false">DATE(YEAR(B480),MONTH(B480),1)</f>
        <v>46023</v>
      </c>
      <c r="S480" s="83" t="str">
        <f aca="false">YEAR(B480)&amp;"-Q"&amp;ROUNDUP(MONTH(B480)/3,0)</f>
        <v>2026-Q1</v>
      </c>
      <c r="T480" s="87" t="n">
        <f aca="false">IF(O480&gt;0,Q480/O480,"")</f>
        <v>0.285714285714286</v>
      </c>
      <c r="U480" s="84" t="n">
        <f aca="false">IF(O480&gt;0,O480,"")</f>
        <v>133</v>
      </c>
    </row>
    <row r="481" customFormat="false" ht="15" hidden="false" customHeight="false" outlineLevel="0" collapsed="false">
      <c r="A481" s="81" t="s">
        <v>1124</v>
      </c>
      <c r="B481" s="82" t="n">
        <v>46034</v>
      </c>
      <c r="C481" s="81" t="s">
        <v>385</v>
      </c>
      <c r="D481" s="83" t="str">
        <f aca="false">IFERROR(INDEX(c_Name,MATCH($C481,c_ID,0)),"غير معرّف")</f>
        <v>سارة الشهري</v>
      </c>
      <c r="E481" s="83" t="str">
        <f aca="false">IFERROR(INDEX(c_Region,MATCH($C481,c_ID,0)),"غير معرّف")</f>
        <v>الشرقية</v>
      </c>
      <c r="F481" s="81" t="s">
        <v>183</v>
      </c>
      <c r="G481" s="83" t="str">
        <f aca="false">IFERROR(INDEX(p_Name,MATCH($F481,p_ID,0)),"غير معرّف")</f>
        <v>سجادة يوغا</v>
      </c>
      <c r="H481" s="83" t="str">
        <f aca="false">IFERROR(INDEX(p_Cat,MATCH($F481,p_ID,0)),"غير معرّف")</f>
        <v>رياضة</v>
      </c>
      <c r="I481" s="81" t="s">
        <v>463</v>
      </c>
      <c r="J481" s="81" t="s">
        <v>91</v>
      </c>
      <c r="K481" s="81" t="n">
        <v>2</v>
      </c>
      <c r="L481" s="84" t="n">
        <f aca="false">IFERROR(INDEX(p_Price,MATCH($F481,p_ID,0)),0)</f>
        <v>120</v>
      </c>
      <c r="M481" s="85" t="n">
        <v>0.05</v>
      </c>
      <c r="N481" s="81" t="s">
        <v>644</v>
      </c>
      <c r="O481" s="84" t="n">
        <f aca="false">IF($N481="مرتجع",0,K481*L481*(1-M481))</f>
        <v>228</v>
      </c>
      <c r="P481" s="84" t="n">
        <f aca="false">IF($N481="مرتجع",0,K481*IFERROR(INDEX(p_Cost,MATCH($F481,p_ID,0)),0))</f>
        <v>100</v>
      </c>
      <c r="Q481" s="84" t="n">
        <f aca="false">O481-P481</f>
        <v>128</v>
      </c>
      <c r="R481" s="86" t="n">
        <f aca="false">DATE(YEAR(B481),MONTH(B481),1)</f>
        <v>46023</v>
      </c>
      <c r="S481" s="83" t="str">
        <f aca="false">YEAR(B481)&amp;"-Q"&amp;ROUNDUP(MONTH(B481)/3,0)</f>
        <v>2026-Q1</v>
      </c>
      <c r="T481" s="87" t="n">
        <f aca="false">IF(O481&gt;0,Q481/O481,"")</f>
        <v>0.56140350877193</v>
      </c>
      <c r="U481" s="84" t="n">
        <f aca="false">IF(O481&gt;0,O481,"")</f>
        <v>228</v>
      </c>
    </row>
    <row r="482" customFormat="false" ht="15" hidden="false" customHeight="false" outlineLevel="0" collapsed="false">
      <c r="A482" s="81" t="s">
        <v>1125</v>
      </c>
      <c r="B482" s="82" t="n">
        <v>46034</v>
      </c>
      <c r="C482" s="81" t="s">
        <v>334</v>
      </c>
      <c r="D482" s="83" t="str">
        <f aca="false">IFERROR(INDEX(c_Name,MATCH($C482,c_ID,0)),"غير معرّف")</f>
        <v>ناصر الغامدي</v>
      </c>
      <c r="E482" s="83" t="str">
        <f aca="false">IFERROR(INDEX(c_Region,MATCH($C482,c_ID,0)),"غير معرّف")</f>
        <v>الغربية</v>
      </c>
      <c r="F482" s="81" t="s">
        <v>174</v>
      </c>
      <c r="G482" s="83" t="str">
        <f aca="false">IFERROR(INDEX(p_Name,MATCH($F482,p_ID,0)),"غير معرّف")</f>
        <v>خزانة ملفات</v>
      </c>
      <c r="H482" s="83" t="str">
        <f aca="false">IFERROR(INDEX(p_Cat,MATCH($F482,p_ID,0)),"غير معرّف")</f>
        <v>أثاث</v>
      </c>
      <c r="I482" s="81" t="s">
        <v>458</v>
      </c>
      <c r="J482" s="81" t="s">
        <v>91</v>
      </c>
      <c r="K482" s="81" t="n">
        <v>1</v>
      </c>
      <c r="L482" s="84" t="n">
        <f aca="false">IFERROR(INDEX(p_Price,MATCH($F482,p_ID,0)),0)</f>
        <v>700</v>
      </c>
      <c r="M482" s="85" t="n">
        <v>0.05</v>
      </c>
      <c r="N482" s="81" t="s">
        <v>644</v>
      </c>
      <c r="O482" s="84" t="n">
        <f aca="false">IF($N482="مرتجع",0,K482*L482*(1-M482))</f>
        <v>665</v>
      </c>
      <c r="P482" s="84" t="n">
        <f aca="false">IF($N482="مرتجع",0,K482*IFERROR(INDEX(p_Cost,MATCH($F482,p_ID,0)),0))</f>
        <v>410</v>
      </c>
      <c r="Q482" s="84" t="n">
        <f aca="false">O482-P482</f>
        <v>255</v>
      </c>
      <c r="R482" s="86" t="n">
        <f aca="false">DATE(YEAR(B482),MONTH(B482),1)</f>
        <v>46023</v>
      </c>
      <c r="S482" s="83" t="str">
        <f aca="false">YEAR(B482)&amp;"-Q"&amp;ROUNDUP(MONTH(B482)/3,0)</f>
        <v>2026-Q1</v>
      </c>
      <c r="T482" s="87" t="n">
        <f aca="false">IF(O482&gt;0,Q482/O482,"")</f>
        <v>0.383458646616541</v>
      </c>
      <c r="U482" s="84" t="n">
        <f aca="false">IF(O482&gt;0,O482,"")</f>
        <v>665</v>
      </c>
    </row>
    <row r="483" customFormat="false" ht="15" hidden="false" customHeight="false" outlineLevel="0" collapsed="false">
      <c r="A483" s="81" t="s">
        <v>1126</v>
      </c>
      <c r="B483" s="82" t="n">
        <v>46034</v>
      </c>
      <c r="C483" s="81" t="s">
        <v>323</v>
      </c>
      <c r="D483" s="83" t="str">
        <f aca="false">IFERROR(INDEX(c_Name,MATCH($C483,c_ID,0)),"غير معرّف")</f>
        <v>ليلى الدوسري</v>
      </c>
      <c r="E483" s="83" t="str">
        <f aca="false">IFERROR(INDEX(c_Region,MATCH($C483,c_ID,0)),"غير معرّف")</f>
        <v>الشرقية</v>
      </c>
      <c r="F483" s="81" t="s">
        <v>186</v>
      </c>
      <c r="G483" s="83" t="str">
        <f aca="false">IFERROR(INDEX(p_Name,MATCH($F483,p_ID,0)),"غير معرّف")</f>
        <v>مجفف شعر</v>
      </c>
      <c r="H483" s="83" t="str">
        <f aca="false">IFERROR(INDEX(p_Cat,MATCH($F483,p_ID,0)),"غير معرّف")</f>
        <v>عناية شخصية</v>
      </c>
      <c r="I483" s="81" t="s">
        <v>463</v>
      </c>
      <c r="J483" s="81" t="s">
        <v>91</v>
      </c>
      <c r="K483" s="81" t="n">
        <v>2</v>
      </c>
      <c r="L483" s="84" t="n">
        <f aca="false">IFERROR(INDEX(p_Price,MATCH($F483,p_ID,0)),0)</f>
        <v>280</v>
      </c>
      <c r="M483" s="85" t="n">
        <v>0</v>
      </c>
      <c r="N483" s="81" t="s">
        <v>644</v>
      </c>
      <c r="O483" s="84" t="n">
        <f aca="false">IF($N483="مرتجع",0,K483*L483*(1-M483))</f>
        <v>560</v>
      </c>
      <c r="P483" s="84" t="n">
        <f aca="false">IF($N483="مرتجع",0,K483*IFERROR(INDEX(p_Cost,MATCH($F483,p_ID,0)),0))</f>
        <v>280</v>
      </c>
      <c r="Q483" s="84" t="n">
        <f aca="false">O483-P483</f>
        <v>280</v>
      </c>
      <c r="R483" s="86" t="n">
        <f aca="false">DATE(YEAR(B483),MONTH(B483),1)</f>
        <v>46023</v>
      </c>
      <c r="S483" s="83" t="str">
        <f aca="false">YEAR(B483)&amp;"-Q"&amp;ROUNDUP(MONTH(B483)/3,0)</f>
        <v>2026-Q1</v>
      </c>
      <c r="T483" s="87" t="n">
        <f aca="false">IF(O483&gt;0,Q483/O483,"")</f>
        <v>0.5</v>
      </c>
      <c r="U483" s="84" t="n">
        <f aca="false">IF(O483&gt;0,O483,"")</f>
        <v>560</v>
      </c>
    </row>
    <row r="484" customFormat="false" ht="15" hidden="false" customHeight="false" outlineLevel="0" collapsed="false">
      <c r="A484" s="81" t="s">
        <v>1127</v>
      </c>
      <c r="B484" s="82" t="n">
        <v>46034</v>
      </c>
      <c r="C484" s="81" t="s">
        <v>427</v>
      </c>
      <c r="D484" s="83" t="str">
        <f aca="false">IFERROR(INDEX(c_Name,MATCH($C484,c_ID,0)),"غير معرّف")</f>
        <v>محمد العنزي</v>
      </c>
      <c r="E484" s="83" t="str">
        <f aca="false">IFERROR(INDEX(c_Region,MATCH($C484,c_ID,0)),"غير معرّف")</f>
        <v>الشرقية</v>
      </c>
      <c r="F484" s="81" t="s">
        <v>182</v>
      </c>
      <c r="G484" s="83" t="str">
        <f aca="false">IFERROR(INDEX(p_Name,MATCH($F484,p_ID,0)),"غير معرّف")</f>
        <v>طقم أوزان</v>
      </c>
      <c r="H484" s="83" t="str">
        <f aca="false">IFERROR(INDEX(p_Cat,MATCH($F484,p_ID,0)),"غير معرّف")</f>
        <v>رياضة</v>
      </c>
      <c r="I484" s="81" t="s">
        <v>463</v>
      </c>
      <c r="J484" s="81" t="s">
        <v>95</v>
      </c>
      <c r="K484" s="81" t="n">
        <v>4</v>
      </c>
      <c r="L484" s="84" t="n">
        <f aca="false">IFERROR(INDEX(p_Price,MATCH($F484,p_ID,0)),0)</f>
        <v>380</v>
      </c>
      <c r="M484" s="85" t="n">
        <v>0</v>
      </c>
      <c r="N484" s="81" t="s">
        <v>644</v>
      </c>
      <c r="O484" s="84" t="n">
        <f aca="false">IF($N484="مرتجع",0,K484*L484*(1-M484))</f>
        <v>1520</v>
      </c>
      <c r="P484" s="84" t="n">
        <f aca="false">IF($N484="مرتجع",0,K484*IFERROR(INDEX(p_Cost,MATCH($F484,p_ID,0)),0))</f>
        <v>840</v>
      </c>
      <c r="Q484" s="84" t="n">
        <f aca="false">O484-P484</f>
        <v>680</v>
      </c>
      <c r="R484" s="86" t="n">
        <f aca="false">DATE(YEAR(B484),MONTH(B484),1)</f>
        <v>46023</v>
      </c>
      <c r="S484" s="83" t="str">
        <f aca="false">YEAR(B484)&amp;"-Q"&amp;ROUNDUP(MONTH(B484)/3,0)</f>
        <v>2026-Q1</v>
      </c>
      <c r="T484" s="87" t="n">
        <f aca="false">IF(O484&gt;0,Q484/O484,"")</f>
        <v>0.447368421052632</v>
      </c>
      <c r="U484" s="84" t="n">
        <f aca="false">IF(O484&gt;0,O484,"")</f>
        <v>1520</v>
      </c>
    </row>
    <row r="485" customFormat="false" ht="15" hidden="false" customHeight="false" outlineLevel="0" collapsed="false">
      <c r="A485" s="81" t="s">
        <v>1128</v>
      </c>
      <c r="B485" s="82" t="n">
        <v>46035</v>
      </c>
      <c r="C485" s="81" t="s">
        <v>400</v>
      </c>
      <c r="D485" s="83" t="str">
        <f aca="false">IFERROR(INDEX(c_Name,MATCH($C485,c_ID,0)),"غير معرّف")</f>
        <v>عبير الشهري</v>
      </c>
      <c r="E485" s="83" t="str">
        <f aca="false">IFERROR(INDEX(c_Region,MATCH($C485,c_ID,0)),"غير معرّف")</f>
        <v>الوسطى</v>
      </c>
      <c r="F485" s="81" t="s">
        <v>173</v>
      </c>
      <c r="G485" s="83" t="str">
        <f aca="false">IFERROR(INDEX(p_Name,MATCH($F485,p_ID,0)),"غير معرّف")</f>
        <v>كرسي مريح</v>
      </c>
      <c r="H485" s="83" t="str">
        <f aca="false">IFERROR(INDEX(p_Cat,MATCH($F485,p_ID,0)),"غير معرّف")</f>
        <v>أثاث</v>
      </c>
      <c r="I485" s="81" t="s">
        <v>446</v>
      </c>
      <c r="J485" s="81" t="s">
        <v>93</v>
      </c>
      <c r="K485" s="81" t="n">
        <v>1</v>
      </c>
      <c r="L485" s="84" t="n">
        <f aca="false">IFERROR(INDEX(p_Price,MATCH($F485,p_ID,0)),0)</f>
        <v>850</v>
      </c>
      <c r="M485" s="85" t="n">
        <v>0</v>
      </c>
      <c r="N485" s="81" t="s">
        <v>644</v>
      </c>
      <c r="O485" s="84" t="n">
        <f aca="false">IF($N485="مرتجع",0,K485*L485*(1-M485))</f>
        <v>850</v>
      </c>
      <c r="P485" s="84" t="n">
        <f aca="false">IF($N485="مرتجع",0,K485*IFERROR(INDEX(p_Cost,MATCH($F485,p_ID,0)),0))</f>
        <v>480</v>
      </c>
      <c r="Q485" s="84" t="n">
        <f aca="false">O485-P485</f>
        <v>370</v>
      </c>
      <c r="R485" s="86" t="n">
        <f aca="false">DATE(YEAR(B485),MONTH(B485),1)</f>
        <v>46023</v>
      </c>
      <c r="S485" s="83" t="str">
        <f aca="false">YEAR(B485)&amp;"-Q"&amp;ROUNDUP(MONTH(B485)/3,0)</f>
        <v>2026-Q1</v>
      </c>
      <c r="T485" s="87" t="n">
        <f aca="false">IF(O485&gt;0,Q485/O485,"")</f>
        <v>0.435294117647059</v>
      </c>
      <c r="U485" s="84" t="n">
        <f aca="false">IF(O485&gt;0,O485,"")</f>
        <v>850</v>
      </c>
    </row>
    <row r="486" customFormat="false" ht="15" hidden="false" customHeight="false" outlineLevel="0" collapsed="false">
      <c r="A486" s="81" t="s">
        <v>1129</v>
      </c>
      <c r="B486" s="82" t="n">
        <v>46035</v>
      </c>
      <c r="C486" s="81" t="s">
        <v>326</v>
      </c>
      <c r="D486" s="83" t="str">
        <f aca="false">IFERROR(INDEX(c_Name,MATCH($C486,c_ID,0)),"غير معرّف")</f>
        <v>دانة القحطاني</v>
      </c>
      <c r="E486" s="83" t="str">
        <f aca="false">IFERROR(INDEX(c_Region,MATCH($C486,c_ID,0)),"غير معرّف")</f>
        <v>الوسطى</v>
      </c>
      <c r="F486" s="81" t="s">
        <v>187</v>
      </c>
      <c r="G486" s="83" t="str">
        <f aca="false">IFERROR(INDEX(p_Name,MATCH($F486,p_ID,0)),"غير معرّف")</f>
        <v>جهاز تدليك</v>
      </c>
      <c r="H486" s="83" t="str">
        <f aca="false">IFERROR(INDEX(p_Cat,MATCH($F486,p_ID,0)),"غير معرّف")</f>
        <v>عناية شخصية</v>
      </c>
      <c r="I486" s="81" t="s">
        <v>449</v>
      </c>
      <c r="J486" s="81" t="s">
        <v>93</v>
      </c>
      <c r="K486" s="81" t="n">
        <v>2</v>
      </c>
      <c r="L486" s="84" t="n">
        <f aca="false">IFERROR(INDEX(p_Price,MATCH($F486,p_ID,0)),0)</f>
        <v>600</v>
      </c>
      <c r="M486" s="85" t="n">
        <v>0.05</v>
      </c>
      <c r="N486" s="81" t="s">
        <v>644</v>
      </c>
      <c r="O486" s="84" t="n">
        <f aca="false">IF($N486="مرتجع",0,K486*L486*(1-M486))</f>
        <v>1140</v>
      </c>
      <c r="P486" s="84" t="n">
        <f aca="false">IF($N486="مرتجع",0,K486*IFERROR(INDEX(p_Cost,MATCH($F486,p_ID,0)),0))</f>
        <v>660</v>
      </c>
      <c r="Q486" s="84" t="n">
        <f aca="false">O486-P486</f>
        <v>480</v>
      </c>
      <c r="R486" s="86" t="n">
        <f aca="false">DATE(YEAR(B486),MONTH(B486),1)</f>
        <v>46023</v>
      </c>
      <c r="S486" s="83" t="str">
        <f aca="false">YEAR(B486)&amp;"-Q"&amp;ROUNDUP(MONTH(B486)/3,0)</f>
        <v>2026-Q1</v>
      </c>
      <c r="T486" s="87" t="n">
        <f aca="false">IF(O486&gt;0,Q486/O486,"")</f>
        <v>0.421052631578947</v>
      </c>
      <c r="U486" s="84" t="n">
        <f aca="false">IF(O486&gt;0,O486,"")</f>
        <v>1140</v>
      </c>
    </row>
    <row r="487" customFormat="false" ht="15" hidden="false" customHeight="false" outlineLevel="0" collapsed="false">
      <c r="A487" s="81" t="s">
        <v>1130</v>
      </c>
      <c r="B487" s="82" t="n">
        <v>46036</v>
      </c>
      <c r="C487" s="81" t="s">
        <v>299</v>
      </c>
      <c r="D487" s="83" t="str">
        <f aca="false">IFERROR(INDEX(c_Name,MATCH($C487,c_ID,0)),"غير معرّف")</f>
        <v>جود الخالدي</v>
      </c>
      <c r="E487" s="83" t="str">
        <f aca="false">IFERROR(INDEX(c_Region,MATCH($C487,c_ID,0)),"غير معرّف")</f>
        <v>الوسطى</v>
      </c>
      <c r="F487" s="81" t="s">
        <v>186</v>
      </c>
      <c r="G487" s="83" t="str">
        <f aca="false">IFERROR(INDEX(p_Name,MATCH($F487,p_ID,0)),"غير معرّف")</f>
        <v>مجفف شعر</v>
      </c>
      <c r="H487" s="83" t="str">
        <f aca="false">IFERROR(INDEX(p_Cat,MATCH($F487,p_ID,0)),"غير معرّف")</f>
        <v>عناية شخصية</v>
      </c>
      <c r="I487" s="81" t="s">
        <v>443</v>
      </c>
      <c r="J487" s="81" t="s">
        <v>93</v>
      </c>
      <c r="K487" s="81" t="n">
        <v>2</v>
      </c>
      <c r="L487" s="84" t="n">
        <f aca="false">IFERROR(INDEX(p_Price,MATCH($F487,p_ID,0)),0)</f>
        <v>280</v>
      </c>
      <c r="M487" s="85" t="n">
        <v>0</v>
      </c>
      <c r="N487" s="81" t="s">
        <v>644</v>
      </c>
      <c r="O487" s="84" t="n">
        <f aca="false">IF($N487="مرتجع",0,K487*L487*(1-M487))</f>
        <v>560</v>
      </c>
      <c r="P487" s="84" t="n">
        <f aca="false">IF($N487="مرتجع",0,K487*IFERROR(INDEX(p_Cost,MATCH($F487,p_ID,0)),0))</f>
        <v>280</v>
      </c>
      <c r="Q487" s="84" t="n">
        <f aca="false">O487-P487</f>
        <v>280</v>
      </c>
      <c r="R487" s="86" t="n">
        <f aca="false">DATE(YEAR(B487),MONTH(B487),1)</f>
        <v>46023</v>
      </c>
      <c r="S487" s="83" t="str">
        <f aca="false">YEAR(B487)&amp;"-Q"&amp;ROUNDUP(MONTH(B487)/3,0)</f>
        <v>2026-Q1</v>
      </c>
      <c r="T487" s="87" t="n">
        <f aca="false">IF(O487&gt;0,Q487/O487,"")</f>
        <v>0.5</v>
      </c>
      <c r="U487" s="84" t="n">
        <f aca="false">IF(O487&gt;0,O487,"")</f>
        <v>560</v>
      </c>
    </row>
    <row r="488" customFormat="false" ht="15" hidden="false" customHeight="false" outlineLevel="0" collapsed="false">
      <c r="A488" s="81" t="s">
        <v>1131</v>
      </c>
      <c r="B488" s="82" t="n">
        <v>46036</v>
      </c>
      <c r="C488" s="81" t="s">
        <v>406</v>
      </c>
      <c r="D488" s="83" t="str">
        <f aca="false">IFERROR(INDEX(c_Name,MATCH($C488,c_ID,0)),"غير معرّف")</f>
        <v>نورة الشهري</v>
      </c>
      <c r="E488" s="83" t="str">
        <f aca="false">IFERROR(INDEX(c_Region,MATCH($C488,c_ID,0)),"غير معرّف")</f>
        <v>الجنوبية</v>
      </c>
      <c r="F488" s="81" t="s">
        <v>177</v>
      </c>
      <c r="G488" s="83" t="str">
        <f aca="false">IFERROR(INDEX(p_Name,MATCH($F488,p_ID,0)),"غير معرّف")</f>
        <v>ورق A4 (صندوق)</v>
      </c>
      <c r="H488" s="83" t="str">
        <f aca="false">IFERROR(INDEX(p_Cat,MATCH($F488,p_ID,0)),"غير معرّف")</f>
        <v>مستلزمات مكتبية</v>
      </c>
      <c r="I488" s="81" t="s">
        <v>465</v>
      </c>
      <c r="J488" s="81" t="s">
        <v>93</v>
      </c>
      <c r="K488" s="81" t="n">
        <v>20</v>
      </c>
      <c r="L488" s="84" t="n">
        <f aca="false">IFERROR(INDEX(p_Price,MATCH($F488,p_ID,0)),0)</f>
        <v>140</v>
      </c>
      <c r="M488" s="85" t="n">
        <v>0.1</v>
      </c>
      <c r="N488" s="81" t="s">
        <v>644</v>
      </c>
      <c r="O488" s="84" t="n">
        <f aca="false">IF($N488="مرتجع",0,K488*L488*(1-M488))</f>
        <v>2520</v>
      </c>
      <c r="P488" s="84" t="n">
        <f aca="false">IF($N488="مرتجع",0,K488*IFERROR(INDEX(p_Cost,MATCH($F488,p_ID,0)),0))</f>
        <v>1900</v>
      </c>
      <c r="Q488" s="84" t="n">
        <f aca="false">O488-P488</f>
        <v>620</v>
      </c>
      <c r="R488" s="86" t="n">
        <f aca="false">DATE(YEAR(B488),MONTH(B488),1)</f>
        <v>46023</v>
      </c>
      <c r="S488" s="83" t="str">
        <f aca="false">YEAR(B488)&amp;"-Q"&amp;ROUNDUP(MONTH(B488)/3,0)</f>
        <v>2026-Q1</v>
      </c>
      <c r="T488" s="87" t="n">
        <f aca="false">IF(O488&gt;0,Q488/O488,"")</f>
        <v>0.246031746031746</v>
      </c>
      <c r="U488" s="84" t="n">
        <f aca="false">IF(O488&gt;0,O488,"")</f>
        <v>2520</v>
      </c>
    </row>
    <row r="489" customFormat="false" ht="15" hidden="false" customHeight="false" outlineLevel="0" collapsed="false">
      <c r="A489" s="81" t="s">
        <v>1132</v>
      </c>
      <c r="B489" s="82" t="n">
        <v>46036</v>
      </c>
      <c r="C489" s="81" t="s">
        <v>348</v>
      </c>
      <c r="D489" s="83" t="str">
        <f aca="false">IFERROR(INDEX(c_Name,MATCH($C489,c_ID,0)),"غير معرّف")</f>
        <v>عبير القحطاني</v>
      </c>
      <c r="E489" s="83" t="str">
        <f aca="false">IFERROR(INDEX(c_Region,MATCH($C489,c_ID,0)),"غير معرّف")</f>
        <v>الغربية</v>
      </c>
      <c r="F489" s="81" t="s">
        <v>178</v>
      </c>
      <c r="G489" s="83" t="str">
        <f aca="false">IFERROR(INDEX(p_Name,MATCH($F489,p_ID,0)),"غير معرّف")</f>
        <v>حقيبة لابتوب</v>
      </c>
      <c r="H489" s="83" t="str">
        <f aca="false">IFERROR(INDEX(p_Cat,MATCH($F489,p_ID,0)),"غير معرّف")</f>
        <v>مستلزمات مكتبية</v>
      </c>
      <c r="I489" s="81" t="s">
        <v>452</v>
      </c>
      <c r="J489" s="81" t="s">
        <v>91</v>
      </c>
      <c r="K489" s="81" t="n">
        <v>1</v>
      </c>
      <c r="L489" s="84" t="n">
        <f aca="false">IFERROR(INDEX(p_Price,MATCH($F489,p_ID,0)),0)</f>
        <v>260</v>
      </c>
      <c r="M489" s="85" t="n">
        <v>0.1</v>
      </c>
      <c r="N489" s="81" t="s">
        <v>644</v>
      </c>
      <c r="O489" s="84" t="n">
        <f aca="false">IF($N489="مرتجع",0,K489*L489*(1-M489))</f>
        <v>234</v>
      </c>
      <c r="P489" s="84" t="n">
        <f aca="false">IF($N489="مرتجع",0,K489*IFERROR(INDEX(p_Cost,MATCH($F489,p_ID,0)),0))</f>
        <v>120</v>
      </c>
      <c r="Q489" s="84" t="n">
        <f aca="false">O489-P489</f>
        <v>114</v>
      </c>
      <c r="R489" s="86" t="n">
        <f aca="false">DATE(YEAR(B489),MONTH(B489),1)</f>
        <v>46023</v>
      </c>
      <c r="S489" s="83" t="str">
        <f aca="false">YEAR(B489)&amp;"-Q"&amp;ROUNDUP(MONTH(B489)/3,0)</f>
        <v>2026-Q1</v>
      </c>
      <c r="T489" s="87" t="n">
        <f aca="false">IF(O489&gt;0,Q489/O489,"")</f>
        <v>0.487179487179487</v>
      </c>
      <c r="U489" s="84" t="n">
        <f aca="false">IF(O489&gt;0,O489,"")</f>
        <v>234</v>
      </c>
    </row>
    <row r="490" customFormat="false" ht="15" hidden="false" customHeight="false" outlineLevel="0" collapsed="false">
      <c r="A490" s="81" t="s">
        <v>1133</v>
      </c>
      <c r="B490" s="82" t="n">
        <v>46036</v>
      </c>
      <c r="C490" s="81" t="s">
        <v>268</v>
      </c>
      <c r="D490" s="83" t="str">
        <f aca="false">IFERROR(INDEX(c_Name,MATCH($C490,c_ID,0)),"غير معرّف")</f>
        <v>جود التميمي</v>
      </c>
      <c r="E490" s="83" t="str">
        <f aca="false">IFERROR(INDEX(c_Region,MATCH($C490,c_ID,0)),"غير معرّف")</f>
        <v>الغربية</v>
      </c>
      <c r="F490" s="81" t="s">
        <v>183</v>
      </c>
      <c r="G490" s="83" t="str">
        <f aca="false">IFERROR(INDEX(p_Name,MATCH($F490,p_ID,0)),"غير معرّف")</f>
        <v>سجادة يوغا</v>
      </c>
      <c r="H490" s="83" t="str">
        <f aca="false">IFERROR(INDEX(p_Cat,MATCH($F490,p_ID,0)),"غير معرّف")</f>
        <v>رياضة</v>
      </c>
      <c r="I490" s="81" t="s">
        <v>452</v>
      </c>
      <c r="J490" s="81" t="s">
        <v>93</v>
      </c>
      <c r="K490" s="81" t="n">
        <v>1</v>
      </c>
      <c r="L490" s="84" t="n">
        <f aca="false">IFERROR(INDEX(p_Price,MATCH($F490,p_ID,0)),0)</f>
        <v>120</v>
      </c>
      <c r="M490" s="85" t="n">
        <v>0.05</v>
      </c>
      <c r="N490" s="81" t="s">
        <v>644</v>
      </c>
      <c r="O490" s="84" t="n">
        <f aca="false">IF($N490="مرتجع",0,K490*L490*(1-M490))</f>
        <v>114</v>
      </c>
      <c r="P490" s="84" t="n">
        <f aca="false">IF($N490="مرتجع",0,K490*IFERROR(INDEX(p_Cost,MATCH($F490,p_ID,0)),0))</f>
        <v>50</v>
      </c>
      <c r="Q490" s="84" t="n">
        <f aca="false">O490-P490</f>
        <v>64</v>
      </c>
      <c r="R490" s="86" t="n">
        <f aca="false">DATE(YEAR(B490),MONTH(B490),1)</f>
        <v>46023</v>
      </c>
      <c r="S490" s="83" t="str">
        <f aca="false">YEAR(B490)&amp;"-Q"&amp;ROUNDUP(MONTH(B490)/3,0)</f>
        <v>2026-Q1</v>
      </c>
      <c r="T490" s="87" t="n">
        <f aca="false">IF(O490&gt;0,Q490/O490,"")</f>
        <v>0.56140350877193</v>
      </c>
      <c r="U490" s="84" t="n">
        <f aca="false">IF(O490&gt;0,O490,"")</f>
        <v>114</v>
      </c>
    </row>
    <row r="491" customFormat="false" ht="15" hidden="false" customHeight="false" outlineLevel="0" collapsed="false">
      <c r="A491" s="81" t="s">
        <v>1134</v>
      </c>
      <c r="B491" s="82" t="n">
        <v>46036</v>
      </c>
      <c r="C491" s="81" t="s">
        <v>300</v>
      </c>
      <c r="D491" s="83" t="str">
        <f aca="false">IFERROR(INDEX(c_Name,MATCH($C491,c_ID,0)),"غير معرّف")</f>
        <v>فهد التميمي</v>
      </c>
      <c r="E491" s="83" t="str">
        <f aca="false">IFERROR(INDEX(c_Region,MATCH($C491,c_ID,0)),"غير معرّف")</f>
        <v>الوسطى</v>
      </c>
      <c r="F491" s="81" t="s">
        <v>178</v>
      </c>
      <c r="G491" s="83" t="str">
        <f aca="false">IFERROR(INDEX(p_Name,MATCH($F491,p_ID,0)),"غير معرّف")</f>
        <v>حقيبة لابتوب</v>
      </c>
      <c r="H491" s="83" t="str">
        <f aca="false">IFERROR(INDEX(p_Cat,MATCH($F491,p_ID,0)),"غير معرّف")</f>
        <v>مستلزمات مكتبية</v>
      </c>
      <c r="I491" s="81" t="s">
        <v>443</v>
      </c>
      <c r="J491" s="81" t="s">
        <v>91</v>
      </c>
      <c r="K491" s="81" t="n">
        <v>1</v>
      </c>
      <c r="L491" s="84" t="n">
        <f aca="false">IFERROR(INDEX(p_Price,MATCH($F491,p_ID,0)),0)</f>
        <v>260</v>
      </c>
      <c r="M491" s="85" t="n">
        <v>0</v>
      </c>
      <c r="N491" s="81" t="s">
        <v>644</v>
      </c>
      <c r="O491" s="84" t="n">
        <f aca="false">IF($N491="مرتجع",0,K491*L491*(1-M491))</f>
        <v>260</v>
      </c>
      <c r="P491" s="84" t="n">
        <f aca="false">IF($N491="مرتجع",0,K491*IFERROR(INDEX(p_Cost,MATCH($F491,p_ID,0)),0))</f>
        <v>120</v>
      </c>
      <c r="Q491" s="84" t="n">
        <f aca="false">O491-P491</f>
        <v>140</v>
      </c>
      <c r="R491" s="86" t="n">
        <f aca="false">DATE(YEAR(B491),MONTH(B491),1)</f>
        <v>46023</v>
      </c>
      <c r="S491" s="83" t="str">
        <f aca="false">YEAR(B491)&amp;"-Q"&amp;ROUNDUP(MONTH(B491)/3,0)</f>
        <v>2026-Q1</v>
      </c>
      <c r="T491" s="87" t="n">
        <f aca="false">IF(O491&gt;0,Q491/O491,"")</f>
        <v>0.538461538461538</v>
      </c>
      <c r="U491" s="84" t="n">
        <f aca="false">IF(O491&gt;0,O491,"")</f>
        <v>260</v>
      </c>
    </row>
    <row r="492" customFormat="false" ht="15" hidden="false" customHeight="false" outlineLevel="0" collapsed="false">
      <c r="A492" s="81" t="s">
        <v>1135</v>
      </c>
      <c r="B492" s="82" t="n">
        <v>46036</v>
      </c>
      <c r="C492" s="81" t="s">
        <v>355</v>
      </c>
      <c r="D492" s="83" t="str">
        <f aca="false">IFERROR(INDEX(c_Name,MATCH($C492,c_ID,0)),"غير معرّف")</f>
        <v>جود القحطاني</v>
      </c>
      <c r="E492" s="83" t="str">
        <f aca="false">IFERROR(INDEX(c_Region,MATCH($C492,c_ID,0)),"غير معرّف")</f>
        <v>الجنوبية</v>
      </c>
      <c r="F492" s="81" t="s">
        <v>172</v>
      </c>
      <c r="G492" s="83" t="str">
        <f aca="false">IFERROR(INDEX(p_Name,MATCH($F492,p_ID,0)),"غير معرّف")</f>
        <v>مكتب عمل</v>
      </c>
      <c r="H492" s="83" t="str">
        <f aca="false">IFERROR(INDEX(p_Cat,MATCH($F492,p_ID,0)),"غير معرّف")</f>
        <v>أثاث</v>
      </c>
      <c r="I492" s="81" t="s">
        <v>465</v>
      </c>
      <c r="J492" s="81" t="s">
        <v>91</v>
      </c>
      <c r="K492" s="81" t="n">
        <v>4</v>
      </c>
      <c r="L492" s="84" t="n">
        <f aca="false">IFERROR(INDEX(p_Price,MATCH($F492,p_ID,0)),0)</f>
        <v>1200</v>
      </c>
      <c r="M492" s="85" t="n">
        <v>0.15</v>
      </c>
      <c r="N492" s="81" t="s">
        <v>644</v>
      </c>
      <c r="O492" s="84" t="n">
        <f aca="false">IF($N492="مرتجع",0,K492*L492*(1-M492))</f>
        <v>4080</v>
      </c>
      <c r="P492" s="84" t="n">
        <f aca="false">IF($N492="مرتجع",0,K492*IFERROR(INDEX(p_Cost,MATCH($F492,p_ID,0)),0))</f>
        <v>2800</v>
      </c>
      <c r="Q492" s="84" t="n">
        <f aca="false">O492-P492</f>
        <v>1280</v>
      </c>
      <c r="R492" s="86" t="n">
        <f aca="false">DATE(YEAR(B492),MONTH(B492),1)</f>
        <v>46023</v>
      </c>
      <c r="S492" s="83" t="str">
        <f aca="false">YEAR(B492)&amp;"-Q"&amp;ROUNDUP(MONTH(B492)/3,0)</f>
        <v>2026-Q1</v>
      </c>
      <c r="T492" s="87" t="n">
        <f aca="false">IF(O492&gt;0,Q492/O492,"")</f>
        <v>0.313725490196078</v>
      </c>
      <c r="U492" s="84" t="n">
        <f aca="false">IF(O492&gt;0,O492,"")</f>
        <v>4080</v>
      </c>
    </row>
    <row r="493" customFormat="false" ht="15" hidden="false" customHeight="false" outlineLevel="0" collapsed="false">
      <c r="A493" s="81" t="s">
        <v>1136</v>
      </c>
      <c r="B493" s="82" t="n">
        <v>46037</v>
      </c>
      <c r="C493" s="81" t="s">
        <v>358</v>
      </c>
      <c r="D493" s="83" t="str">
        <f aca="false">IFERROR(INDEX(c_Name,MATCH($C493,c_ID,0)),"غير معرّف")</f>
        <v>ليلى الشهري</v>
      </c>
      <c r="E493" s="83" t="str">
        <f aca="false">IFERROR(INDEX(c_Region,MATCH($C493,c_ID,0)),"غير معرّف")</f>
        <v>الوسطى</v>
      </c>
      <c r="F493" s="81" t="s">
        <v>182</v>
      </c>
      <c r="G493" s="83" t="str">
        <f aca="false">IFERROR(INDEX(p_Name,MATCH($F493,p_ID,0)),"غير معرّف")</f>
        <v>طقم أوزان</v>
      </c>
      <c r="H493" s="83" t="str">
        <f aca="false">IFERROR(INDEX(p_Cat,MATCH($F493,p_ID,0)),"غير معرّف")</f>
        <v>رياضة</v>
      </c>
      <c r="I493" s="81" t="s">
        <v>443</v>
      </c>
      <c r="J493" s="81" t="s">
        <v>93</v>
      </c>
      <c r="K493" s="81" t="n">
        <v>2</v>
      </c>
      <c r="L493" s="84" t="n">
        <f aca="false">IFERROR(INDEX(p_Price,MATCH($F493,p_ID,0)),0)</f>
        <v>380</v>
      </c>
      <c r="M493" s="85" t="n">
        <v>0.2</v>
      </c>
      <c r="N493" s="81" t="s">
        <v>644</v>
      </c>
      <c r="O493" s="84" t="n">
        <f aca="false">IF($N493="مرتجع",0,K493*L493*(1-M493))</f>
        <v>608</v>
      </c>
      <c r="P493" s="84" t="n">
        <f aca="false">IF($N493="مرتجع",0,K493*IFERROR(INDEX(p_Cost,MATCH($F493,p_ID,0)),0))</f>
        <v>420</v>
      </c>
      <c r="Q493" s="84" t="n">
        <f aca="false">O493-P493</f>
        <v>188</v>
      </c>
      <c r="R493" s="86" t="n">
        <f aca="false">DATE(YEAR(B493),MONTH(B493),1)</f>
        <v>46023</v>
      </c>
      <c r="S493" s="83" t="str">
        <f aca="false">YEAR(B493)&amp;"-Q"&amp;ROUNDUP(MONTH(B493)/3,0)</f>
        <v>2026-Q1</v>
      </c>
      <c r="T493" s="87" t="n">
        <f aca="false">IF(O493&gt;0,Q493/O493,"")</f>
        <v>0.30921052631579</v>
      </c>
      <c r="U493" s="84" t="n">
        <f aca="false">IF(O493&gt;0,O493,"")</f>
        <v>608</v>
      </c>
    </row>
    <row r="494" customFormat="false" ht="15" hidden="false" customHeight="false" outlineLevel="0" collapsed="false">
      <c r="A494" s="81" t="s">
        <v>1137</v>
      </c>
      <c r="B494" s="82" t="n">
        <v>46037</v>
      </c>
      <c r="C494" s="81" t="s">
        <v>332</v>
      </c>
      <c r="D494" s="83" t="str">
        <f aca="false">IFERROR(INDEX(c_Name,MATCH($C494,c_ID,0)),"غير معرّف")</f>
        <v>ليلى الحسيني</v>
      </c>
      <c r="E494" s="83" t="str">
        <f aca="false">IFERROR(INDEX(c_Region,MATCH($C494,c_ID,0)),"غير معرّف")</f>
        <v>الشرقية</v>
      </c>
      <c r="F494" s="81" t="s">
        <v>184</v>
      </c>
      <c r="G494" s="83" t="str">
        <f aca="false">IFERROR(INDEX(p_Name,MATCH($F494,p_ID,0)),"غير معرّف")</f>
        <v>عطر فاخر</v>
      </c>
      <c r="H494" s="83" t="str">
        <f aca="false">IFERROR(INDEX(p_Cat,MATCH($F494,p_ID,0)),"غير معرّف")</f>
        <v>عناية شخصية</v>
      </c>
      <c r="I494" s="81" t="s">
        <v>463</v>
      </c>
      <c r="J494" s="81" t="s">
        <v>93</v>
      </c>
      <c r="K494" s="81" t="n">
        <v>2</v>
      </c>
      <c r="L494" s="84" t="n">
        <f aca="false">IFERROR(INDEX(p_Price,MATCH($F494,p_ID,0)),0)</f>
        <v>520</v>
      </c>
      <c r="M494" s="85" t="n">
        <v>0</v>
      </c>
      <c r="N494" s="81" t="s">
        <v>644</v>
      </c>
      <c r="O494" s="84" t="n">
        <f aca="false">IF($N494="مرتجع",0,K494*L494*(1-M494))</f>
        <v>1040</v>
      </c>
      <c r="P494" s="84" t="n">
        <f aca="false">IF($N494="مرتجع",0,K494*IFERROR(INDEX(p_Cost,MATCH($F494,p_ID,0)),0))</f>
        <v>420</v>
      </c>
      <c r="Q494" s="84" t="n">
        <f aca="false">O494-P494</f>
        <v>620</v>
      </c>
      <c r="R494" s="86" t="n">
        <f aca="false">DATE(YEAR(B494),MONTH(B494),1)</f>
        <v>46023</v>
      </c>
      <c r="S494" s="83" t="str">
        <f aca="false">YEAR(B494)&amp;"-Q"&amp;ROUNDUP(MONTH(B494)/3,0)</f>
        <v>2026-Q1</v>
      </c>
      <c r="T494" s="87" t="n">
        <f aca="false">IF(O494&gt;0,Q494/O494,"")</f>
        <v>0.596153846153846</v>
      </c>
      <c r="U494" s="84" t="n">
        <f aca="false">IF(O494&gt;0,O494,"")</f>
        <v>1040</v>
      </c>
    </row>
    <row r="495" customFormat="false" ht="15" hidden="false" customHeight="false" outlineLevel="0" collapsed="false">
      <c r="A495" s="81" t="s">
        <v>1138</v>
      </c>
      <c r="B495" s="82" t="n">
        <v>46037</v>
      </c>
      <c r="C495" s="81" t="s">
        <v>277</v>
      </c>
      <c r="D495" s="83" t="str">
        <f aca="false">IFERROR(INDEX(c_Name,MATCH($C495,c_ID,0)),"غير معرّف")</f>
        <v>خالد الخالدي</v>
      </c>
      <c r="E495" s="83" t="str">
        <f aca="false">IFERROR(INDEX(c_Region,MATCH($C495,c_ID,0)),"غير معرّف")</f>
        <v>الغربية</v>
      </c>
      <c r="F495" s="81" t="s">
        <v>165</v>
      </c>
      <c r="G495" s="83" t="str">
        <f aca="false">IFERROR(INDEX(p_Name,MATCH($F495,p_ID,0)),"غير معرّف")</f>
        <v>حاسوب محمول</v>
      </c>
      <c r="H495" s="83" t="str">
        <f aca="false">IFERROR(INDEX(p_Cat,MATCH($F495,p_ID,0)),"غير معرّف")</f>
        <v>إلكترونيات</v>
      </c>
      <c r="I495" s="81" t="s">
        <v>452</v>
      </c>
      <c r="J495" s="81" t="s">
        <v>91</v>
      </c>
      <c r="K495" s="81" t="n">
        <v>2</v>
      </c>
      <c r="L495" s="84" t="n">
        <f aca="false">IFERROR(INDEX(p_Price,MATCH($F495,p_ID,0)),0)</f>
        <v>3800</v>
      </c>
      <c r="M495" s="85" t="n">
        <v>0</v>
      </c>
      <c r="N495" s="81" t="s">
        <v>644</v>
      </c>
      <c r="O495" s="84" t="n">
        <f aca="false">IF($N495="مرتجع",0,K495*L495*(1-M495))</f>
        <v>7600</v>
      </c>
      <c r="P495" s="84" t="n">
        <f aca="false">IF($N495="مرتجع",0,K495*IFERROR(INDEX(p_Cost,MATCH($F495,p_ID,0)),0))</f>
        <v>5800</v>
      </c>
      <c r="Q495" s="84" t="n">
        <f aca="false">O495-P495</f>
        <v>1800</v>
      </c>
      <c r="R495" s="86" t="n">
        <f aca="false">DATE(YEAR(B495),MONTH(B495),1)</f>
        <v>46023</v>
      </c>
      <c r="S495" s="83" t="str">
        <f aca="false">YEAR(B495)&amp;"-Q"&amp;ROUNDUP(MONTH(B495)/3,0)</f>
        <v>2026-Q1</v>
      </c>
      <c r="T495" s="87" t="n">
        <f aca="false">IF(O495&gt;0,Q495/O495,"")</f>
        <v>0.236842105263158</v>
      </c>
      <c r="U495" s="84" t="n">
        <f aca="false">IF(O495&gt;0,O495,"")</f>
        <v>7600</v>
      </c>
    </row>
    <row r="496" customFormat="false" ht="15" hidden="false" customHeight="false" outlineLevel="0" collapsed="false">
      <c r="A496" s="81" t="s">
        <v>1139</v>
      </c>
      <c r="B496" s="82" t="n">
        <v>46037</v>
      </c>
      <c r="C496" s="81" t="s">
        <v>334</v>
      </c>
      <c r="D496" s="83" t="str">
        <f aca="false">IFERROR(INDEX(c_Name,MATCH($C496,c_ID,0)),"غير معرّف")</f>
        <v>ناصر الغامدي</v>
      </c>
      <c r="E496" s="83" t="str">
        <f aca="false">IFERROR(INDEX(c_Region,MATCH($C496,c_ID,0)),"غير معرّف")</f>
        <v>الغربية</v>
      </c>
      <c r="F496" s="81" t="s">
        <v>166</v>
      </c>
      <c r="G496" s="83" t="str">
        <f aca="false">IFERROR(INDEX(p_Name,MATCH($F496,p_ID,0)),"غير معرّف")</f>
        <v>سماعات لاسلكية</v>
      </c>
      <c r="H496" s="83" t="str">
        <f aca="false">IFERROR(INDEX(p_Cat,MATCH($F496,p_ID,0)),"غير معرّف")</f>
        <v>إلكترونيات</v>
      </c>
      <c r="I496" s="81" t="s">
        <v>452</v>
      </c>
      <c r="J496" s="81" t="s">
        <v>91</v>
      </c>
      <c r="K496" s="81" t="n">
        <v>5</v>
      </c>
      <c r="L496" s="84" t="n">
        <f aca="false">IFERROR(INDEX(p_Price,MATCH($F496,p_ID,0)),0)</f>
        <v>450</v>
      </c>
      <c r="M496" s="85" t="n">
        <v>0</v>
      </c>
      <c r="N496" s="81" t="s">
        <v>644</v>
      </c>
      <c r="O496" s="84" t="n">
        <f aca="false">IF($N496="مرتجع",0,K496*L496*(1-M496))</f>
        <v>2250</v>
      </c>
      <c r="P496" s="84" t="n">
        <f aca="false">IF($N496="مرتجع",0,K496*IFERROR(INDEX(p_Cost,MATCH($F496,p_ID,0)),0))</f>
        <v>1300</v>
      </c>
      <c r="Q496" s="84" t="n">
        <f aca="false">O496-P496</f>
        <v>950</v>
      </c>
      <c r="R496" s="86" t="n">
        <f aca="false">DATE(YEAR(B496),MONTH(B496),1)</f>
        <v>46023</v>
      </c>
      <c r="S496" s="83" t="str">
        <f aca="false">YEAR(B496)&amp;"-Q"&amp;ROUNDUP(MONTH(B496)/3,0)</f>
        <v>2026-Q1</v>
      </c>
      <c r="T496" s="87" t="n">
        <f aca="false">IF(O496&gt;0,Q496/O496,"")</f>
        <v>0.422222222222222</v>
      </c>
      <c r="U496" s="84" t="n">
        <f aca="false">IF(O496&gt;0,O496,"")</f>
        <v>2250</v>
      </c>
    </row>
    <row r="497" customFormat="false" ht="15" hidden="false" customHeight="false" outlineLevel="0" collapsed="false">
      <c r="A497" s="81" t="s">
        <v>1140</v>
      </c>
      <c r="B497" s="82" t="n">
        <v>46038</v>
      </c>
      <c r="C497" s="81" t="s">
        <v>425</v>
      </c>
      <c r="D497" s="83" t="str">
        <f aca="false">IFERROR(INDEX(c_Name,MATCH($C497,c_ID,0)),"غير معرّف")</f>
        <v>عبدالله الشمري</v>
      </c>
      <c r="E497" s="83" t="str">
        <f aca="false">IFERROR(INDEX(c_Region,MATCH($C497,c_ID,0)),"غير معرّف")</f>
        <v>الجنوبية</v>
      </c>
      <c r="F497" s="81" t="s">
        <v>187</v>
      </c>
      <c r="G497" s="83" t="str">
        <f aca="false">IFERROR(INDEX(p_Name,MATCH($F497,p_ID,0)),"غير معرّف")</f>
        <v>جهاز تدليك</v>
      </c>
      <c r="H497" s="83" t="str">
        <f aca="false">IFERROR(INDEX(p_Cat,MATCH($F497,p_ID,0)),"غير معرّف")</f>
        <v>عناية شخصية</v>
      </c>
      <c r="I497" s="81" t="s">
        <v>467</v>
      </c>
      <c r="J497" s="81" t="s">
        <v>91</v>
      </c>
      <c r="K497" s="81" t="n">
        <v>1</v>
      </c>
      <c r="L497" s="84" t="n">
        <f aca="false">IFERROR(INDEX(p_Price,MATCH($F497,p_ID,0)),0)</f>
        <v>600</v>
      </c>
      <c r="M497" s="85" t="n">
        <v>0.1</v>
      </c>
      <c r="N497" s="81" t="s">
        <v>644</v>
      </c>
      <c r="O497" s="84" t="n">
        <f aca="false">IF($N497="مرتجع",0,K497*L497*(1-M497))</f>
        <v>540</v>
      </c>
      <c r="P497" s="84" t="n">
        <f aca="false">IF($N497="مرتجع",0,K497*IFERROR(INDEX(p_Cost,MATCH($F497,p_ID,0)),0))</f>
        <v>330</v>
      </c>
      <c r="Q497" s="84" t="n">
        <f aca="false">O497-P497</f>
        <v>210</v>
      </c>
      <c r="R497" s="86" t="n">
        <f aca="false">DATE(YEAR(B497),MONTH(B497),1)</f>
        <v>46023</v>
      </c>
      <c r="S497" s="83" t="str">
        <f aca="false">YEAR(B497)&amp;"-Q"&amp;ROUNDUP(MONTH(B497)/3,0)</f>
        <v>2026-Q1</v>
      </c>
      <c r="T497" s="87" t="n">
        <f aca="false">IF(O497&gt;0,Q497/O497,"")</f>
        <v>0.388888888888889</v>
      </c>
      <c r="U497" s="84" t="n">
        <f aca="false">IF(O497&gt;0,O497,"")</f>
        <v>540</v>
      </c>
    </row>
    <row r="498" customFormat="false" ht="15" hidden="false" customHeight="false" outlineLevel="0" collapsed="false">
      <c r="A498" s="81" t="s">
        <v>1141</v>
      </c>
      <c r="B498" s="82" t="n">
        <v>46038</v>
      </c>
      <c r="C498" s="81" t="s">
        <v>236</v>
      </c>
      <c r="D498" s="83" t="str">
        <f aca="false">IFERROR(INDEX(c_Name,MATCH($C498,c_ID,0)),"غير معرّف")</f>
        <v>ناصر البلوي</v>
      </c>
      <c r="E498" s="83" t="str">
        <f aca="false">IFERROR(INDEX(c_Region,MATCH($C498,c_ID,0)),"غير معرّف")</f>
        <v>الوسطى</v>
      </c>
      <c r="F498" s="81" t="s">
        <v>182</v>
      </c>
      <c r="G498" s="83" t="str">
        <f aca="false">IFERROR(INDEX(p_Name,MATCH($F498,p_ID,0)),"غير معرّف")</f>
        <v>طقم أوزان</v>
      </c>
      <c r="H498" s="83" t="str">
        <f aca="false">IFERROR(INDEX(p_Cat,MATCH($F498,p_ID,0)),"غير معرّف")</f>
        <v>رياضة</v>
      </c>
      <c r="I498" s="81" t="s">
        <v>446</v>
      </c>
      <c r="J498" s="81" t="s">
        <v>91</v>
      </c>
      <c r="K498" s="81" t="n">
        <v>3</v>
      </c>
      <c r="L498" s="84" t="n">
        <f aca="false">IFERROR(INDEX(p_Price,MATCH($F498,p_ID,0)),0)</f>
        <v>380</v>
      </c>
      <c r="M498" s="85" t="n">
        <v>0.05</v>
      </c>
      <c r="N498" s="81" t="s">
        <v>644</v>
      </c>
      <c r="O498" s="84" t="n">
        <f aca="false">IF($N498="مرتجع",0,K498*L498*(1-M498))</f>
        <v>1083</v>
      </c>
      <c r="P498" s="84" t="n">
        <f aca="false">IF($N498="مرتجع",0,K498*IFERROR(INDEX(p_Cost,MATCH($F498,p_ID,0)),0))</f>
        <v>630</v>
      </c>
      <c r="Q498" s="84" t="n">
        <f aca="false">O498-P498</f>
        <v>453</v>
      </c>
      <c r="R498" s="86" t="n">
        <f aca="false">DATE(YEAR(B498),MONTH(B498),1)</f>
        <v>46023</v>
      </c>
      <c r="S498" s="83" t="str">
        <f aca="false">YEAR(B498)&amp;"-Q"&amp;ROUNDUP(MONTH(B498)/3,0)</f>
        <v>2026-Q1</v>
      </c>
      <c r="T498" s="87" t="n">
        <f aca="false">IF(O498&gt;0,Q498/O498,"")</f>
        <v>0.418282548476454</v>
      </c>
      <c r="U498" s="84" t="n">
        <f aca="false">IF(O498&gt;0,O498,"")</f>
        <v>1083</v>
      </c>
    </row>
    <row r="499" customFormat="false" ht="15" hidden="false" customHeight="false" outlineLevel="0" collapsed="false">
      <c r="A499" s="81" t="s">
        <v>1142</v>
      </c>
      <c r="B499" s="82" t="n">
        <v>46038</v>
      </c>
      <c r="C499" s="81" t="s">
        <v>308</v>
      </c>
      <c r="D499" s="83" t="str">
        <f aca="false">IFERROR(INDEX(c_Name,MATCH($C499,c_ID,0)),"غير معرّف")</f>
        <v>سلمان العتيبي</v>
      </c>
      <c r="E499" s="83" t="str">
        <f aca="false">IFERROR(INDEX(c_Region,MATCH($C499,c_ID,0)),"غير معرّف")</f>
        <v>الجنوبية</v>
      </c>
      <c r="F499" s="81" t="s">
        <v>175</v>
      </c>
      <c r="G499" s="83" t="str">
        <f aca="false">IFERROR(INDEX(p_Name,MATCH($F499,p_ID,0)),"غير معرّف")</f>
        <v>رف كتب</v>
      </c>
      <c r="H499" s="83" t="str">
        <f aca="false">IFERROR(INDEX(p_Cat,MATCH($F499,p_ID,0)),"غير معرّف")</f>
        <v>أثاث</v>
      </c>
      <c r="I499" s="81" t="s">
        <v>465</v>
      </c>
      <c r="J499" s="81" t="s">
        <v>93</v>
      </c>
      <c r="K499" s="81" t="n">
        <v>5</v>
      </c>
      <c r="L499" s="84" t="n">
        <f aca="false">IFERROR(INDEX(p_Price,MATCH($F499,p_ID,0)),0)</f>
        <v>400</v>
      </c>
      <c r="M499" s="85" t="n">
        <v>0</v>
      </c>
      <c r="N499" s="81" t="s">
        <v>644</v>
      </c>
      <c r="O499" s="84" t="n">
        <f aca="false">IF($N499="مرتجع",0,K499*L499*(1-M499))</f>
        <v>2000</v>
      </c>
      <c r="P499" s="84" t="n">
        <f aca="false">IF($N499="مرتجع",0,K499*IFERROR(INDEX(p_Cost,MATCH($F499,p_ID,0)),0))</f>
        <v>1100</v>
      </c>
      <c r="Q499" s="84" t="n">
        <f aca="false">O499-P499</f>
        <v>900</v>
      </c>
      <c r="R499" s="86" t="n">
        <f aca="false">DATE(YEAR(B499),MONTH(B499),1)</f>
        <v>46023</v>
      </c>
      <c r="S499" s="83" t="str">
        <f aca="false">YEAR(B499)&amp;"-Q"&amp;ROUNDUP(MONTH(B499)/3,0)</f>
        <v>2026-Q1</v>
      </c>
      <c r="T499" s="87" t="n">
        <f aca="false">IF(O499&gt;0,Q499/O499,"")</f>
        <v>0.45</v>
      </c>
      <c r="U499" s="84" t="n">
        <f aca="false">IF(O499&gt;0,O499,"")</f>
        <v>2000</v>
      </c>
    </row>
    <row r="500" customFormat="false" ht="15" hidden="false" customHeight="false" outlineLevel="0" collapsed="false">
      <c r="A500" s="81" t="s">
        <v>1143</v>
      </c>
      <c r="B500" s="82" t="n">
        <v>46038</v>
      </c>
      <c r="C500" s="81" t="s">
        <v>246</v>
      </c>
      <c r="D500" s="83" t="str">
        <f aca="false">IFERROR(INDEX(c_Name,MATCH($C500,c_ID,0)),"غير معرّف")</f>
        <v>ياسر العتيبي</v>
      </c>
      <c r="E500" s="83" t="str">
        <f aca="false">IFERROR(INDEX(c_Region,MATCH($C500,c_ID,0)),"غير معرّف")</f>
        <v>الجنوبية</v>
      </c>
      <c r="F500" s="81" t="s">
        <v>179</v>
      </c>
      <c r="G500" s="83" t="str">
        <f aca="false">IFERROR(INDEX(p_Name,MATCH($F500,p_ID,0)),"غير معرّف")</f>
        <v>طقم أدوات مكتبية</v>
      </c>
      <c r="H500" s="83" t="str">
        <f aca="false">IFERROR(INDEX(p_Cat,MATCH($F500,p_ID,0)),"غير معرّف")</f>
        <v>مستلزمات مكتبية</v>
      </c>
      <c r="I500" s="81" t="s">
        <v>467</v>
      </c>
      <c r="J500" s="81" t="s">
        <v>93</v>
      </c>
      <c r="K500" s="81" t="n">
        <v>2</v>
      </c>
      <c r="L500" s="84" t="n">
        <f aca="false">IFERROR(INDEX(p_Price,MATCH($F500,p_ID,0)),0)</f>
        <v>90</v>
      </c>
      <c r="M500" s="85" t="n">
        <v>0.05</v>
      </c>
      <c r="N500" s="81" t="s">
        <v>644</v>
      </c>
      <c r="O500" s="84" t="n">
        <f aca="false">IF($N500="مرتجع",0,K500*L500*(1-M500))</f>
        <v>171</v>
      </c>
      <c r="P500" s="84" t="n">
        <f aca="false">IF($N500="مرتجع",0,K500*IFERROR(INDEX(p_Cost,MATCH($F500,p_ID,0)),0))</f>
        <v>90</v>
      </c>
      <c r="Q500" s="84" t="n">
        <f aca="false">O500-P500</f>
        <v>81</v>
      </c>
      <c r="R500" s="86" t="n">
        <f aca="false">DATE(YEAR(B500),MONTH(B500),1)</f>
        <v>46023</v>
      </c>
      <c r="S500" s="83" t="str">
        <f aca="false">YEAR(B500)&amp;"-Q"&amp;ROUNDUP(MONTH(B500)/3,0)</f>
        <v>2026-Q1</v>
      </c>
      <c r="T500" s="87" t="n">
        <f aca="false">IF(O500&gt;0,Q500/O500,"")</f>
        <v>0.473684210526316</v>
      </c>
      <c r="U500" s="84" t="n">
        <f aca="false">IF(O500&gt;0,O500,"")</f>
        <v>171</v>
      </c>
    </row>
    <row r="501" customFormat="false" ht="15" hidden="false" customHeight="false" outlineLevel="0" collapsed="false">
      <c r="A501" s="81" t="s">
        <v>1144</v>
      </c>
      <c r="B501" s="82" t="n">
        <v>46038</v>
      </c>
      <c r="C501" s="81" t="s">
        <v>281</v>
      </c>
      <c r="D501" s="83" t="str">
        <f aca="false">IFERROR(INDEX(c_Name,MATCH($C501,c_ID,0)),"غير معرّف")</f>
        <v>ريم الخالدي</v>
      </c>
      <c r="E501" s="83" t="str">
        <f aca="false">IFERROR(INDEX(c_Region,MATCH($C501,c_ID,0)),"غير معرّف")</f>
        <v>الوسطى</v>
      </c>
      <c r="F501" s="81" t="s">
        <v>182</v>
      </c>
      <c r="G501" s="83" t="str">
        <f aca="false">IFERROR(INDEX(p_Name,MATCH($F501,p_ID,0)),"غير معرّف")</f>
        <v>طقم أوزان</v>
      </c>
      <c r="H501" s="83" t="str">
        <f aca="false">IFERROR(INDEX(p_Cat,MATCH($F501,p_ID,0)),"غير معرّف")</f>
        <v>رياضة</v>
      </c>
      <c r="I501" s="81" t="s">
        <v>449</v>
      </c>
      <c r="J501" s="81" t="s">
        <v>93</v>
      </c>
      <c r="K501" s="81" t="n">
        <v>2</v>
      </c>
      <c r="L501" s="84" t="n">
        <f aca="false">IFERROR(INDEX(p_Price,MATCH($F501,p_ID,0)),0)</f>
        <v>380</v>
      </c>
      <c r="M501" s="85" t="n">
        <v>0.1</v>
      </c>
      <c r="N501" s="81" t="s">
        <v>644</v>
      </c>
      <c r="O501" s="84" t="n">
        <f aca="false">IF($N501="مرتجع",0,K501*L501*(1-M501))</f>
        <v>684</v>
      </c>
      <c r="P501" s="84" t="n">
        <f aca="false">IF($N501="مرتجع",0,K501*IFERROR(INDEX(p_Cost,MATCH($F501,p_ID,0)),0))</f>
        <v>420</v>
      </c>
      <c r="Q501" s="84" t="n">
        <f aca="false">O501-P501</f>
        <v>264</v>
      </c>
      <c r="R501" s="86" t="n">
        <f aca="false">DATE(YEAR(B501),MONTH(B501),1)</f>
        <v>46023</v>
      </c>
      <c r="S501" s="83" t="str">
        <f aca="false">YEAR(B501)&amp;"-Q"&amp;ROUNDUP(MONTH(B501)/3,0)</f>
        <v>2026-Q1</v>
      </c>
      <c r="T501" s="87" t="n">
        <f aca="false">IF(O501&gt;0,Q501/O501,"")</f>
        <v>0.385964912280702</v>
      </c>
      <c r="U501" s="84" t="n">
        <f aca="false">IF(O501&gt;0,O501,"")</f>
        <v>684</v>
      </c>
    </row>
    <row r="502" customFormat="false" ht="15" hidden="false" customHeight="false" outlineLevel="0" collapsed="false">
      <c r="A502" s="81" t="s">
        <v>1145</v>
      </c>
      <c r="B502" s="82" t="n">
        <v>46039</v>
      </c>
      <c r="C502" s="81" t="s">
        <v>349</v>
      </c>
      <c r="D502" s="83" t="str">
        <f aca="false">IFERROR(INDEX(c_Name,MATCH($C502,c_ID,0)),"غير معرّف")</f>
        <v>خالد الزهراني</v>
      </c>
      <c r="E502" s="83" t="str">
        <f aca="false">IFERROR(INDEX(c_Region,MATCH($C502,c_ID,0)),"غير معرّف")</f>
        <v>الوسطى</v>
      </c>
      <c r="F502" s="81" t="s">
        <v>182</v>
      </c>
      <c r="G502" s="83" t="str">
        <f aca="false">IFERROR(INDEX(p_Name,MATCH($F502,p_ID,0)),"غير معرّف")</f>
        <v>طقم أوزان</v>
      </c>
      <c r="H502" s="83" t="str">
        <f aca="false">IFERROR(INDEX(p_Cat,MATCH($F502,p_ID,0)),"غير معرّف")</f>
        <v>رياضة</v>
      </c>
      <c r="I502" s="81" t="s">
        <v>446</v>
      </c>
      <c r="J502" s="81" t="s">
        <v>91</v>
      </c>
      <c r="K502" s="81" t="n">
        <v>1</v>
      </c>
      <c r="L502" s="84" t="n">
        <f aca="false">IFERROR(INDEX(p_Price,MATCH($F502,p_ID,0)),0)</f>
        <v>380</v>
      </c>
      <c r="M502" s="85" t="n">
        <v>0.1</v>
      </c>
      <c r="N502" s="81" t="s">
        <v>644</v>
      </c>
      <c r="O502" s="84" t="n">
        <f aca="false">IF($N502="مرتجع",0,K502*L502*(1-M502))</f>
        <v>342</v>
      </c>
      <c r="P502" s="84" t="n">
        <f aca="false">IF($N502="مرتجع",0,K502*IFERROR(INDEX(p_Cost,MATCH($F502,p_ID,0)),0))</f>
        <v>210</v>
      </c>
      <c r="Q502" s="84" t="n">
        <f aca="false">O502-P502</f>
        <v>132</v>
      </c>
      <c r="R502" s="86" t="n">
        <f aca="false">DATE(YEAR(B502),MONTH(B502),1)</f>
        <v>46023</v>
      </c>
      <c r="S502" s="83" t="str">
        <f aca="false">YEAR(B502)&amp;"-Q"&amp;ROUNDUP(MONTH(B502)/3,0)</f>
        <v>2026-Q1</v>
      </c>
      <c r="T502" s="87" t="n">
        <f aca="false">IF(O502&gt;0,Q502/O502,"")</f>
        <v>0.385964912280702</v>
      </c>
      <c r="U502" s="84" t="n">
        <f aca="false">IF(O502&gt;0,O502,"")</f>
        <v>342</v>
      </c>
    </row>
    <row r="503" customFormat="false" ht="15" hidden="false" customHeight="false" outlineLevel="0" collapsed="false">
      <c r="A503" s="81" t="s">
        <v>1146</v>
      </c>
      <c r="B503" s="82" t="n">
        <v>46039</v>
      </c>
      <c r="C503" s="81" t="s">
        <v>279</v>
      </c>
      <c r="D503" s="83" t="str">
        <f aca="false">IFERROR(INDEX(c_Name,MATCH($C503,c_ID,0)),"غير معرّف")</f>
        <v>لمى القحطاني</v>
      </c>
      <c r="E503" s="83" t="str">
        <f aca="false">IFERROR(INDEX(c_Region,MATCH($C503,c_ID,0)),"غير معرّف")</f>
        <v>الجنوبية</v>
      </c>
      <c r="F503" s="81" t="s">
        <v>171</v>
      </c>
      <c r="G503" s="83" t="str">
        <f aca="false">IFERROR(INDEX(p_Name,MATCH($F503,p_ID,0)),"غير معرّف")</f>
        <v>قلاية هوائية</v>
      </c>
      <c r="H503" s="83" t="str">
        <f aca="false">IFERROR(INDEX(p_Cat,MATCH($F503,p_ID,0)),"غير معرّف")</f>
        <v>أجهزة منزلية</v>
      </c>
      <c r="I503" s="81" t="s">
        <v>465</v>
      </c>
      <c r="J503" s="81" t="s">
        <v>91</v>
      </c>
      <c r="K503" s="81" t="n">
        <v>2</v>
      </c>
      <c r="L503" s="84" t="n">
        <f aca="false">IFERROR(INDEX(p_Price,MATCH($F503,p_ID,0)),0)</f>
        <v>520</v>
      </c>
      <c r="M503" s="85" t="n">
        <v>0.05</v>
      </c>
      <c r="N503" s="81" t="s">
        <v>644</v>
      </c>
      <c r="O503" s="84" t="n">
        <f aca="false">IF($N503="مرتجع",0,K503*L503*(1-M503))</f>
        <v>988</v>
      </c>
      <c r="P503" s="84" t="n">
        <f aca="false">IF($N503="مرتجع",0,K503*IFERROR(INDEX(p_Cost,MATCH($F503,p_ID,0)),0))</f>
        <v>600</v>
      </c>
      <c r="Q503" s="84" t="n">
        <f aca="false">O503-P503</f>
        <v>388</v>
      </c>
      <c r="R503" s="86" t="n">
        <f aca="false">DATE(YEAR(B503),MONTH(B503),1)</f>
        <v>46023</v>
      </c>
      <c r="S503" s="83" t="str">
        <f aca="false">YEAR(B503)&amp;"-Q"&amp;ROUNDUP(MONTH(B503)/3,0)</f>
        <v>2026-Q1</v>
      </c>
      <c r="T503" s="87" t="n">
        <f aca="false">IF(O503&gt;0,Q503/O503,"")</f>
        <v>0.392712550607287</v>
      </c>
      <c r="U503" s="84" t="n">
        <f aca="false">IF(O503&gt;0,O503,"")</f>
        <v>988</v>
      </c>
    </row>
    <row r="504" customFormat="false" ht="15" hidden="false" customHeight="false" outlineLevel="0" collapsed="false">
      <c r="A504" s="81" t="s">
        <v>1147</v>
      </c>
      <c r="B504" s="82" t="n">
        <v>46039</v>
      </c>
      <c r="C504" s="81" t="s">
        <v>357</v>
      </c>
      <c r="D504" s="83" t="str">
        <f aca="false">IFERROR(INDEX(c_Name,MATCH($C504,c_ID,0)),"غير معرّف")</f>
        <v>منى الحربي</v>
      </c>
      <c r="E504" s="83" t="str">
        <f aca="false">IFERROR(INDEX(c_Region,MATCH($C504,c_ID,0)),"غير معرّف")</f>
        <v>الوسطى</v>
      </c>
      <c r="F504" s="81" t="s">
        <v>165</v>
      </c>
      <c r="G504" s="83" t="str">
        <f aca="false">IFERROR(INDEX(p_Name,MATCH($F504,p_ID,0)),"غير معرّف")</f>
        <v>حاسوب محمول</v>
      </c>
      <c r="H504" s="83" t="str">
        <f aca="false">IFERROR(INDEX(p_Cat,MATCH($F504,p_ID,0)),"غير معرّف")</f>
        <v>إلكترونيات</v>
      </c>
      <c r="I504" s="81" t="s">
        <v>443</v>
      </c>
      <c r="J504" s="81" t="s">
        <v>93</v>
      </c>
      <c r="K504" s="81" t="n">
        <v>1</v>
      </c>
      <c r="L504" s="84" t="n">
        <f aca="false">IFERROR(INDEX(p_Price,MATCH($F504,p_ID,0)),0)</f>
        <v>3800</v>
      </c>
      <c r="M504" s="85" t="n">
        <v>0</v>
      </c>
      <c r="N504" s="81" t="s">
        <v>644</v>
      </c>
      <c r="O504" s="84" t="n">
        <f aca="false">IF($N504="مرتجع",0,K504*L504*(1-M504))</f>
        <v>3800</v>
      </c>
      <c r="P504" s="84" t="n">
        <f aca="false">IF($N504="مرتجع",0,K504*IFERROR(INDEX(p_Cost,MATCH($F504,p_ID,0)),0))</f>
        <v>2900</v>
      </c>
      <c r="Q504" s="84" t="n">
        <f aca="false">O504-P504</f>
        <v>900</v>
      </c>
      <c r="R504" s="86" t="n">
        <f aca="false">DATE(YEAR(B504),MONTH(B504),1)</f>
        <v>46023</v>
      </c>
      <c r="S504" s="83" t="str">
        <f aca="false">YEAR(B504)&amp;"-Q"&amp;ROUNDUP(MONTH(B504)/3,0)</f>
        <v>2026-Q1</v>
      </c>
      <c r="T504" s="87" t="n">
        <f aca="false">IF(O504&gt;0,Q504/O504,"")</f>
        <v>0.236842105263158</v>
      </c>
      <c r="U504" s="84" t="n">
        <f aca="false">IF(O504&gt;0,O504,"")</f>
        <v>3800</v>
      </c>
    </row>
    <row r="505" customFormat="false" ht="15" hidden="false" customHeight="false" outlineLevel="0" collapsed="false">
      <c r="A505" s="81" t="s">
        <v>1148</v>
      </c>
      <c r="B505" s="82" t="n">
        <v>46039</v>
      </c>
      <c r="C505" s="81" t="s">
        <v>261</v>
      </c>
      <c r="D505" s="83" t="str">
        <f aca="false">IFERROR(INDEX(c_Name,MATCH($C505,c_ID,0)),"غير معرّف")</f>
        <v>ياسر الدوسري</v>
      </c>
      <c r="E505" s="83" t="str">
        <f aca="false">IFERROR(INDEX(c_Region,MATCH($C505,c_ID,0)),"غير معرّف")</f>
        <v>الجنوبية</v>
      </c>
      <c r="F505" s="81" t="s">
        <v>169</v>
      </c>
      <c r="G505" s="83" t="str">
        <f aca="false">IFERROR(INDEX(p_Name,MATCH($F505,p_ID,0)),"غير معرّف")</f>
        <v>خلاط</v>
      </c>
      <c r="H505" s="83" t="str">
        <f aca="false">IFERROR(INDEX(p_Cat,MATCH($F505,p_ID,0)),"غير معرّف")</f>
        <v>أجهزة منزلية</v>
      </c>
      <c r="I505" s="81" t="s">
        <v>467</v>
      </c>
      <c r="J505" s="81" t="s">
        <v>91</v>
      </c>
      <c r="K505" s="81" t="n">
        <v>1</v>
      </c>
      <c r="L505" s="84" t="n">
        <f aca="false">IFERROR(INDEX(p_Price,MATCH($F505,p_ID,0)),0)</f>
        <v>300</v>
      </c>
      <c r="M505" s="85" t="n">
        <v>0.1</v>
      </c>
      <c r="N505" s="81" t="s">
        <v>644</v>
      </c>
      <c r="O505" s="84" t="n">
        <f aca="false">IF($N505="مرتجع",0,K505*L505*(1-M505))</f>
        <v>270</v>
      </c>
      <c r="P505" s="84" t="n">
        <f aca="false">IF($N505="مرتجع",0,K505*IFERROR(INDEX(p_Cost,MATCH($F505,p_ID,0)),0))</f>
        <v>175</v>
      </c>
      <c r="Q505" s="84" t="n">
        <f aca="false">O505-P505</f>
        <v>95</v>
      </c>
      <c r="R505" s="86" t="n">
        <f aca="false">DATE(YEAR(B505),MONTH(B505),1)</f>
        <v>46023</v>
      </c>
      <c r="S505" s="83" t="str">
        <f aca="false">YEAR(B505)&amp;"-Q"&amp;ROUNDUP(MONTH(B505)/3,0)</f>
        <v>2026-Q1</v>
      </c>
      <c r="T505" s="87" t="n">
        <f aca="false">IF(O505&gt;0,Q505/O505,"")</f>
        <v>0.351851851851852</v>
      </c>
      <c r="U505" s="84" t="n">
        <f aca="false">IF(O505&gt;0,O505,"")</f>
        <v>270</v>
      </c>
    </row>
    <row r="506" customFormat="false" ht="15" hidden="false" customHeight="false" outlineLevel="0" collapsed="false">
      <c r="A506" s="81" t="s">
        <v>1149</v>
      </c>
      <c r="B506" s="82" t="n">
        <v>46039</v>
      </c>
      <c r="C506" s="81" t="s">
        <v>312</v>
      </c>
      <c r="D506" s="83" t="str">
        <f aca="false">IFERROR(INDEX(c_Name,MATCH($C506,c_ID,0)),"غير معرّف")</f>
        <v>دانة الدوسري</v>
      </c>
      <c r="E506" s="83" t="str">
        <f aca="false">IFERROR(INDEX(c_Region,MATCH($C506,c_ID,0)),"غير معرّف")</f>
        <v>الشرقية</v>
      </c>
      <c r="F506" s="81" t="s">
        <v>175</v>
      </c>
      <c r="G506" s="83" t="str">
        <f aca="false">IFERROR(INDEX(p_Name,MATCH($F506,p_ID,0)),"غير معرّف")</f>
        <v>رف كتب</v>
      </c>
      <c r="H506" s="83" t="str">
        <f aca="false">IFERROR(INDEX(p_Cat,MATCH($F506,p_ID,0)),"غير معرّف")</f>
        <v>أثاث</v>
      </c>
      <c r="I506" s="81" t="s">
        <v>461</v>
      </c>
      <c r="J506" s="81" t="s">
        <v>91</v>
      </c>
      <c r="K506" s="81" t="n">
        <v>1</v>
      </c>
      <c r="L506" s="84" t="n">
        <f aca="false">IFERROR(INDEX(p_Price,MATCH($F506,p_ID,0)),0)</f>
        <v>400</v>
      </c>
      <c r="M506" s="85" t="n">
        <v>0</v>
      </c>
      <c r="N506" s="81" t="s">
        <v>644</v>
      </c>
      <c r="O506" s="84" t="n">
        <f aca="false">IF($N506="مرتجع",0,K506*L506*(1-M506))</f>
        <v>400</v>
      </c>
      <c r="P506" s="84" t="n">
        <f aca="false">IF($N506="مرتجع",0,K506*IFERROR(INDEX(p_Cost,MATCH($F506,p_ID,0)),0))</f>
        <v>220</v>
      </c>
      <c r="Q506" s="84" t="n">
        <f aca="false">O506-P506</f>
        <v>180</v>
      </c>
      <c r="R506" s="86" t="n">
        <f aca="false">DATE(YEAR(B506),MONTH(B506),1)</f>
        <v>46023</v>
      </c>
      <c r="S506" s="83" t="str">
        <f aca="false">YEAR(B506)&amp;"-Q"&amp;ROUNDUP(MONTH(B506)/3,0)</f>
        <v>2026-Q1</v>
      </c>
      <c r="T506" s="87" t="n">
        <f aca="false">IF(O506&gt;0,Q506/O506,"")</f>
        <v>0.45</v>
      </c>
      <c r="U506" s="84" t="n">
        <f aca="false">IF(O506&gt;0,O506,"")</f>
        <v>400</v>
      </c>
    </row>
    <row r="507" customFormat="false" ht="15" hidden="false" customHeight="false" outlineLevel="0" collapsed="false">
      <c r="A507" s="81" t="s">
        <v>1150</v>
      </c>
      <c r="B507" s="82" t="n">
        <v>46040</v>
      </c>
      <c r="C507" s="81" t="s">
        <v>244</v>
      </c>
      <c r="D507" s="83" t="str">
        <f aca="false">IFERROR(INDEX(c_Name,MATCH($C507,c_ID,0)),"غير معرّف")</f>
        <v>طارق الشهري</v>
      </c>
      <c r="E507" s="83" t="str">
        <f aca="false">IFERROR(INDEX(c_Region,MATCH($C507,c_ID,0)),"غير معرّف")</f>
        <v>الوسطى</v>
      </c>
      <c r="F507" s="81" t="s">
        <v>183</v>
      </c>
      <c r="G507" s="83" t="str">
        <f aca="false">IFERROR(INDEX(p_Name,MATCH($F507,p_ID,0)),"غير معرّف")</f>
        <v>سجادة يوغا</v>
      </c>
      <c r="H507" s="83" t="str">
        <f aca="false">IFERROR(INDEX(p_Cat,MATCH($F507,p_ID,0)),"غير معرّف")</f>
        <v>رياضة</v>
      </c>
      <c r="I507" s="81" t="s">
        <v>446</v>
      </c>
      <c r="J507" s="81" t="s">
        <v>91</v>
      </c>
      <c r="K507" s="81" t="n">
        <v>1</v>
      </c>
      <c r="L507" s="84" t="n">
        <f aca="false">IFERROR(INDEX(p_Price,MATCH($F507,p_ID,0)),0)</f>
        <v>120</v>
      </c>
      <c r="M507" s="85" t="n">
        <v>0.05</v>
      </c>
      <c r="N507" s="81" t="s">
        <v>644</v>
      </c>
      <c r="O507" s="84" t="n">
        <f aca="false">IF($N507="مرتجع",0,K507*L507*(1-M507))</f>
        <v>114</v>
      </c>
      <c r="P507" s="84" t="n">
        <f aca="false">IF($N507="مرتجع",0,K507*IFERROR(INDEX(p_Cost,MATCH($F507,p_ID,0)),0))</f>
        <v>50</v>
      </c>
      <c r="Q507" s="84" t="n">
        <f aca="false">O507-P507</f>
        <v>64</v>
      </c>
      <c r="R507" s="86" t="n">
        <f aca="false">DATE(YEAR(B507),MONTH(B507),1)</f>
        <v>46023</v>
      </c>
      <c r="S507" s="83" t="str">
        <f aca="false">YEAR(B507)&amp;"-Q"&amp;ROUNDUP(MONTH(B507)/3,0)</f>
        <v>2026-Q1</v>
      </c>
      <c r="T507" s="87" t="n">
        <f aca="false">IF(O507&gt;0,Q507/O507,"")</f>
        <v>0.56140350877193</v>
      </c>
      <c r="U507" s="84" t="n">
        <f aca="false">IF(O507&gt;0,O507,"")</f>
        <v>114</v>
      </c>
    </row>
    <row r="508" customFormat="false" ht="15" hidden="false" customHeight="false" outlineLevel="0" collapsed="false">
      <c r="A508" s="81" t="s">
        <v>1151</v>
      </c>
      <c r="B508" s="82" t="n">
        <v>46040</v>
      </c>
      <c r="C508" s="81" t="s">
        <v>258</v>
      </c>
      <c r="D508" s="83" t="str">
        <f aca="false">IFERROR(INDEX(c_Name,MATCH($C508,c_ID,0)),"غير معرّف")</f>
        <v>سارة الدوسري</v>
      </c>
      <c r="E508" s="83" t="str">
        <f aca="false">IFERROR(INDEX(c_Region,MATCH($C508,c_ID,0)),"غير معرّف")</f>
        <v>الوسطى</v>
      </c>
      <c r="F508" s="81" t="s">
        <v>183</v>
      </c>
      <c r="G508" s="83" t="str">
        <f aca="false">IFERROR(INDEX(p_Name,MATCH($F508,p_ID,0)),"غير معرّف")</f>
        <v>سجادة يوغا</v>
      </c>
      <c r="H508" s="83" t="str">
        <f aca="false">IFERROR(INDEX(p_Cat,MATCH($F508,p_ID,0)),"غير معرّف")</f>
        <v>رياضة</v>
      </c>
      <c r="I508" s="81" t="s">
        <v>443</v>
      </c>
      <c r="J508" s="81" t="s">
        <v>91</v>
      </c>
      <c r="K508" s="81" t="n">
        <v>1</v>
      </c>
      <c r="L508" s="84" t="n">
        <f aca="false">IFERROR(INDEX(p_Price,MATCH($F508,p_ID,0)),0)</f>
        <v>120</v>
      </c>
      <c r="M508" s="85" t="n">
        <v>0</v>
      </c>
      <c r="N508" s="81" t="s">
        <v>644</v>
      </c>
      <c r="O508" s="84" t="n">
        <f aca="false">IF($N508="مرتجع",0,K508*L508*(1-M508))</f>
        <v>120</v>
      </c>
      <c r="P508" s="84" t="n">
        <f aca="false">IF($N508="مرتجع",0,K508*IFERROR(INDEX(p_Cost,MATCH($F508,p_ID,0)),0))</f>
        <v>50</v>
      </c>
      <c r="Q508" s="84" t="n">
        <f aca="false">O508-P508</f>
        <v>70</v>
      </c>
      <c r="R508" s="86" t="n">
        <f aca="false">DATE(YEAR(B508),MONTH(B508),1)</f>
        <v>46023</v>
      </c>
      <c r="S508" s="83" t="str">
        <f aca="false">YEAR(B508)&amp;"-Q"&amp;ROUNDUP(MONTH(B508)/3,0)</f>
        <v>2026-Q1</v>
      </c>
      <c r="T508" s="87" t="n">
        <f aca="false">IF(O508&gt;0,Q508/O508,"")</f>
        <v>0.583333333333333</v>
      </c>
      <c r="U508" s="84" t="n">
        <f aca="false">IF(O508&gt;0,O508,"")</f>
        <v>120</v>
      </c>
    </row>
    <row r="509" customFormat="false" ht="15" hidden="false" customHeight="false" outlineLevel="0" collapsed="false">
      <c r="A509" s="81" t="s">
        <v>1152</v>
      </c>
      <c r="B509" s="82" t="n">
        <v>46040</v>
      </c>
      <c r="C509" s="81" t="s">
        <v>328</v>
      </c>
      <c r="D509" s="83" t="str">
        <f aca="false">IFERROR(INDEX(c_Name,MATCH($C509,c_ID,0)),"غير معرّف")</f>
        <v>عبدالله الشهري</v>
      </c>
      <c r="E509" s="83" t="str">
        <f aca="false">IFERROR(INDEX(c_Region,MATCH($C509,c_ID,0)),"غير معرّف")</f>
        <v>الشرقية</v>
      </c>
      <c r="F509" s="81" t="s">
        <v>171</v>
      </c>
      <c r="G509" s="83" t="str">
        <f aca="false">IFERROR(INDEX(p_Name,MATCH($F509,p_ID,0)),"غير معرّف")</f>
        <v>قلاية هوائية</v>
      </c>
      <c r="H509" s="83" t="str">
        <f aca="false">IFERROR(INDEX(p_Cat,MATCH($F509,p_ID,0)),"غير معرّف")</f>
        <v>أجهزة منزلية</v>
      </c>
      <c r="I509" s="81" t="s">
        <v>461</v>
      </c>
      <c r="J509" s="81" t="s">
        <v>93</v>
      </c>
      <c r="K509" s="81" t="n">
        <v>1</v>
      </c>
      <c r="L509" s="84" t="n">
        <f aca="false">IFERROR(INDEX(p_Price,MATCH($F509,p_ID,0)),0)</f>
        <v>520</v>
      </c>
      <c r="M509" s="85" t="n">
        <v>0</v>
      </c>
      <c r="N509" s="81" t="s">
        <v>644</v>
      </c>
      <c r="O509" s="84" t="n">
        <f aca="false">IF($N509="مرتجع",0,K509*L509*(1-M509))</f>
        <v>520</v>
      </c>
      <c r="P509" s="84" t="n">
        <f aca="false">IF($N509="مرتجع",0,K509*IFERROR(INDEX(p_Cost,MATCH($F509,p_ID,0)),0))</f>
        <v>300</v>
      </c>
      <c r="Q509" s="84" t="n">
        <f aca="false">O509-P509</f>
        <v>220</v>
      </c>
      <c r="R509" s="86" t="n">
        <f aca="false">DATE(YEAR(B509),MONTH(B509),1)</f>
        <v>46023</v>
      </c>
      <c r="S509" s="83" t="str">
        <f aca="false">YEAR(B509)&amp;"-Q"&amp;ROUNDUP(MONTH(B509)/3,0)</f>
        <v>2026-Q1</v>
      </c>
      <c r="T509" s="87" t="n">
        <f aca="false">IF(O509&gt;0,Q509/O509,"")</f>
        <v>0.423076923076923</v>
      </c>
      <c r="U509" s="84" t="n">
        <f aca="false">IF(O509&gt;0,O509,"")</f>
        <v>520</v>
      </c>
    </row>
    <row r="510" customFormat="false" ht="15" hidden="false" customHeight="false" outlineLevel="0" collapsed="false">
      <c r="A510" s="81" t="s">
        <v>1153</v>
      </c>
      <c r="B510" s="82" t="n">
        <v>46040</v>
      </c>
      <c r="C510" s="81" t="s">
        <v>292</v>
      </c>
      <c r="D510" s="83" t="str">
        <f aca="false">IFERROR(INDEX(c_Name,MATCH($C510,c_ID,0)),"غير معرّف")</f>
        <v>نورة المطيري</v>
      </c>
      <c r="E510" s="83" t="str">
        <f aca="false">IFERROR(INDEX(c_Region,MATCH($C510,c_ID,0)),"غير معرّف")</f>
        <v>الوسطى</v>
      </c>
      <c r="F510" s="81" t="s">
        <v>183</v>
      </c>
      <c r="G510" s="83" t="str">
        <f aca="false">IFERROR(INDEX(p_Name,MATCH($F510,p_ID,0)),"غير معرّف")</f>
        <v>سجادة يوغا</v>
      </c>
      <c r="H510" s="83" t="str">
        <f aca="false">IFERROR(INDEX(p_Cat,MATCH($F510,p_ID,0)),"غير معرّف")</f>
        <v>رياضة</v>
      </c>
      <c r="I510" s="81" t="s">
        <v>446</v>
      </c>
      <c r="J510" s="81" t="s">
        <v>93</v>
      </c>
      <c r="K510" s="81" t="n">
        <v>3</v>
      </c>
      <c r="L510" s="84" t="n">
        <f aca="false">IFERROR(INDEX(p_Price,MATCH($F510,p_ID,0)),0)</f>
        <v>120</v>
      </c>
      <c r="M510" s="85" t="n">
        <v>0.05</v>
      </c>
      <c r="N510" s="81" t="s">
        <v>644</v>
      </c>
      <c r="O510" s="84" t="n">
        <f aca="false">IF($N510="مرتجع",0,K510*L510*(1-M510))</f>
        <v>342</v>
      </c>
      <c r="P510" s="84" t="n">
        <f aca="false">IF($N510="مرتجع",0,K510*IFERROR(INDEX(p_Cost,MATCH($F510,p_ID,0)),0))</f>
        <v>150</v>
      </c>
      <c r="Q510" s="84" t="n">
        <f aca="false">O510-P510</f>
        <v>192</v>
      </c>
      <c r="R510" s="86" t="n">
        <f aca="false">DATE(YEAR(B510),MONTH(B510),1)</f>
        <v>46023</v>
      </c>
      <c r="S510" s="83" t="str">
        <f aca="false">YEAR(B510)&amp;"-Q"&amp;ROUNDUP(MONTH(B510)/3,0)</f>
        <v>2026-Q1</v>
      </c>
      <c r="T510" s="87" t="n">
        <f aca="false">IF(O510&gt;0,Q510/O510,"")</f>
        <v>0.56140350877193</v>
      </c>
      <c r="U510" s="84" t="n">
        <f aca="false">IF(O510&gt;0,O510,"")</f>
        <v>342</v>
      </c>
    </row>
    <row r="511" customFormat="false" ht="15" hidden="false" customHeight="false" outlineLevel="0" collapsed="false">
      <c r="A511" s="81" t="s">
        <v>1154</v>
      </c>
      <c r="B511" s="82" t="n">
        <v>46041</v>
      </c>
      <c r="C511" s="81" t="s">
        <v>246</v>
      </c>
      <c r="D511" s="83" t="str">
        <f aca="false">IFERROR(INDEX(c_Name,MATCH($C511,c_ID,0)),"غير معرّف")</f>
        <v>ياسر العتيبي</v>
      </c>
      <c r="E511" s="83" t="str">
        <f aca="false">IFERROR(INDEX(c_Region,MATCH($C511,c_ID,0)),"غير معرّف")</f>
        <v>الجنوبية</v>
      </c>
      <c r="F511" s="81" t="s">
        <v>167</v>
      </c>
      <c r="G511" s="83" t="str">
        <f aca="false">IFERROR(INDEX(p_Name,MATCH($F511,p_ID,0)),"غير معرّف")</f>
        <v>شاشة 27 بوصة</v>
      </c>
      <c r="H511" s="83" t="str">
        <f aca="false">IFERROR(INDEX(p_Cat,MATCH($F511,p_ID,0)),"غير معرّف")</f>
        <v>إلكترونيات</v>
      </c>
      <c r="I511" s="81" t="s">
        <v>467</v>
      </c>
      <c r="J511" s="81" t="s">
        <v>91</v>
      </c>
      <c r="K511" s="81" t="n">
        <v>2</v>
      </c>
      <c r="L511" s="84" t="n">
        <f aca="false">IFERROR(INDEX(p_Price,MATCH($F511,p_ID,0)),0)</f>
        <v>1100</v>
      </c>
      <c r="M511" s="85" t="n">
        <v>0</v>
      </c>
      <c r="N511" s="81" t="s">
        <v>644</v>
      </c>
      <c r="O511" s="84" t="n">
        <f aca="false">IF($N511="مرتجع",0,K511*L511*(1-M511))</f>
        <v>2200</v>
      </c>
      <c r="P511" s="84" t="n">
        <f aca="false">IF($N511="مرتجع",0,K511*IFERROR(INDEX(p_Cost,MATCH($F511,p_ID,0)),0))</f>
        <v>1560</v>
      </c>
      <c r="Q511" s="84" t="n">
        <f aca="false">O511-P511</f>
        <v>640</v>
      </c>
      <c r="R511" s="86" t="n">
        <f aca="false">DATE(YEAR(B511),MONTH(B511),1)</f>
        <v>46023</v>
      </c>
      <c r="S511" s="83" t="str">
        <f aca="false">YEAR(B511)&amp;"-Q"&amp;ROUNDUP(MONTH(B511)/3,0)</f>
        <v>2026-Q1</v>
      </c>
      <c r="T511" s="87" t="n">
        <f aca="false">IF(O511&gt;0,Q511/O511,"")</f>
        <v>0.290909090909091</v>
      </c>
      <c r="U511" s="84" t="n">
        <f aca="false">IF(O511&gt;0,O511,"")</f>
        <v>2200</v>
      </c>
    </row>
    <row r="512" customFormat="false" ht="15" hidden="false" customHeight="false" outlineLevel="0" collapsed="false">
      <c r="A512" s="81" t="s">
        <v>1155</v>
      </c>
      <c r="B512" s="82" t="n">
        <v>46041</v>
      </c>
      <c r="C512" s="81" t="s">
        <v>345</v>
      </c>
      <c r="D512" s="83" t="str">
        <f aca="false">IFERROR(INDEX(c_Name,MATCH($C512,c_ID,0)),"غير معرّف")</f>
        <v>عبدالله العنزي</v>
      </c>
      <c r="E512" s="83" t="str">
        <f aca="false">IFERROR(INDEX(c_Region,MATCH($C512,c_ID,0)),"غير معرّف")</f>
        <v>الغربية</v>
      </c>
      <c r="F512" s="81" t="s">
        <v>184</v>
      </c>
      <c r="G512" s="83" t="str">
        <f aca="false">IFERROR(INDEX(p_Name,MATCH($F512,p_ID,0)),"غير معرّف")</f>
        <v>عطر فاخر</v>
      </c>
      <c r="H512" s="83" t="str">
        <f aca="false">IFERROR(INDEX(p_Cat,MATCH($F512,p_ID,0)),"غير معرّف")</f>
        <v>عناية شخصية</v>
      </c>
      <c r="I512" s="81" t="s">
        <v>452</v>
      </c>
      <c r="J512" s="81" t="s">
        <v>93</v>
      </c>
      <c r="K512" s="81" t="n">
        <v>3</v>
      </c>
      <c r="L512" s="84" t="n">
        <f aca="false">IFERROR(INDEX(p_Price,MATCH($F512,p_ID,0)),0)</f>
        <v>520</v>
      </c>
      <c r="M512" s="85" t="n">
        <v>0</v>
      </c>
      <c r="N512" s="81" t="s">
        <v>644</v>
      </c>
      <c r="O512" s="84" t="n">
        <f aca="false">IF($N512="مرتجع",0,K512*L512*(1-M512))</f>
        <v>1560</v>
      </c>
      <c r="P512" s="84" t="n">
        <f aca="false">IF($N512="مرتجع",0,K512*IFERROR(INDEX(p_Cost,MATCH($F512,p_ID,0)),0))</f>
        <v>630</v>
      </c>
      <c r="Q512" s="84" t="n">
        <f aca="false">O512-P512</f>
        <v>930</v>
      </c>
      <c r="R512" s="86" t="n">
        <f aca="false">DATE(YEAR(B512),MONTH(B512),1)</f>
        <v>46023</v>
      </c>
      <c r="S512" s="83" t="str">
        <f aca="false">YEAR(B512)&amp;"-Q"&amp;ROUNDUP(MONTH(B512)/3,0)</f>
        <v>2026-Q1</v>
      </c>
      <c r="T512" s="87" t="n">
        <f aca="false">IF(O512&gt;0,Q512/O512,"")</f>
        <v>0.596153846153846</v>
      </c>
      <c r="U512" s="84" t="n">
        <f aca="false">IF(O512&gt;0,O512,"")</f>
        <v>1560</v>
      </c>
    </row>
    <row r="513" customFormat="false" ht="15" hidden="false" customHeight="false" outlineLevel="0" collapsed="false">
      <c r="A513" s="81" t="s">
        <v>1156</v>
      </c>
      <c r="B513" s="82" t="n">
        <v>46041</v>
      </c>
      <c r="C513" s="81" t="s">
        <v>294</v>
      </c>
      <c r="D513" s="83" t="str">
        <f aca="false">IFERROR(INDEX(c_Name,MATCH($C513,c_ID,0)),"غير معرّف")</f>
        <v>خالد البلوي</v>
      </c>
      <c r="E513" s="83" t="str">
        <f aca="false">IFERROR(INDEX(c_Region,MATCH($C513,c_ID,0)),"غير معرّف")</f>
        <v>الوسطى</v>
      </c>
      <c r="F513" s="81" t="s">
        <v>179</v>
      </c>
      <c r="G513" s="83" t="str">
        <f aca="false">IFERROR(INDEX(p_Name,MATCH($F513,p_ID,0)),"غير معرّف")</f>
        <v>طقم أدوات مكتبية</v>
      </c>
      <c r="H513" s="83" t="str">
        <f aca="false">IFERROR(INDEX(p_Cat,MATCH($F513,p_ID,0)),"غير معرّف")</f>
        <v>مستلزمات مكتبية</v>
      </c>
      <c r="I513" s="81" t="s">
        <v>443</v>
      </c>
      <c r="J513" s="81" t="s">
        <v>93</v>
      </c>
      <c r="K513" s="81" t="n">
        <v>17</v>
      </c>
      <c r="L513" s="84" t="n">
        <f aca="false">IFERROR(INDEX(p_Price,MATCH($F513,p_ID,0)),0)</f>
        <v>90</v>
      </c>
      <c r="M513" s="85" t="n">
        <v>0</v>
      </c>
      <c r="N513" s="81" t="s">
        <v>650</v>
      </c>
      <c r="O513" s="84" t="n">
        <f aca="false">IF($N513="مرتجع",0,K513*L513*(1-M513))</f>
        <v>0</v>
      </c>
      <c r="P513" s="84" t="n">
        <f aca="false">IF($N513="مرتجع",0,K513*IFERROR(INDEX(p_Cost,MATCH($F513,p_ID,0)),0))</f>
        <v>0</v>
      </c>
      <c r="Q513" s="84" t="n">
        <f aca="false">O513-P513</f>
        <v>0</v>
      </c>
      <c r="R513" s="86" t="n">
        <f aca="false">DATE(YEAR(B513),MONTH(B513),1)</f>
        <v>46023</v>
      </c>
      <c r="S513" s="83" t="str">
        <f aca="false">YEAR(B513)&amp;"-Q"&amp;ROUNDUP(MONTH(B513)/3,0)</f>
        <v>2026-Q1</v>
      </c>
      <c r="T513" s="87" t="str">
        <f aca="false">IF(O513&gt;0,Q513/O513,"")</f>
        <v/>
      </c>
      <c r="U513" s="84" t="str">
        <f aca="false">IF(O513&gt;0,O513,"")</f>
        <v/>
      </c>
    </row>
    <row r="514" customFormat="false" ht="15" hidden="false" customHeight="false" outlineLevel="0" collapsed="false">
      <c r="A514" s="81" t="s">
        <v>1157</v>
      </c>
      <c r="B514" s="82" t="n">
        <v>46042</v>
      </c>
      <c r="C514" s="81" t="s">
        <v>270</v>
      </c>
      <c r="D514" s="83" t="str">
        <f aca="false">IFERROR(INDEX(c_Name,MATCH($C514,c_ID,0)),"غير معرّف")</f>
        <v>ريم التميمي</v>
      </c>
      <c r="E514" s="83" t="str">
        <f aca="false">IFERROR(INDEX(c_Region,MATCH($C514,c_ID,0)),"غير معرّف")</f>
        <v>الشرقية</v>
      </c>
      <c r="F514" s="81" t="s">
        <v>183</v>
      </c>
      <c r="G514" s="83" t="str">
        <f aca="false">IFERROR(INDEX(p_Name,MATCH($F514,p_ID,0)),"غير معرّف")</f>
        <v>سجادة يوغا</v>
      </c>
      <c r="H514" s="83" t="str">
        <f aca="false">IFERROR(INDEX(p_Cat,MATCH($F514,p_ID,0)),"غير معرّف")</f>
        <v>رياضة</v>
      </c>
      <c r="I514" s="81" t="s">
        <v>463</v>
      </c>
      <c r="J514" s="81" t="s">
        <v>91</v>
      </c>
      <c r="K514" s="81" t="n">
        <v>1</v>
      </c>
      <c r="L514" s="84" t="n">
        <f aca="false">IFERROR(INDEX(p_Price,MATCH($F514,p_ID,0)),0)</f>
        <v>120</v>
      </c>
      <c r="M514" s="85" t="n">
        <v>0.15</v>
      </c>
      <c r="N514" s="81" t="s">
        <v>644</v>
      </c>
      <c r="O514" s="84" t="n">
        <f aca="false">IF($N514="مرتجع",0,K514*L514*(1-M514))</f>
        <v>102</v>
      </c>
      <c r="P514" s="84" t="n">
        <f aca="false">IF($N514="مرتجع",0,K514*IFERROR(INDEX(p_Cost,MATCH($F514,p_ID,0)),0))</f>
        <v>50</v>
      </c>
      <c r="Q514" s="84" t="n">
        <f aca="false">O514-P514</f>
        <v>52</v>
      </c>
      <c r="R514" s="86" t="n">
        <f aca="false">DATE(YEAR(B514),MONTH(B514),1)</f>
        <v>46023</v>
      </c>
      <c r="S514" s="83" t="str">
        <f aca="false">YEAR(B514)&amp;"-Q"&amp;ROUNDUP(MONTH(B514)/3,0)</f>
        <v>2026-Q1</v>
      </c>
      <c r="T514" s="87" t="n">
        <f aca="false">IF(O514&gt;0,Q514/O514,"")</f>
        <v>0.509803921568627</v>
      </c>
      <c r="U514" s="84" t="n">
        <f aca="false">IF(O514&gt;0,O514,"")</f>
        <v>102</v>
      </c>
    </row>
    <row r="515" customFormat="false" ht="15" hidden="false" customHeight="false" outlineLevel="0" collapsed="false">
      <c r="A515" s="81" t="s">
        <v>1158</v>
      </c>
      <c r="B515" s="82" t="n">
        <v>46042</v>
      </c>
      <c r="C515" s="81" t="s">
        <v>322</v>
      </c>
      <c r="D515" s="83" t="str">
        <f aca="false">IFERROR(INDEX(c_Name,MATCH($C515,c_ID,0)),"غير معرّف")</f>
        <v>نورة البلوي</v>
      </c>
      <c r="E515" s="83" t="str">
        <f aca="false">IFERROR(INDEX(c_Region,MATCH($C515,c_ID,0)),"غير معرّف")</f>
        <v>الغربية</v>
      </c>
      <c r="F515" s="81" t="s">
        <v>186</v>
      </c>
      <c r="G515" s="83" t="str">
        <f aca="false">IFERROR(INDEX(p_Name,MATCH($F515,p_ID,0)),"غير معرّف")</f>
        <v>مجفف شعر</v>
      </c>
      <c r="H515" s="83" t="str">
        <f aca="false">IFERROR(INDEX(p_Cat,MATCH($F515,p_ID,0)),"غير معرّف")</f>
        <v>عناية شخصية</v>
      </c>
      <c r="I515" s="81" t="s">
        <v>455</v>
      </c>
      <c r="J515" s="81" t="s">
        <v>91</v>
      </c>
      <c r="K515" s="81" t="n">
        <v>4</v>
      </c>
      <c r="L515" s="84" t="n">
        <f aca="false">IFERROR(INDEX(p_Price,MATCH($F515,p_ID,0)),0)</f>
        <v>280</v>
      </c>
      <c r="M515" s="85" t="n">
        <v>0.05</v>
      </c>
      <c r="N515" s="81" t="s">
        <v>644</v>
      </c>
      <c r="O515" s="84" t="n">
        <f aca="false">IF($N515="مرتجع",0,K515*L515*(1-M515))</f>
        <v>1064</v>
      </c>
      <c r="P515" s="84" t="n">
        <f aca="false">IF($N515="مرتجع",0,K515*IFERROR(INDEX(p_Cost,MATCH($F515,p_ID,0)),0))</f>
        <v>560</v>
      </c>
      <c r="Q515" s="84" t="n">
        <f aca="false">O515-P515</f>
        <v>504</v>
      </c>
      <c r="R515" s="86" t="n">
        <f aca="false">DATE(YEAR(B515),MONTH(B515),1)</f>
        <v>46023</v>
      </c>
      <c r="S515" s="83" t="str">
        <f aca="false">YEAR(B515)&amp;"-Q"&amp;ROUNDUP(MONTH(B515)/3,0)</f>
        <v>2026-Q1</v>
      </c>
      <c r="T515" s="87" t="n">
        <f aca="false">IF(O515&gt;0,Q515/O515,"")</f>
        <v>0.473684210526316</v>
      </c>
      <c r="U515" s="84" t="n">
        <f aca="false">IF(O515&gt;0,O515,"")</f>
        <v>1064</v>
      </c>
    </row>
    <row r="516" customFormat="false" ht="15" hidden="false" customHeight="false" outlineLevel="0" collapsed="false">
      <c r="A516" s="81" t="s">
        <v>1159</v>
      </c>
      <c r="B516" s="82" t="n">
        <v>46042</v>
      </c>
      <c r="C516" s="81" t="s">
        <v>371</v>
      </c>
      <c r="D516" s="83" t="str">
        <f aca="false">IFERROR(INDEX(c_Name,MATCH($C516,c_ID,0)),"غير معرّف")</f>
        <v>جود العنزي</v>
      </c>
      <c r="E516" s="83" t="str">
        <f aca="false">IFERROR(INDEX(c_Region,MATCH($C516,c_ID,0)),"غير معرّف")</f>
        <v>الشرقية</v>
      </c>
      <c r="F516" s="81" t="s">
        <v>167</v>
      </c>
      <c r="G516" s="83" t="str">
        <f aca="false">IFERROR(INDEX(p_Name,MATCH($F516,p_ID,0)),"غير معرّف")</f>
        <v>شاشة 27 بوصة</v>
      </c>
      <c r="H516" s="83" t="str">
        <f aca="false">IFERROR(INDEX(p_Cat,MATCH($F516,p_ID,0)),"غير معرّف")</f>
        <v>إلكترونيات</v>
      </c>
      <c r="I516" s="81" t="s">
        <v>461</v>
      </c>
      <c r="J516" s="81" t="s">
        <v>91</v>
      </c>
      <c r="K516" s="81" t="n">
        <v>2</v>
      </c>
      <c r="L516" s="84" t="n">
        <f aca="false">IFERROR(INDEX(p_Price,MATCH($F516,p_ID,0)),0)</f>
        <v>1100</v>
      </c>
      <c r="M516" s="85" t="n">
        <v>0</v>
      </c>
      <c r="N516" s="81" t="s">
        <v>644</v>
      </c>
      <c r="O516" s="84" t="n">
        <f aca="false">IF($N516="مرتجع",0,K516*L516*(1-M516))</f>
        <v>2200</v>
      </c>
      <c r="P516" s="84" t="n">
        <f aca="false">IF($N516="مرتجع",0,K516*IFERROR(INDEX(p_Cost,MATCH($F516,p_ID,0)),0))</f>
        <v>1560</v>
      </c>
      <c r="Q516" s="84" t="n">
        <f aca="false">O516-P516</f>
        <v>640</v>
      </c>
      <c r="R516" s="86" t="n">
        <f aca="false">DATE(YEAR(B516),MONTH(B516),1)</f>
        <v>46023</v>
      </c>
      <c r="S516" s="83" t="str">
        <f aca="false">YEAR(B516)&amp;"-Q"&amp;ROUNDUP(MONTH(B516)/3,0)</f>
        <v>2026-Q1</v>
      </c>
      <c r="T516" s="87" t="n">
        <f aca="false">IF(O516&gt;0,Q516/O516,"")</f>
        <v>0.290909090909091</v>
      </c>
      <c r="U516" s="84" t="n">
        <f aca="false">IF(O516&gt;0,O516,"")</f>
        <v>2200</v>
      </c>
    </row>
    <row r="517" customFormat="false" ht="15" hidden="false" customHeight="false" outlineLevel="0" collapsed="false">
      <c r="A517" s="81" t="s">
        <v>1160</v>
      </c>
      <c r="B517" s="82" t="n">
        <v>46042</v>
      </c>
      <c r="C517" s="81" t="s">
        <v>397</v>
      </c>
      <c r="D517" s="83" t="str">
        <f aca="false">IFERROR(INDEX(c_Name,MATCH($C517,c_ID,0)),"غير معرّف")</f>
        <v>عبير الخالدي</v>
      </c>
      <c r="E517" s="83" t="str">
        <f aca="false">IFERROR(INDEX(c_Region,MATCH($C517,c_ID,0)),"غير معرّف")</f>
        <v>الشرقية</v>
      </c>
      <c r="F517" s="81" t="s">
        <v>172</v>
      </c>
      <c r="G517" s="83" t="str">
        <f aca="false">IFERROR(INDEX(p_Name,MATCH($F517,p_ID,0)),"غير معرّف")</f>
        <v>مكتب عمل</v>
      </c>
      <c r="H517" s="83" t="str">
        <f aca="false">IFERROR(INDEX(p_Cat,MATCH($F517,p_ID,0)),"غير معرّف")</f>
        <v>أثاث</v>
      </c>
      <c r="I517" s="81" t="s">
        <v>463</v>
      </c>
      <c r="J517" s="81" t="s">
        <v>91</v>
      </c>
      <c r="K517" s="81" t="n">
        <v>6</v>
      </c>
      <c r="L517" s="84" t="n">
        <f aca="false">IFERROR(INDEX(p_Price,MATCH($F517,p_ID,0)),0)</f>
        <v>1200</v>
      </c>
      <c r="M517" s="85" t="n">
        <v>0.1</v>
      </c>
      <c r="N517" s="81" t="s">
        <v>644</v>
      </c>
      <c r="O517" s="84" t="n">
        <f aca="false">IF($N517="مرتجع",0,K517*L517*(1-M517))</f>
        <v>6480</v>
      </c>
      <c r="P517" s="84" t="n">
        <f aca="false">IF($N517="مرتجع",0,K517*IFERROR(INDEX(p_Cost,MATCH($F517,p_ID,0)),0))</f>
        <v>4200</v>
      </c>
      <c r="Q517" s="84" t="n">
        <f aca="false">O517-P517</f>
        <v>2280</v>
      </c>
      <c r="R517" s="86" t="n">
        <f aca="false">DATE(YEAR(B517),MONTH(B517),1)</f>
        <v>46023</v>
      </c>
      <c r="S517" s="83" t="str">
        <f aca="false">YEAR(B517)&amp;"-Q"&amp;ROUNDUP(MONTH(B517)/3,0)</f>
        <v>2026-Q1</v>
      </c>
      <c r="T517" s="87" t="n">
        <f aca="false">IF(O517&gt;0,Q517/O517,"")</f>
        <v>0.351851851851852</v>
      </c>
      <c r="U517" s="84" t="n">
        <f aca="false">IF(O517&gt;0,O517,"")</f>
        <v>6480</v>
      </c>
    </row>
    <row r="518" customFormat="false" ht="15" hidden="false" customHeight="false" outlineLevel="0" collapsed="false">
      <c r="A518" s="81" t="s">
        <v>1161</v>
      </c>
      <c r="B518" s="82" t="n">
        <v>46042</v>
      </c>
      <c r="C518" s="81" t="s">
        <v>270</v>
      </c>
      <c r="D518" s="83" t="str">
        <f aca="false">IFERROR(INDEX(c_Name,MATCH($C518,c_ID,0)),"غير معرّف")</f>
        <v>ريم التميمي</v>
      </c>
      <c r="E518" s="83" t="str">
        <f aca="false">IFERROR(INDEX(c_Region,MATCH($C518,c_ID,0)),"غير معرّف")</f>
        <v>الشرقية</v>
      </c>
      <c r="F518" s="81" t="s">
        <v>170</v>
      </c>
      <c r="G518" s="83" t="str">
        <f aca="false">IFERROR(INDEX(p_Name,MATCH($F518,p_ID,0)),"غير معرّف")</f>
        <v>مكيف نقال</v>
      </c>
      <c r="H518" s="83" t="str">
        <f aca="false">IFERROR(INDEX(p_Cat,MATCH($F518,p_ID,0)),"غير معرّف")</f>
        <v>أجهزة منزلية</v>
      </c>
      <c r="I518" s="81" t="s">
        <v>461</v>
      </c>
      <c r="J518" s="81" t="s">
        <v>93</v>
      </c>
      <c r="K518" s="81" t="n">
        <v>1</v>
      </c>
      <c r="L518" s="84" t="n">
        <f aca="false">IFERROR(INDEX(p_Price,MATCH($F518,p_ID,0)),0)</f>
        <v>1900</v>
      </c>
      <c r="M518" s="85" t="n">
        <v>0.2</v>
      </c>
      <c r="N518" s="81" t="s">
        <v>644</v>
      </c>
      <c r="O518" s="84" t="n">
        <f aca="false">IF($N518="مرتجع",0,K518*L518*(1-M518))</f>
        <v>1520</v>
      </c>
      <c r="P518" s="84" t="n">
        <f aca="false">IF($N518="مرتجع",0,K518*IFERROR(INDEX(p_Cost,MATCH($F518,p_ID,0)),0))</f>
        <v>1350</v>
      </c>
      <c r="Q518" s="84" t="n">
        <f aca="false">O518-P518</f>
        <v>170</v>
      </c>
      <c r="R518" s="86" t="n">
        <f aca="false">DATE(YEAR(B518),MONTH(B518),1)</f>
        <v>46023</v>
      </c>
      <c r="S518" s="83" t="str">
        <f aca="false">YEAR(B518)&amp;"-Q"&amp;ROUNDUP(MONTH(B518)/3,0)</f>
        <v>2026-Q1</v>
      </c>
      <c r="T518" s="87" t="n">
        <f aca="false">IF(O518&gt;0,Q518/O518,"")</f>
        <v>0.111842105263158</v>
      </c>
      <c r="U518" s="84" t="n">
        <f aca="false">IF(O518&gt;0,O518,"")</f>
        <v>1520</v>
      </c>
    </row>
    <row r="519" customFormat="false" ht="15" hidden="false" customHeight="false" outlineLevel="0" collapsed="false">
      <c r="A519" s="81" t="s">
        <v>1162</v>
      </c>
      <c r="B519" s="82" t="n">
        <v>46042</v>
      </c>
      <c r="C519" s="81" t="s">
        <v>246</v>
      </c>
      <c r="D519" s="83" t="str">
        <f aca="false">IFERROR(INDEX(c_Name,MATCH($C519,c_ID,0)),"غير معرّف")</f>
        <v>ياسر العتيبي</v>
      </c>
      <c r="E519" s="83" t="str">
        <f aca="false">IFERROR(INDEX(c_Region,MATCH($C519,c_ID,0)),"غير معرّف")</f>
        <v>الجنوبية</v>
      </c>
      <c r="F519" s="81" t="s">
        <v>183</v>
      </c>
      <c r="G519" s="83" t="str">
        <f aca="false">IFERROR(INDEX(p_Name,MATCH($F519,p_ID,0)),"غير معرّف")</f>
        <v>سجادة يوغا</v>
      </c>
      <c r="H519" s="83" t="str">
        <f aca="false">IFERROR(INDEX(p_Cat,MATCH($F519,p_ID,0)),"غير معرّف")</f>
        <v>رياضة</v>
      </c>
      <c r="I519" s="81" t="s">
        <v>465</v>
      </c>
      <c r="J519" s="81" t="s">
        <v>91</v>
      </c>
      <c r="K519" s="81" t="n">
        <v>1</v>
      </c>
      <c r="L519" s="84" t="n">
        <f aca="false">IFERROR(INDEX(p_Price,MATCH($F519,p_ID,0)),0)</f>
        <v>120</v>
      </c>
      <c r="M519" s="85" t="n">
        <v>0</v>
      </c>
      <c r="N519" s="81" t="s">
        <v>644</v>
      </c>
      <c r="O519" s="84" t="n">
        <f aca="false">IF($N519="مرتجع",0,K519*L519*(1-M519))</f>
        <v>120</v>
      </c>
      <c r="P519" s="84" t="n">
        <f aca="false">IF($N519="مرتجع",0,K519*IFERROR(INDEX(p_Cost,MATCH($F519,p_ID,0)),0))</f>
        <v>50</v>
      </c>
      <c r="Q519" s="84" t="n">
        <f aca="false">O519-P519</f>
        <v>70</v>
      </c>
      <c r="R519" s="86" t="n">
        <f aca="false">DATE(YEAR(B519),MONTH(B519),1)</f>
        <v>46023</v>
      </c>
      <c r="S519" s="83" t="str">
        <f aca="false">YEAR(B519)&amp;"-Q"&amp;ROUNDUP(MONTH(B519)/3,0)</f>
        <v>2026-Q1</v>
      </c>
      <c r="T519" s="87" t="n">
        <f aca="false">IF(O519&gt;0,Q519/O519,"")</f>
        <v>0.583333333333333</v>
      </c>
      <c r="U519" s="84" t="n">
        <f aca="false">IF(O519&gt;0,O519,"")</f>
        <v>120</v>
      </c>
    </row>
    <row r="520" customFormat="false" ht="15" hidden="false" customHeight="false" outlineLevel="0" collapsed="false">
      <c r="A520" s="81" t="s">
        <v>1163</v>
      </c>
      <c r="B520" s="82" t="n">
        <v>46043</v>
      </c>
      <c r="C520" s="81" t="s">
        <v>299</v>
      </c>
      <c r="D520" s="83" t="str">
        <f aca="false">IFERROR(INDEX(c_Name,MATCH($C520,c_ID,0)),"غير معرّف")</f>
        <v>جود الخالدي</v>
      </c>
      <c r="E520" s="83" t="str">
        <f aca="false">IFERROR(INDEX(c_Region,MATCH($C520,c_ID,0)),"غير معرّف")</f>
        <v>الوسطى</v>
      </c>
      <c r="F520" s="81" t="s">
        <v>180</v>
      </c>
      <c r="G520" s="83" t="str">
        <f aca="false">IFERROR(INDEX(p_Name,MATCH($F520,p_ID,0)),"غير معرّف")</f>
        <v>جهاز مشي</v>
      </c>
      <c r="H520" s="83" t="str">
        <f aca="false">IFERROR(INDEX(p_Cat,MATCH($F520,p_ID,0)),"غير معرّف")</f>
        <v>رياضة</v>
      </c>
      <c r="I520" s="81" t="s">
        <v>449</v>
      </c>
      <c r="J520" s="81" t="s">
        <v>93</v>
      </c>
      <c r="K520" s="81" t="n">
        <v>1</v>
      </c>
      <c r="L520" s="84" t="n">
        <f aca="false">IFERROR(INDEX(p_Price,MATCH($F520,p_ID,0)),0)</f>
        <v>3200</v>
      </c>
      <c r="M520" s="85" t="n">
        <v>0.05</v>
      </c>
      <c r="N520" s="81" t="s">
        <v>644</v>
      </c>
      <c r="O520" s="84" t="n">
        <f aca="false">IF($N520="مرتجع",0,K520*L520*(1-M520))</f>
        <v>3040</v>
      </c>
      <c r="P520" s="84" t="n">
        <f aca="false">IF($N520="مرتجع",0,K520*IFERROR(INDEX(p_Cost,MATCH($F520,p_ID,0)),0))</f>
        <v>2200</v>
      </c>
      <c r="Q520" s="84" t="n">
        <f aca="false">O520-P520</f>
        <v>840</v>
      </c>
      <c r="R520" s="86" t="n">
        <f aca="false">DATE(YEAR(B520),MONTH(B520),1)</f>
        <v>46023</v>
      </c>
      <c r="S520" s="83" t="str">
        <f aca="false">YEAR(B520)&amp;"-Q"&amp;ROUNDUP(MONTH(B520)/3,0)</f>
        <v>2026-Q1</v>
      </c>
      <c r="T520" s="87" t="n">
        <f aca="false">IF(O520&gt;0,Q520/O520,"")</f>
        <v>0.276315789473684</v>
      </c>
      <c r="U520" s="84" t="n">
        <f aca="false">IF(O520&gt;0,O520,"")</f>
        <v>3040</v>
      </c>
    </row>
    <row r="521" customFormat="false" ht="15" hidden="false" customHeight="false" outlineLevel="0" collapsed="false">
      <c r="A521" s="81" t="s">
        <v>1164</v>
      </c>
      <c r="B521" s="82" t="n">
        <v>46044</v>
      </c>
      <c r="C521" s="81" t="s">
        <v>270</v>
      </c>
      <c r="D521" s="83" t="str">
        <f aca="false">IFERROR(INDEX(c_Name,MATCH($C521,c_ID,0)),"غير معرّف")</f>
        <v>ريم التميمي</v>
      </c>
      <c r="E521" s="83" t="str">
        <f aca="false">IFERROR(INDEX(c_Region,MATCH($C521,c_ID,0)),"غير معرّف")</f>
        <v>الشرقية</v>
      </c>
      <c r="F521" s="81" t="s">
        <v>169</v>
      </c>
      <c r="G521" s="83" t="str">
        <f aca="false">IFERROR(INDEX(p_Name,MATCH($F521,p_ID,0)),"غير معرّف")</f>
        <v>خلاط</v>
      </c>
      <c r="H521" s="83" t="str">
        <f aca="false">IFERROR(INDEX(p_Cat,MATCH($F521,p_ID,0)),"غير معرّف")</f>
        <v>أجهزة منزلية</v>
      </c>
      <c r="I521" s="81" t="s">
        <v>461</v>
      </c>
      <c r="J521" s="81" t="s">
        <v>91</v>
      </c>
      <c r="K521" s="81" t="n">
        <v>4</v>
      </c>
      <c r="L521" s="84" t="n">
        <f aca="false">IFERROR(INDEX(p_Price,MATCH($F521,p_ID,0)),0)</f>
        <v>300</v>
      </c>
      <c r="M521" s="85" t="n">
        <v>0</v>
      </c>
      <c r="N521" s="81" t="s">
        <v>644</v>
      </c>
      <c r="O521" s="84" t="n">
        <f aca="false">IF($N521="مرتجع",0,K521*L521*(1-M521))</f>
        <v>1200</v>
      </c>
      <c r="P521" s="84" t="n">
        <f aca="false">IF($N521="مرتجع",0,K521*IFERROR(INDEX(p_Cost,MATCH($F521,p_ID,0)),0))</f>
        <v>700</v>
      </c>
      <c r="Q521" s="84" t="n">
        <f aca="false">O521-P521</f>
        <v>500</v>
      </c>
      <c r="R521" s="86" t="n">
        <f aca="false">DATE(YEAR(B521),MONTH(B521),1)</f>
        <v>46023</v>
      </c>
      <c r="S521" s="83" t="str">
        <f aca="false">YEAR(B521)&amp;"-Q"&amp;ROUNDUP(MONTH(B521)/3,0)</f>
        <v>2026-Q1</v>
      </c>
      <c r="T521" s="87" t="n">
        <f aca="false">IF(O521&gt;0,Q521/O521,"")</f>
        <v>0.416666666666667</v>
      </c>
      <c r="U521" s="84" t="n">
        <f aca="false">IF(O521&gt;0,O521,"")</f>
        <v>1200</v>
      </c>
    </row>
    <row r="522" customFormat="false" ht="15" hidden="false" customHeight="false" outlineLevel="0" collapsed="false">
      <c r="A522" s="81" t="s">
        <v>1165</v>
      </c>
      <c r="B522" s="82" t="n">
        <v>46045</v>
      </c>
      <c r="C522" s="81" t="s">
        <v>274</v>
      </c>
      <c r="D522" s="83" t="str">
        <f aca="false">IFERROR(INDEX(c_Name,MATCH($C522,c_ID,0)),"غير معرّف")</f>
        <v>سلمان الغامدي</v>
      </c>
      <c r="E522" s="83" t="str">
        <f aca="false">IFERROR(INDEX(c_Region,MATCH($C522,c_ID,0)),"غير معرّف")</f>
        <v>الوسطى</v>
      </c>
      <c r="F522" s="81" t="s">
        <v>182</v>
      </c>
      <c r="G522" s="83" t="str">
        <f aca="false">IFERROR(INDEX(p_Name,MATCH($F522,p_ID,0)),"غير معرّف")</f>
        <v>طقم أوزان</v>
      </c>
      <c r="H522" s="83" t="str">
        <f aca="false">IFERROR(INDEX(p_Cat,MATCH($F522,p_ID,0)),"غير معرّف")</f>
        <v>رياضة</v>
      </c>
      <c r="I522" s="81" t="s">
        <v>443</v>
      </c>
      <c r="J522" s="81" t="s">
        <v>91</v>
      </c>
      <c r="K522" s="81" t="n">
        <v>1</v>
      </c>
      <c r="L522" s="84" t="n">
        <f aca="false">IFERROR(INDEX(p_Price,MATCH($F522,p_ID,0)),0)</f>
        <v>380</v>
      </c>
      <c r="M522" s="85" t="n">
        <v>0</v>
      </c>
      <c r="N522" s="81" t="s">
        <v>644</v>
      </c>
      <c r="O522" s="84" t="n">
        <f aca="false">IF($N522="مرتجع",0,K522*L522*(1-M522))</f>
        <v>380</v>
      </c>
      <c r="P522" s="84" t="n">
        <f aca="false">IF($N522="مرتجع",0,K522*IFERROR(INDEX(p_Cost,MATCH($F522,p_ID,0)),0))</f>
        <v>210</v>
      </c>
      <c r="Q522" s="84" t="n">
        <f aca="false">O522-P522</f>
        <v>170</v>
      </c>
      <c r="R522" s="86" t="n">
        <f aca="false">DATE(YEAR(B522),MONTH(B522),1)</f>
        <v>46023</v>
      </c>
      <c r="S522" s="83" t="str">
        <f aca="false">YEAR(B522)&amp;"-Q"&amp;ROUNDUP(MONTH(B522)/3,0)</f>
        <v>2026-Q1</v>
      </c>
      <c r="T522" s="87" t="n">
        <f aca="false">IF(O522&gt;0,Q522/O522,"")</f>
        <v>0.447368421052632</v>
      </c>
      <c r="U522" s="84" t="n">
        <f aca="false">IF(O522&gt;0,O522,"")</f>
        <v>380</v>
      </c>
    </row>
    <row r="523" customFormat="false" ht="15" hidden="false" customHeight="false" outlineLevel="0" collapsed="false">
      <c r="A523" s="81" t="s">
        <v>1166</v>
      </c>
      <c r="B523" s="82" t="n">
        <v>46045</v>
      </c>
      <c r="C523" s="81" t="s">
        <v>273</v>
      </c>
      <c r="D523" s="83" t="str">
        <f aca="false">IFERROR(INDEX(c_Name,MATCH($C523,c_ID,0)),"غير معرّف")</f>
        <v>سلمان التميمي</v>
      </c>
      <c r="E523" s="83" t="str">
        <f aca="false">IFERROR(INDEX(c_Region,MATCH($C523,c_ID,0)),"غير معرّف")</f>
        <v>الشرقية</v>
      </c>
      <c r="F523" s="81" t="s">
        <v>170</v>
      </c>
      <c r="G523" s="83" t="str">
        <f aca="false">IFERROR(INDEX(p_Name,MATCH($F523,p_ID,0)),"غير معرّف")</f>
        <v>مكيف نقال</v>
      </c>
      <c r="H523" s="83" t="str">
        <f aca="false">IFERROR(INDEX(p_Cat,MATCH($F523,p_ID,0)),"غير معرّف")</f>
        <v>أجهزة منزلية</v>
      </c>
      <c r="I523" s="81" t="s">
        <v>461</v>
      </c>
      <c r="J523" s="81" t="s">
        <v>93</v>
      </c>
      <c r="K523" s="81" t="n">
        <v>1</v>
      </c>
      <c r="L523" s="84" t="n">
        <f aca="false">IFERROR(INDEX(p_Price,MATCH($F523,p_ID,0)),0)</f>
        <v>1900</v>
      </c>
      <c r="M523" s="85" t="n">
        <v>0.05</v>
      </c>
      <c r="N523" s="81" t="s">
        <v>644</v>
      </c>
      <c r="O523" s="84" t="n">
        <f aca="false">IF($N523="مرتجع",0,K523*L523*(1-M523))</f>
        <v>1805</v>
      </c>
      <c r="P523" s="84" t="n">
        <f aca="false">IF($N523="مرتجع",0,K523*IFERROR(INDEX(p_Cost,MATCH($F523,p_ID,0)),0))</f>
        <v>1350</v>
      </c>
      <c r="Q523" s="84" t="n">
        <f aca="false">O523-P523</f>
        <v>455</v>
      </c>
      <c r="R523" s="86" t="n">
        <f aca="false">DATE(YEAR(B523),MONTH(B523),1)</f>
        <v>46023</v>
      </c>
      <c r="S523" s="83" t="str">
        <f aca="false">YEAR(B523)&amp;"-Q"&amp;ROUNDUP(MONTH(B523)/3,0)</f>
        <v>2026-Q1</v>
      </c>
      <c r="T523" s="87" t="n">
        <f aca="false">IF(O523&gt;0,Q523/O523,"")</f>
        <v>0.25207756232687</v>
      </c>
      <c r="U523" s="84" t="n">
        <f aca="false">IF(O523&gt;0,O523,"")</f>
        <v>1805</v>
      </c>
    </row>
    <row r="524" customFormat="false" ht="15" hidden="false" customHeight="false" outlineLevel="0" collapsed="false">
      <c r="A524" s="81" t="s">
        <v>1167</v>
      </c>
      <c r="B524" s="82" t="n">
        <v>46046</v>
      </c>
      <c r="C524" s="81" t="s">
        <v>253</v>
      </c>
      <c r="D524" s="83" t="str">
        <f aca="false">IFERROR(INDEX(c_Name,MATCH($C524,c_ID,0)),"غير معرّف")</f>
        <v>هند القحطاني</v>
      </c>
      <c r="E524" s="83" t="str">
        <f aca="false">IFERROR(INDEX(c_Region,MATCH($C524,c_ID,0)),"غير معرّف")</f>
        <v>الشرقية</v>
      </c>
      <c r="F524" s="81" t="s">
        <v>166</v>
      </c>
      <c r="G524" s="83" t="str">
        <f aca="false">IFERROR(INDEX(p_Name,MATCH($F524,p_ID,0)),"غير معرّف")</f>
        <v>سماعات لاسلكية</v>
      </c>
      <c r="H524" s="83" t="str">
        <f aca="false">IFERROR(INDEX(p_Cat,MATCH($F524,p_ID,0)),"غير معرّف")</f>
        <v>إلكترونيات</v>
      </c>
      <c r="I524" s="81" t="s">
        <v>461</v>
      </c>
      <c r="J524" s="81" t="s">
        <v>93</v>
      </c>
      <c r="K524" s="81" t="n">
        <v>1</v>
      </c>
      <c r="L524" s="84" t="n">
        <f aca="false">IFERROR(INDEX(p_Price,MATCH($F524,p_ID,0)),0)</f>
        <v>450</v>
      </c>
      <c r="M524" s="85" t="n">
        <v>0</v>
      </c>
      <c r="N524" s="81" t="s">
        <v>644</v>
      </c>
      <c r="O524" s="84" t="n">
        <f aca="false">IF($N524="مرتجع",0,K524*L524*(1-M524))</f>
        <v>450</v>
      </c>
      <c r="P524" s="84" t="n">
        <f aca="false">IF($N524="مرتجع",0,K524*IFERROR(INDEX(p_Cost,MATCH($F524,p_ID,0)),0))</f>
        <v>260</v>
      </c>
      <c r="Q524" s="84" t="n">
        <f aca="false">O524-P524</f>
        <v>190</v>
      </c>
      <c r="R524" s="86" t="n">
        <f aca="false">DATE(YEAR(B524),MONTH(B524),1)</f>
        <v>46023</v>
      </c>
      <c r="S524" s="83" t="str">
        <f aca="false">YEAR(B524)&amp;"-Q"&amp;ROUNDUP(MONTH(B524)/3,0)</f>
        <v>2026-Q1</v>
      </c>
      <c r="T524" s="87" t="n">
        <f aca="false">IF(O524&gt;0,Q524/O524,"")</f>
        <v>0.422222222222222</v>
      </c>
      <c r="U524" s="84" t="n">
        <f aca="false">IF(O524&gt;0,O524,"")</f>
        <v>450</v>
      </c>
    </row>
    <row r="525" customFormat="false" ht="15" hidden="false" customHeight="false" outlineLevel="0" collapsed="false">
      <c r="A525" s="81" t="s">
        <v>1168</v>
      </c>
      <c r="B525" s="82" t="n">
        <v>46046</v>
      </c>
      <c r="C525" s="81" t="s">
        <v>294</v>
      </c>
      <c r="D525" s="83" t="str">
        <f aca="false">IFERROR(INDEX(c_Name,MATCH($C525,c_ID,0)),"غير معرّف")</f>
        <v>خالد البلوي</v>
      </c>
      <c r="E525" s="83" t="str">
        <f aca="false">IFERROR(INDEX(c_Region,MATCH($C525,c_ID,0)),"غير معرّف")</f>
        <v>الوسطى</v>
      </c>
      <c r="F525" s="81" t="s">
        <v>164</v>
      </c>
      <c r="G525" s="83" t="str">
        <f aca="false">IFERROR(INDEX(p_Name,MATCH($F525,p_ID,0)),"غير معرّف")</f>
        <v>هاتف ذكي</v>
      </c>
      <c r="H525" s="83" t="str">
        <f aca="false">IFERROR(INDEX(p_Cat,MATCH($F525,p_ID,0)),"غير معرّف")</f>
        <v>إلكترونيات</v>
      </c>
      <c r="I525" s="81" t="s">
        <v>449</v>
      </c>
      <c r="J525" s="81" t="s">
        <v>95</v>
      </c>
      <c r="K525" s="81" t="n">
        <v>3</v>
      </c>
      <c r="L525" s="84" t="n">
        <f aca="false">IFERROR(INDEX(p_Price,MATCH($F525,p_ID,0)),0)</f>
        <v>2400</v>
      </c>
      <c r="M525" s="85" t="n">
        <v>0.15</v>
      </c>
      <c r="N525" s="81" t="s">
        <v>644</v>
      </c>
      <c r="O525" s="84" t="n">
        <f aca="false">IF($N525="مرتجع",0,K525*L525*(1-M525))</f>
        <v>6120</v>
      </c>
      <c r="P525" s="84" t="n">
        <f aca="false">IF($N525="مرتجع",0,K525*IFERROR(INDEX(p_Cost,MATCH($F525,p_ID,0)),0))</f>
        <v>5250</v>
      </c>
      <c r="Q525" s="84" t="n">
        <f aca="false">O525-P525</f>
        <v>870</v>
      </c>
      <c r="R525" s="86" t="n">
        <f aca="false">DATE(YEAR(B525),MONTH(B525),1)</f>
        <v>46023</v>
      </c>
      <c r="S525" s="83" t="str">
        <f aca="false">YEAR(B525)&amp;"-Q"&amp;ROUNDUP(MONTH(B525)/3,0)</f>
        <v>2026-Q1</v>
      </c>
      <c r="T525" s="87" t="n">
        <f aca="false">IF(O525&gt;0,Q525/O525,"")</f>
        <v>0.142156862745098</v>
      </c>
      <c r="U525" s="84" t="n">
        <f aca="false">IF(O525&gt;0,O525,"")</f>
        <v>6120</v>
      </c>
    </row>
    <row r="526" customFormat="false" ht="15" hidden="false" customHeight="false" outlineLevel="0" collapsed="false">
      <c r="A526" s="81" t="s">
        <v>1169</v>
      </c>
      <c r="B526" s="82" t="n">
        <v>46046</v>
      </c>
      <c r="C526" s="81" t="s">
        <v>309</v>
      </c>
      <c r="D526" s="83" t="str">
        <f aca="false">IFERROR(INDEX(c_Name,MATCH($C526,c_ID,0)),"غير معرّف")</f>
        <v>ياسر العنزي</v>
      </c>
      <c r="E526" s="83" t="str">
        <f aca="false">IFERROR(INDEX(c_Region,MATCH($C526,c_ID,0)),"غير معرّف")</f>
        <v>الوسطى</v>
      </c>
      <c r="F526" s="81" t="s">
        <v>173</v>
      </c>
      <c r="G526" s="83" t="str">
        <f aca="false">IFERROR(INDEX(p_Name,MATCH($F526,p_ID,0)),"غير معرّف")</f>
        <v>كرسي مريح</v>
      </c>
      <c r="H526" s="83" t="str">
        <f aca="false">IFERROR(INDEX(p_Cat,MATCH($F526,p_ID,0)),"غير معرّف")</f>
        <v>أثاث</v>
      </c>
      <c r="I526" s="81" t="s">
        <v>446</v>
      </c>
      <c r="J526" s="81" t="s">
        <v>93</v>
      </c>
      <c r="K526" s="81" t="n">
        <v>1</v>
      </c>
      <c r="L526" s="84" t="n">
        <f aca="false">IFERROR(INDEX(p_Price,MATCH($F526,p_ID,0)),0)</f>
        <v>850</v>
      </c>
      <c r="M526" s="85" t="n">
        <v>0</v>
      </c>
      <c r="N526" s="81" t="s">
        <v>644</v>
      </c>
      <c r="O526" s="84" t="n">
        <f aca="false">IF($N526="مرتجع",0,K526*L526*(1-M526))</f>
        <v>850</v>
      </c>
      <c r="P526" s="84" t="n">
        <f aca="false">IF($N526="مرتجع",0,K526*IFERROR(INDEX(p_Cost,MATCH($F526,p_ID,0)),0))</f>
        <v>480</v>
      </c>
      <c r="Q526" s="84" t="n">
        <f aca="false">O526-P526</f>
        <v>370</v>
      </c>
      <c r="R526" s="86" t="n">
        <f aca="false">DATE(YEAR(B526),MONTH(B526),1)</f>
        <v>46023</v>
      </c>
      <c r="S526" s="83" t="str">
        <f aca="false">YEAR(B526)&amp;"-Q"&amp;ROUNDUP(MONTH(B526)/3,0)</f>
        <v>2026-Q1</v>
      </c>
      <c r="T526" s="87" t="n">
        <f aca="false">IF(O526&gt;0,Q526/O526,"")</f>
        <v>0.435294117647059</v>
      </c>
      <c r="U526" s="84" t="n">
        <f aca="false">IF(O526&gt;0,O526,"")</f>
        <v>850</v>
      </c>
    </row>
    <row r="527" customFormat="false" ht="15" hidden="false" customHeight="false" outlineLevel="0" collapsed="false">
      <c r="A527" s="81" t="s">
        <v>1170</v>
      </c>
      <c r="B527" s="82" t="n">
        <v>46046</v>
      </c>
      <c r="C527" s="81" t="s">
        <v>273</v>
      </c>
      <c r="D527" s="83" t="str">
        <f aca="false">IFERROR(INDEX(c_Name,MATCH($C527,c_ID,0)),"غير معرّف")</f>
        <v>سلمان التميمي</v>
      </c>
      <c r="E527" s="83" t="str">
        <f aca="false">IFERROR(INDEX(c_Region,MATCH($C527,c_ID,0)),"غير معرّف")</f>
        <v>الشرقية</v>
      </c>
      <c r="F527" s="81" t="s">
        <v>184</v>
      </c>
      <c r="G527" s="83" t="str">
        <f aca="false">IFERROR(INDEX(p_Name,MATCH($F527,p_ID,0)),"غير معرّف")</f>
        <v>عطر فاخر</v>
      </c>
      <c r="H527" s="83" t="str">
        <f aca="false">IFERROR(INDEX(p_Cat,MATCH($F527,p_ID,0)),"غير معرّف")</f>
        <v>عناية شخصية</v>
      </c>
      <c r="I527" s="81" t="s">
        <v>463</v>
      </c>
      <c r="J527" s="81" t="s">
        <v>93</v>
      </c>
      <c r="K527" s="81" t="n">
        <v>3</v>
      </c>
      <c r="L527" s="84" t="n">
        <f aca="false">IFERROR(INDEX(p_Price,MATCH($F527,p_ID,0)),0)</f>
        <v>520</v>
      </c>
      <c r="M527" s="85" t="n">
        <v>0</v>
      </c>
      <c r="N527" s="81" t="s">
        <v>644</v>
      </c>
      <c r="O527" s="84" t="n">
        <f aca="false">IF($N527="مرتجع",0,K527*L527*(1-M527))</f>
        <v>1560</v>
      </c>
      <c r="P527" s="84" t="n">
        <f aca="false">IF($N527="مرتجع",0,K527*IFERROR(INDEX(p_Cost,MATCH($F527,p_ID,0)),0))</f>
        <v>630</v>
      </c>
      <c r="Q527" s="84" t="n">
        <f aca="false">O527-P527</f>
        <v>930</v>
      </c>
      <c r="R527" s="86" t="n">
        <f aca="false">DATE(YEAR(B527),MONTH(B527),1)</f>
        <v>46023</v>
      </c>
      <c r="S527" s="83" t="str">
        <f aca="false">YEAR(B527)&amp;"-Q"&amp;ROUNDUP(MONTH(B527)/3,0)</f>
        <v>2026-Q1</v>
      </c>
      <c r="T527" s="87" t="n">
        <f aca="false">IF(O527&gt;0,Q527/O527,"")</f>
        <v>0.596153846153846</v>
      </c>
      <c r="U527" s="84" t="n">
        <f aca="false">IF(O527&gt;0,O527,"")</f>
        <v>1560</v>
      </c>
    </row>
    <row r="528" customFormat="false" ht="15" hidden="false" customHeight="false" outlineLevel="0" collapsed="false">
      <c r="A528" s="81" t="s">
        <v>1171</v>
      </c>
      <c r="B528" s="82" t="n">
        <v>46046</v>
      </c>
      <c r="C528" s="81" t="s">
        <v>264</v>
      </c>
      <c r="D528" s="83" t="str">
        <f aca="false">IFERROR(INDEX(c_Name,MATCH($C528,c_ID,0)),"غير معرّف")</f>
        <v>عبدالله التميمي</v>
      </c>
      <c r="E528" s="83" t="str">
        <f aca="false">IFERROR(INDEX(c_Region,MATCH($C528,c_ID,0)),"غير معرّف")</f>
        <v>الوسطى</v>
      </c>
      <c r="F528" s="81" t="s">
        <v>181</v>
      </c>
      <c r="G528" s="83" t="str">
        <f aca="false">IFERROR(INDEX(p_Name,MATCH($F528,p_ID,0)),"غير معرّف")</f>
        <v>دراجة ثابتة</v>
      </c>
      <c r="H528" s="83" t="str">
        <f aca="false">IFERROR(INDEX(p_Cat,MATCH($F528,p_ID,0)),"غير معرّف")</f>
        <v>رياضة</v>
      </c>
      <c r="I528" s="81" t="s">
        <v>446</v>
      </c>
      <c r="J528" s="81" t="s">
        <v>91</v>
      </c>
      <c r="K528" s="81" t="n">
        <v>1</v>
      </c>
      <c r="L528" s="84" t="n">
        <f aca="false">IFERROR(INDEX(p_Price,MATCH($F528,p_ID,0)),0)</f>
        <v>1800</v>
      </c>
      <c r="M528" s="85" t="n">
        <v>0.05</v>
      </c>
      <c r="N528" s="81" t="s">
        <v>644</v>
      </c>
      <c r="O528" s="84" t="n">
        <f aca="false">IF($N528="مرتجع",0,K528*L528*(1-M528))</f>
        <v>1710</v>
      </c>
      <c r="P528" s="84" t="n">
        <f aca="false">IF($N528="مرتجع",0,K528*IFERROR(INDEX(p_Cost,MATCH($F528,p_ID,0)),0))</f>
        <v>1200</v>
      </c>
      <c r="Q528" s="84" t="n">
        <f aca="false">O528-P528</f>
        <v>510</v>
      </c>
      <c r="R528" s="86" t="n">
        <f aca="false">DATE(YEAR(B528),MONTH(B528),1)</f>
        <v>46023</v>
      </c>
      <c r="S528" s="83" t="str">
        <f aca="false">YEAR(B528)&amp;"-Q"&amp;ROUNDUP(MONTH(B528)/3,0)</f>
        <v>2026-Q1</v>
      </c>
      <c r="T528" s="87" t="n">
        <f aca="false">IF(O528&gt;0,Q528/O528,"")</f>
        <v>0.298245614035088</v>
      </c>
      <c r="U528" s="84" t="n">
        <f aca="false">IF(O528&gt;0,O528,"")</f>
        <v>1710</v>
      </c>
    </row>
    <row r="529" customFormat="false" ht="15" hidden="false" customHeight="false" outlineLevel="0" collapsed="false">
      <c r="A529" s="81" t="s">
        <v>1172</v>
      </c>
      <c r="B529" s="82" t="n">
        <v>46047</v>
      </c>
      <c r="C529" s="81" t="s">
        <v>421</v>
      </c>
      <c r="D529" s="83" t="str">
        <f aca="false">IFERROR(INDEX(c_Name,MATCH($C529,c_ID,0)),"غير معرّف")</f>
        <v>نورة الخالدي</v>
      </c>
      <c r="E529" s="83" t="str">
        <f aca="false">IFERROR(INDEX(c_Region,MATCH($C529,c_ID,0)),"غير معرّف")</f>
        <v>الجنوبية</v>
      </c>
      <c r="F529" s="81" t="s">
        <v>185</v>
      </c>
      <c r="G529" s="83" t="str">
        <f aca="false">IFERROR(INDEX(p_Name,MATCH($F529,p_ID,0)),"غير معرّف")</f>
        <v>ماكينة حلاقة</v>
      </c>
      <c r="H529" s="83" t="str">
        <f aca="false">IFERROR(INDEX(p_Cat,MATCH($F529,p_ID,0)),"غير معرّف")</f>
        <v>عناية شخصية</v>
      </c>
      <c r="I529" s="81" t="s">
        <v>467</v>
      </c>
      <c r="J529" s="81" t="s">
        <v>91</v>
      </c>
      <c r="K529" s="81" t="n">
        <v>2</v>
      </c>
      <c r="L529" s="84" t="n">
        <f aca="false">IFERROR(INDEX(p_Price,MATCH($F529,p_ID,0)),0)</f>
        <v>340</v>
      </c>
      <c r="M529" s="85" t="n">
        <v>0.05</v>
      </c>
      <c r="N529" s="81" t="s">
        <v>644</v>
      </c>
      <c r="O529" s="84" t="n">
        <f aca="false">IF($N529="مرتجع",0,K529*L529*(1-M529))</f>
        <v>646</v>
      </c>
      <c r="P529" s="84" t="n">
        <f aca="false">IF($N529="مرتجع",0,K529*IFERROR(INDEX(p_Cost,MATCH($F529,p_ID,0)),0))</f>
        <v>340</v>
      </c>
      <c r="Q529" s="84" t="n">
        <f aca="false">O529-P529</f>
        <v>306</v>
      </c>
      <c r="R529" s="86" t="n">
        <f aca="false">DATE(YEAR(B529),MONTH(B529),1)</f>
        <v>46023</v>
      </c>
      <c r="S529" s="83" t="str">
        <f aca="false">YEAR(B529)&amp;"-Q"&amp;ROUNDUP(MONTH(B529)/3,0)</f>
        <v>2026-Q1</v>
      </c>
      <c r="T529" s="87" t="n">
        <f aca="false">IF(O529&gt;0,Q529/O529,"")</f>
        <v>0.473684210526316</v>
      </c>
      <c r="U529" s="84" t="n">
        <f aca="false">IF(O529&gt;0,O529,"")</f>
        <v>646</v>
      </c>
    </row>
    <row r="530" customFormat="false" ht="15" hidden="false" customHeight="false" outlineLevel="0" collapsed="false">
      <c r="A530" s="81" t="s">
        <v>1173</v>
      </c>
      <c r="B530" s="82" t="n">
        <v>46047</v>
      </c>
      <c r="C530" s="81" t="s">
        <v>291</v>
      </c>
      <c r="D530" s="83" t="str">
        <f aca="false">IFERROR(INDEX(c_Name,MATCH($C530,c_ID,0)),"غير معرّف")</f>
        <v>ياسر الشمري</v>
      </c>
      <c r="E530" s="83" t="str">
        <f aca="false">IFERROR(INDEX(c_Region,MATCH($C530,c_ID,0)),"غير معرّف")</f>
        <v>الوسطى</v>
      </c>
      <c r="F530" s="81" t="s">
        <v>172</v>
      </c>
      <c r="G530" s="83" t="str">
        <f aca="false">IFERROR(INDEX(p_Name,MATCH($F530,p_ID,0)),"غير معرّف")</f>
        <v>مكتب عمل</v>
      </c>
      <c r="H530" s="83" t="str">
        <f aca="false">IFERROR(INDEX(p_Cat,MATCH($F530,p_ID,0)),"غير معرّف")</f>
        <v>أثاث</v>
      </c>
      <c r="I530" s="81" t="s">
        <v>449</v>
      </c>
      <c r="J530" s="81" t="s">
        <v>93</v>
      </c>
      <c r="K530" s="81" t="n">
        <v>2</v>
      </c>
      <c r="L530" s="84" t="n">
        <f aca="false">IFERROR(INDEX(p_Price,MATCH($F530,p_ID,0)),0)</f>
        <v>1200</v>
      </c>
      <c r="M530" s="85" t="n">
        <v>0.1</v>
      </c>
      <c r="N530" s="81" t="s">
        <v>650</v>
      </c>
      <c r="O530" s="84" t="n">
        <f aca="false">IF($N530="مرتجع",0,K530*L530*(1-M530))</f>
        <v>0</v>
      </c>
      <c r="P530" s="84" t="n">
        <f aca="false">IF($N530="مرتجع",0,K530*IFERROR(INDEX(p_Cost,MATCH($F530,p_ID,0)),0))</f>
        <v>0</v>
      </c>
      <c r="Q530" s="84" t="n">
        <f aca="false">O530-P530</f>
        <v>0</v>
      </c>
      <c r="R530" s="86" t="n">
        <f aca="false">DATE(YEAR(B530),MONTH(B530),1)</f>
        <v>46023</v>
      </c>
      <c r="S530" s="83" t="str">
        <f aca="false">YEAR(B530)&amp;"-Q"&amp;ROUNDUP(MONTH(B530)/3,0)</f>
        <v>2026-Q1</v>
      </c>
      <c r="T530" s="87" t="str">
        <f aca="false">IF(O530&gt;0,Q530/O530,"")</f>
        <v/>
      </c>
      <c r="U530" s="84" t="str">
        <f aca="false">IF(O530&gt;0,O530,"")</f>
        <v/>
      </c>
    </row>
    <row r="531" customFormat="false" ht="15" hidden="false" customHeight="false" outlineLevel="0" collapsed="false">
      <c r="A531" s="81" t="s">
        <v>1174</v>
      </c>
      <c r="B531" s="82" t="n">
        <v>46047</v>
      </c>
      <c r="C531" s="81" t="s">
        <v>347</v>
      </c>
      <c r="D531" s="83" t="str">
        <f aca="false">IFERROR(INDEX(c_Name,MATCH($C531,c_ID,0)),"غير معرّف")</f>
        <v>محمد الشمري</v>
      </c>
      <c r="E531" s="83" t="str">
        <f aca="false">IFERROR(INDEX(c_Region,MATCH($C531,c_ID,0)),"غير معرّف")</f>
        <v>الغربية</v>
      </c>
      <c r="F531" s="81" t="s">
        <v>186</v>
      </c>
      <c r="G531" s="83" t="str">
        <f aca="false">IFERROR(INDEX(p_Name,MATCH($F531,p_ID,0)),"غير معرّف")</f>
        <v>مجفف شعر</v>
      </c>
      <c r="H531" s="83" t="str">
        <f aca="false">IFERROR(INDEX(p_Cat,MATCH($F531,p_ID,0)),"غير معرّف")</f>
        <v>عناية شخصية</v>
      </c>
      <c r="I531" s="81" t="s">
        <v>458</v>
      </c>
      <c r="J531" s="81" t="s">
        <v>91</v>
      </c>
      <c r="K531" s="81" t="n">
        <v>1</v>
      </c>
      <c r="L531" s="84" t="n">
        <f aca="false">IFERROR(INDEX(p_Price,MATCH($F531,p_ID,0)),0)</f>
        <v>280</v>
      </c>
      <c r="M531" s="85" t="n">
        <v>0.05</v>
      </c>
      <c r="N531" s="81" t="s">
        <v>644</v>
      </c>
      <c r="O531" s="84" t="n">
        <f aca="false">IF($N531="مرتجع",0,K531*L531*(1-M531))</f>
        <v>266</v>
      </c>
      <c r="P531" s="84" t="n">
        <f aca="false">IF($N531="مرتجع",0,K531*IFERROR(INDEX(p_Cost,MATCH($F531,p_ID,0)),0))</f>
        <v>140</v>
      </c>
      <c r="Q531" s="84" t="n">
        <f aca="false">O531-P531</f>
        <v>126</v>
      </c>
      <c r="R531" s="86" t="n">
        <f aca="false">DATE(YEAR(B531),MONTH(B531),1)</f>
        <v>46023</v>
      </c>
      <c r="S531" s="83" t="str">
        <f aca="false">YEAR(B531)&amp;"-Q"&amp;ROUNDUP(MONTH(B531)/3,0)</f>
        <v>2026-Q1</v>
      </c>
      <c r="T531" s="87" t="n">
        <f aca="false">IF(O531&gt;0,Q531/O531,"")</f>
        <v>0.473684210526316</v>
      </c>
      <c r="U531" s="84" t="n">
        <f aca="false">IF(O531&gt;0,O531,"")</f>
        <v>266</v>
      </c>
    </row>
    <row r="532" customFormat="false" ht="15" hidden="false" customHeight="false" outlineLevel="0" collapsed="false">
      <c r="A532" s="81" t="s">
        <v>1175</v>
      </c>
      <c r="B532" s="82" t="n">
        <v>46048</v>
      </c>
      <c r="C532" s="81" t="s">
        <v>294</v>
      </c>
      <c r="D532" s="83" t="str">
        <f aca="false">IFERROR(INDEX(c_Name,MATCH($C532,c_ID,0)),"غير معرّف")</f>
        <v>خالد البلوي</v>
      </c>
      <c r="E532" s="83" t="str">
        <f aca="false">IFERROR(INDEX(c_Region,MATCH($C532,c_ID,0)),"غير معرّف")</f>
        <v>الوسطى</v>
      </c>
      <c r="F532" s="81" t="s">
        <v>176</v>
      </c>
      <c r="G532" s="83" t="str">
        <f aca="false">IFERROR(INDEX(p_Name,MATCH($F532,p_ID,0)),"غير معرّف")</f>
        <v>طابعة ليزر</v>
      </c>
      <c r="H532" s="83" t="str">
        <f aca="false">IFERROR(INDEX(p_Cat,MATCH($F532,p_ID,0)),"غير معرّف")</f>
        <v>مستلزمات مكتبية</v>
      </c>
      <c r="I532" s="81" t="s">
        <v>443</v>
      </c>
      <c r="J532" s="81" t="s">
        <v>93</v>
      </c>
      <c r="K532" s="81" t="n">
        <v>11</v>
      </c>
      <c r="L532" s="84" t="n">
        <f aca="false">IFERROR(INDEX(p_Price,MATCH($F532,p_ID,0)),0)</f>
        <v>1300</v>
      </c>
      <c r="M532" s="85" t="n">
        <v>0</v>
      </c>
      <c r="N532" s="81" t="s">
        <v>644</v>
      </c>
      <c r="O532" s="84" t="n">
        <f aca="false">IF($N532="مرتجع",0,K532*L532*(1-M532))</f>
        <v>14300</v>
      </c>
      <c r="P532" s="84" t="n">
        <f aca="false">IF($N532="مرتجع",0,K532*IFERROR(INDEX(p_Cost,MATCH($F532,p_ID,0)),0))</f>
        <v>10450</v>
      </c>
      <c r="Q532" s="84" t="n">
        <f aca="false">O532-P532</f>
        <v>3850</v>
      </c>
      <c r="R532" s="86" t="n">
        <f aca="false">DATE(YEAR(B532),MONTH(B532),1)</f>
        <v>46023</v>
      </c>
      <c r="S532" s="83" t="str">
        <f aca="false">YEAR(B532)&amp;"-Q"&amp;ROUNDUP(MONTH(B532)/3,0)</f>
        <v>2026-Q1</v>
      </c>
      <c r="T532" s="87" t="n">
        <f aca="false">IF(O532&gt;0,Q532/O532,"")</f>
        <v>0.269230769230769</v>
      </c>
      <c r="U532" s="84" t="n">
        <f aca="false">IF(O532&gt;0,O532,"")</f>
        <v>14300</v>
      </c>
    </row>
    <row r="533" customFormat="false" ht="15" hidden="false" customHeight="false" outlineLevel="0" collapsed="false">
      <c r="A533" s="81" t="s">
        <v>1176</v>
      </c>
      <c r="B533" s="82" t="n">
        <v>46048</v>
      </c>
      <c r="C533" s="81" t="s">
        <v>418</v>
      </c>
      <c r="D533" s="83" t="str">
        <f aca="false">IFERROR(INDEX(c_Name,MATCH($C533,c_ID,0)),"غير معرّف")</f>
        <v>ياسر الزهراني</v>
      </c>
      <c r="E533" s="83" t="str">
        <f aca="false">IFERROR(INDEX(c_Region,MATCH($C533,c_ID,0)),"غير معرّف")</f>
        <v>الشرقية</v>
      </c>
      <c r="F533" s="81" t="s">
        <v>178</v>
      </c>
      <c r="G533" s="83" t="str">
        <f aca="false">IFERROR(INDEX(p_Name,MATCH($F533,p_ID,0)),"غير معرّف")</f>
        <v>حقيبة لابتوب</v>
      </c>
      <c r="H533" s="83" t="str">
        <f aca="false">IFERROR(INDEX(p_Cat,MATCH($F533,p_ID,0)),"غير معرّف")</f>
        <v>مستلزمات مكتبية</v>
      </c>
      <c r="I533" s="81" t="s">
        <v>463</v>
      </c>
      <c r="J533" s="81" t="s">
        <v>95</v>
      </c>
      <c r="K533" s="81" t="n">
        <v>5</v>
      </c>
      <c r="L533" s="84" t="n">
        <f aca="false">IFERROR(INDEX(p_Price,MATCH($F533,p_ID,0)),0)</f>
        <v>260</v>
      </c>
      <c r="M533" s="85" t="n">
        <v>0.2</v>
      </c>
      <c r="N533" s="81" t="s">
        <v>650</v>
      </c>
      <c r="O533" s="84" t="n">
        <f aca="false">IF($N533="مرتجع",0,K533*L533*(1-M533))</f>
        <v>0</v>
      </c>
      <c r="P533" s="84" t="n">
        <f aca="false">IF($N533="مرتجع",0,K533*IFERROR(INDEX(p_Cost,MATCH($F533,p_ID,0)),0))</f>
        <v>0</v>
      </c>
      <c r="Q533" s="84" t="n">
        <f aca="false">O533-P533</f>
        <v>0</v>
      </c>
      <c r="R533" s="86" t="n">
        <f aca="false">DATE(YEAR(B533),MONTH(B533),1)</f>
        <v>46023</v>
      </c>
      <c r="S533" s="83" t="str">
        <f aca="false">YEAR(B533)&amp;"-Q"&amp;ROUNDUP(MONTH(B533)/3,0)</f>
        <v>2026-Q1</v>
      </c>
      <c r="T533" s="87" t="str">
        <f aca="false">IF(O533&gt;0,Q533/O533,"")</f>
        <v/>
      </c>
      <c r="U533" s="84" t="str">
        <f aca="false">IF(O533&gt;0,O533,"")</f>
        <v/>
      </c>
    </row>
    <row r="534" customFormat="false" ht="15" hidden="false" customHeight="false" outlineLevel="0" collapsed="false">
      <c r="A534" s="81" t="s">
        <v>1177</v>
      </c>
      <c r="B534" s="82" t="n">
        <v>46048</v>
      </c>
      <c r="C534" s="81" t="s">
        <v>265</v>
      </c>
      <c r="D534" s="83" t="str">
        <f aca="false">IFERROR(INDEX(c_Name,MATCH($C534,c_ID,0)),"غير معرّف")</f>
        <v>منى العنزي</v>
      </c>
      <c r="E534" s="83" t="str">
        <f aca="false">IFERROR(INDEX(c_Region,MATCH($C534,c_ID,0)),"غير معرّف")</f>
        <v>الشرقية</v>
      </c>
      <c r="F534" s="81" t="s">
        <v>174</v>
      </c>
      <c r="G534" s="83" t="str">
        <f aca="false">IFERROR(INDEX(p_Name,MATCH($F534,p_ID,0)),"غير معرّف")</f>
        <v>خزانة ملفات</v>
      </c>
      <c r="H534" s="83" t="str">
        <f aca="false">IFERROR(INDEX(p_Cat,MATCH($F534,p_ID,0)),"غير معرّف")</f>
        <v>أثاث</v>
      </c>
      <c r="I534" s="81" t="s">
        <v>461</v>
      </c>
      <c r="J534" s="81" t="s">
        <v>91</v>
      </c>
      <c r="K534" s="81" t="n">
        <v>8</v>
      </c>
      <c r="L534" s="84" t="n">
        <f aca="false">IFERROR(INDEX(p_Price,MATCH($F534,p_ID,0)),0)</f>
        <v>700</v>
      </c>
      <c r="M534" s="85" t="n">
        <v>0.05</v>
      </c>
      <c r="N534" s="81" t="s">
        <v>644</v>
      </c>
      <c r="O534" s="84" t="n">
        <f aca="false">IF($N534="مرتجع",0,K534*L534*(1-M534))</f>
        <v>5320</v>
      </c>
      <c r="P534" s="84" t="n">
        <f aca="false">IF($N534="مرتجع",0,K534*IFERROR(INDEX(p_Cost,MATCH($F534,p_ID,0)),0))</f>
        <v>3280</v>
      </c>
      <c r="Q534" s="84" t="n">
        <f aca="false">O534-P534</f>
        <v>2040</v>
      </c>
      <c r="R534" s="86" t="n">
        <f aca="false">DATE(YEAR(B534),MONTH(B534),1)</f>
        <v>46023</v>
      </c>
      <c r="S534" s="83" t="str">
        <f aca="false">YEAR(B534)&amp;"-Q"&amp;ROUNDUP(MONTH(B534)/3,0)</f>
        <v>2026-Q1</v>
      </c>
      <c r="T534" s="87" t="n">
        <f aca="false">IF(O534&gt;0,Q534/O534,"")</f>
        <v>0.383458646616541</v>
      </c>
      <c r="U534" s="84" t="n">
        <f aca="false">IF(O534&gt;0,O534,"")</f>
        <v>5320</v>
      </c>
    </row>
    <row r="535" customFormat="false" ht="15" hidden="false" customHeight="false" outlineLevel="0" collapsed="false">
      <c r="A535" s="81" t="s">
        <v>1178</v>
      </c>
      <c r="B535" s="82" t="n">
        <v>46048</v>
      </c>
      <c r="C535" s="81" t="s">
        <v>423</v>
      </c>
      <c r="D535" s="83" t="str">
        <f aca="false">IFERROR(INDEX(c_Name,MATCH($C535,c_ID,0)),"غير معرّف")</f>
        <v>ناصر المطيري</v>
      </c>
      <c r="E535" s="83" t="str">
        <f aca="false">IFERROR(INDEX(c_Region,MATCH($C535,c_ID,0)),"غير معرّف")</f>
        <v>الغربية</v>
      </c>
      <c r="F535" s="81" t="s">
        <v>179</v>
      </c>
      <c r="G535" s="83" t="str">
        <f aca="false">IFERROR(INDEX(p_Name,MATCH($F535,p_ID,0)),"غير معرّف")</f>
        <v>طقم أدوات مكتبية</v>
      </c>
      <c r="H535" s="83" t="str">
        <f aca="false">IFERROR(INDEX(p_Cat,MATCH($F535,p_ID,0)),"غير معرّف")</f>
        <v>مستلزمات مكتبية</v>
      </c>
      <c r="I535" s="81" t="s">
        <v>458</v>
      </c>
      <c r="J535" s="81" t="s">
        <v>91</v>
      </c>
      <c r="K535" s="81" t="n">
        <v>2</v>
      </c>
      <c r="L535" s="84" t="n">
        <f aca="false">IFERROR(INDEX(p_Price,MATCH($F535,p_ID,0)),0)</f>
        <v>90</v>
      </c>
      <c r="M535" s="85" t="n">
        <v>0</v>
      </c>
      <c r="N535" s="81" t="s">
        <v>644</v>
      </c>
      <c r="O535" s="84" t="n">
        <f aca="false">IF($N535="مرتجع",0,K535*L535*(1-M535))</f>
        <v>180</v>
      </c>
      <c r="P535" s="84" t="n">
        <f aca="false">IF($N535="مرتجع",0,K535*IFERROR(INDEX(p_Cost,MATCH($F535,p_ID,0)),0))</f>
        <v>90</v>
      </c>
      <c r="Q535" s="84" t="n">
        <f aca="false">O535-P535</f>
        <v>90</v>
      </c>
      <c r="R535" s="86" t="n">
        <f aca="false">DATE(YEAR(B535),MONTH(B535),1)</f>
        <v>46023</v>
      </c>
      <c r="S535" s="83" t="str">
        <f aca="false">YEAR(B535)&amp;"-Q"&amp;ROUNDUP(MONTH(B535)/3,0)</f>
        <v>2026-Q1</v>
      </c>
      <c r="T535" s="87" t="n">
        <f aca="false">IF(O535&gt;0,Q535/O535,"")</f>
        <v>0.5</v>
      </c>
      <c r="U535" s="84" t="n">
        <f aca="false">IF(O535&gt;0,O535,"")</f>
        <v>180</v>
      </c>
    </row>
    <row r="536" customFormat="false" ht="15" hidden="false" customHeight="false" outlineLevel="0" collapsed="false">
      <c r="A536" s="81" t="s">
        <v>1179</v>
      </c>
      <c r="B536" s="82" t="n">
        <v>46049</v>
      </c>
      <c r="C536" s="81" t="s">
        <v>273</v>
      </c>
      <c r="D536" s="83" t="str">
        <f aca="false">IFERROR(INDEX(c_Name,MATCH($C536,c_ID,0)),"غير معرّف")</f>
        <v>سلمان التميمي</v>
      </c>
      <c r="E536" s="83" t="str">
        <f aca="false">IFERROR(INDEX(c_Region,MATCH($C536,c_ID,0)),"غير معرّف")</f>
        <v>الشرقية</v>
      </c>
      <c r="F536" s="81" t="s">
        <v>186</v>
      </c>
      <c r="G536" s="83" t="str">
        <f aca="false">IFERROR(INDEX(p_Name,MATCH($F536,p_ID,0)),"غير معرّف")</f>
        <v>مجفف شعر</v>
      </c>
      <c r="H536" s="83" t="str">
        <f aca="false">IFERROR(INDEX(p_Cat,MATCH($F536,p_ID,0)),"غير معرّف")</f>
        <v>عناية شخصية</v>
      </c>
      <c r="I536" s="81" t="s">
        <v>461</v>
      </c>
      <c r="J536" s="81" t="s">
        <v>91</v>
      </c>
      <c r="K536" s="81" t="n">
        <v>2</v>
      </c>
      <c r="L536" s="84" t="n">
        <f aca="false">IFERROR(INDEX(p_Price,MATCH($F536,p_ID,0)),0)</f>
        <v>280</v>
      </c>
      <c r="M536" s="85" t="n">
        <v>0.05</v>
      </c>
      <c r="N536" s="81" t="s">
        <v>644</v>
      </c>
      <c r="O536" s="84" t="n">
        <f aca="false">IF($N536="مرتجع",0,K536*L536*(1-M536))</f>
        <v>532</v>
      </c>
      <c r="P536" s="84" t="n">
        <f aca="false">IF($N536="مرتجع",0,K536*IFERROR(INDEX(p_Cost,MATCH($F536,p_ID,0)),0))</f>
        <v>280</v>
      </c>
      <c r="Q536" s="84" t="n">
        <f aca="false">O536-P536</f>
        <v>252</v>
      </c>
      <c r="R536" s="86" t="n">
        <f aca="false">DATE(YEAR(B536),MONTH(B536),1)</f>
        <v>46023</v>
      </c>
      <c r="S536" s="83" t="str">
        <f aca="false">YEAR(B536)&amp;"-Q"&amp;ROUNDUP(MONTH(B536)/3,0)</f>
        <v>2026-Q1</v>
      </c>
      <c r="T536" s="87" t="n">
        <f aca="false">IF(O536&gt;0,Q536/O536,"")</f>
        <v>0.473684210526316</v>
      </c>
      <c r="U536" s="84" t="n">
        <f aca="false">IF(O536&gt;0,O536,"")</f>
        <v>532</v>
      </c>
    </row>
    <row r="537" customFormat="false" ht="15" hidden="false" customHeight="false" outlineLevel="0" collapsed="false">
      <c r="A537" s="81" t="s">
        <v>1180</v>
      </c>
      <c r="B537" s="82" t="n">
        <v>46049</v>
      </c>
      <c r="C537" s="81" t="s">
        <v>334</v>
      </c>
      <c r="D537" s="83" t="str">
        <f aca="false">IFERROR(INDEX(c_Name,MATCH($C537,c_ID,0)),"غير معرّف")</f>
        <v>ناصر الغامدي</v>
      </c>
      <c r="E537" s="83" t="str">
        <f aca="false">IFERROR(INDEX(c_Region,MATCH($C537,c_ID,0)),"غير معرّف")</f>
        <v>الغربية</v>
      </c>
      <c r="F537" s="81" t="s">
        <v>179</v>
      </c>
      <c r="G537" s="83" t="str">
        <f aca="false">IFERROR(INDEX(p_Name,MATCH($F537,p_ID,0)),"غير معرّف")</f>
        <v>طقم أدوات مكتبية</v>
      </c>
      <c r="H537" s="83" t="str">
        <f aca="false">IFERROR(INDEX(p_Cat,MATCH($F537,p_ID,0)),"غير معرّف")</f>
        <v>مستلزمات مكتبية</v>
      </c>
      <c r="I537" s="81" t="s">
        <v>455</v>
      </c>
      <c r="J537" s="81" t="s">
        <v>93</v>
      </c>
      <c r="K537" s="81" t="n">
        <v>1</v>
      </c>
      <c r="L537" s="84" t="n">
        <f aca="false">IFERROR(INDEX(p_Price,MATCH($F537,p_ID,0)),0)</f>
        <v>90</v>
      </c>
      <c r="M537" s="85" t="n">
        <v>0.05</v>
      </c>
      <c r="N537" s="81" t="s">
        <v>644</v>
      </c>
      <c r="O537" s="84" t="n">
        <f aca="false">IF($N537="مرتجع",0,K537*L537*(1-M537))</f>
        <v>85.5</v>
      </c>
      <c r="P537" s="84" t="n">
        <f aca="false">IF($N537="مرتجع",0,K537*IFERROR(INDEX(p_Cost,MATCH($F537,p_ID,0)),0))</f>
        <v>45</v>
      </c>
      <c r="Q537" s="84" t="n">
        <f aca="false">O537-P537</f>
        <v>40.5</v>
      </c>
      <c r="R537" s="86" t="n">
        <f aca="false">DATE(YEAR(B537),MONTH(B537),1)</f>
        <v>46023</v>
      </c>
      <c r="S537" s="83" t="str">
        <f aca="false">YEAR(B537)&amp;"-Q"&amp;ROUNDUP(MONTH(B537)/3,0)</f>
        <v>2026-Q1</v>
      </c>
      <c r="T537" s="87" t="n">
        <f aca="false">IF(O537&gt;0,Q537/O537,"")</f>
        <v>0.473684210526316</v>
      </c>
      <c r="U537" s="84" t="n">
        <f aca="false">IF(O537&gt;0,O537,"")</f>
        <v>85.5</v>
      </c>
    </row>
    <row r="538" customFormat="false" ht="15" hidden="false" customHeight="false" outlineLevel="0" collapsed="false">
      <c r="A538" s="81" t="s">
        <v>1181</v>
      </c>
      <c r="B538" s="82" t="n">
        <v>46049</v>
      </c>
      <c r="C538" s="81" t="s">
        <v>385</v>
      </c>
      <c r="D538" s="83" t="str">
        <f aca="false">IFERROR(INDEX(c_Name,MATCH($C538,c_ID,0)),"غير معرّف")</f>
        <v>سارة الشهري</v>
      </c>
      <c r="E538" s="83" t="str">
        <f aca="false">IFERROR(INDEX(c_Region,MATCH($C538,c_ID,0)),"غير معرّف")</f>
        <v>الشرقية</v>
      </c>
      <c r="F538" s="81" t="s">
        <v>178</v>
      </c>
      <c r="G538" s="83" t="str">
        <f aca="false">IFERROR(INDEX(p_Name,MATCH($F538,p_ID,0)),"غير معرّف")</f>
        <v>حقيبة لابتوب</v>
      </c>
      <c r="H538" s="83" t="str">
        <f aca="false">IFERROR(INDEX(p_Cat,MATCH($F538,p_ID,0)),"غير معرّف")</f>
        <v>مستلزمات مكتبية</v>
      </c>
      <c r="I538" s="81" t="s">
        <v>463</v>
      </c>
      <c r="J538" s="81" t="s">
        <v>91</v>
      </c>
      <c r="K538" s="81" t="n">
        <v>1</v>
      </c>
      <c r="L538" s="84" t="n">
        <f aca="false">IFERROR(INDEX(p_Price,MATCH($F538,p_ID,0)),0)</f>
        <v>260</v>
      </c>
      <c r="M538" s="85" t="n">
        <v>0.1</v>
      </c>
      <c r="N538" s="81" t="s">
        <v>644</v>
      </c>
      <c r="O538" s="84" t="n">
        <f aca="false">IF($N538="مرتجع",0,K538*L538*(1-M538))</f>
        <v>234</v>
      </c>
      <c r="P538" s="84" t="n">
        <f aca="false">IF($N538="مرتجع",0,K538*IFERROR(INDEX(p_Cost,MATCH($F538,p_ID,0)),0))</f>
        <v>120</v>
      </c>
      <c r="Q538" s="84" t="n">
        <f aca="false">O538-P538</f>
        <v>114</v>
      </c>
      <c r="R538" s="86" t="n">
        <f aca="false">DATE(YEAR(B538),MONTH(B538),1)</f>
        <v>46023</v>
      </c>
      <c r="S538" s="83" t="str">
        <f aca="false">YEAR(B538)&amp;"-Q"&amp;ROUNDUP(MONTH(B538)/3,0)</f>
        <v>2026-Q1</v>
      </c>
      <c r="T538" s="87" t="n">
        <f aca="false">IF(O538&gt;0,Q538/O538,"")</f>
        <v>0.487179487179487</v>
      </c>
      <c r="U538" s="84" t="n">
        <f aca="false">IF(O538&gt;0,O538,"")</f>
        <v>234</v>
      </c>
    </row>
    <row r="539" customFormat="false" ht="15" hidden="false" customHeight="false" outlineLevel="0" collapsed="false">
      <c r="A539" s="81" t="s">
        <v>1182</v>
      </c>
      <c r="B539" s="82" t="n">
        <v>46049</v>
      </c>
      <c r="C539" s="81" t="s">
        <v>356</v>
      </c>
      <c r="D539" s="83" t="str">
        <f aca="false">IFERROR(INDEX(c_Name,MATCH($C539,c_ID,0)),"غير معرّف")</f>
        <v>هند البلوي</v>
      </c>
      <c r="E539" s="83" t="str">
        <f aca="false">IFERROR(INDEX(c_Region,MATCH($C539,c_ID,0)),"غير معرّف")</f>
        <v>الغربية</v>
      </c>
      <c r="F539" s="81" t="s">
        <v>185</v>
      </c>
      <c r="G539" s="83" t="str">
        <f aca="false">IFERROR(INDEX(p_Name,MATCH($F539,p_ID,0)),"غير معرّف")</f>
        <v>ماكينة حلاقة</v>
      </c>
      <c r="H539" s="83" t="str">
        <f aca="false">IFERROR(INDEX(p_Cat,MATCH($F539,p_ID,0)),"غير معرّف")</f>
        <v>عناية شخصية</v>
      </c>
      <c r="I539" s="81" t="s">
        <v>458</v>
      </c>
      <c r="J539" s="81" t="s">
        <v>93</v>
      </c>
      <c r="K539" s="81" t="n">
        <v>1</v>
      </c>
      <c r="L539" s="84" t="n">
        <f aca="false">IFERROR(INDEX(p_Price,MATCH($F539,p_ID,0)),0)</f>
        <v>340</v>
      </c>
      <c r="M539" s="85" t="n">
        <v>0.05</v>
      </c>
      <c r="N539" s="81" t="s">
        <v>650</v>
      </c>
      <c r="O539" s="84" t="n">
        <f aca="false">IF($N539="مرتجع",0,K539*L539*(1-M539))</f>
        <v>0</v>
      </c>
      <c r="P539" s="84" t="n">
        <f aca="false">IF($N539="مرتجع",0,K539*IFERROR(INDEX(p_Cost,MATCH($F539,p_ID,0)),0))</f>
        <v>0</v>
      </c>
      <c r="Q539" s="84" t="n">
        <f aca="false">O539-P539</f>
        <v>0</v>
      </c>
      <c r="R539" s="86" t="n">
        <f aca="false">DATE(YEAR(B539),MONTH(B539),1)</f>
        <v>46023</v>
      </c>
      <c r="S539" s="83" t="str">
        <f aca="false">YEAR(B539)&amp;"-Q"&amp;ROUNDUP(MONTH(B539)/3,0)</f>
        <v>2026-Q1</v>
      </c>
      <c r="T539" s="87" t="str">
        <f aca="false">IF(O539&gt;0,Q539/O539,"")</f>
        <v/>
      </c>
      <c r="U539" s="84" t="str">
        <f aca="false">IF(O539&gt;0,O539,"")</f>
        <v/>
      </c>
    </row>
    <row r="540" customFormat="false" ht="15" hidden="false" customHeight="false" outlineLevel="0" collapsed="false">
      <c r="A540" s="81" t="s">
        <v>1183</v>
      </c>
      <c r="B540" s="82" t="n">
        <v>46050</v>
      </c>
      <c r="C540" s="81" t="s">
        <v>340</v>
      </c>
      <c r="D540" s="83" t="str">
        <f aca="false">IFERROR(INDEX(c_Name,MATCH($C540,c_ID,0)),"غير معرّف")</f>
        <v>سعد الشهري</v>
      </c>
      <c r="E540" s="83" t="str">
        <f aca="false">IFERROR(INDEX(c_Region,MATCH($C540,c_ID,0)),"غير معرّف")</f>
        <v>الوسطى</v>
      </c>
      <c r="F540" s="81" t="s">
        <v>187</v>
      </c>
      <c r="G540" s="83" t="str">
        <f aca="false">IFERROR(INDEX(p_Name,MATCH($F540,p_ID,0)),"غير معرّف")</f>
        <v>جهاز تدليك</v>
      </c>
      <c r="H540" s="83" t="str">
        <f aca="false">IFERROR(INDEX(p_Cat,MATCH($F540,p_ID,0)),"غير معرّف")</f>
        <v>عناية شخصية</v>
      </c>
      <c r="I540" s="81" t="s">
        <v>446</v>
      </c>
      <c r="J540" s="81" t="s">
        <v>91</v>
      </c>
      <c r="K540" s="81" t="n">
        <v>1</v>
      </c>
      <c r="L540" s="84" t="n">
        <f aca="false">IFERROR(INDEX(p_Price,MATCH($F540,p_ID,0)),0)</f>
        <v>600</v>
      </c>
      <c r="M540" s="85" t="n">
        <v>0</v>
      </c>
      <c r="N540" s="81" t="s">
        <v>644</v>
      </c>
      <c r="O540" s="84" t="n">
        <f aca="false">IF($N540="مرتجع",0,K540*L540*(1-M540))</f>
        <v>600</v>
      </c>
      <c r="P540" s="84" t="n">
        <f aca="false">IF($N540="مرتجع",0,K540*IFERROR(INDEX(p_Cost,MATCH($F540,p_ID,0)),0))</f>
        <v>330</v>
      </c>
      <c r="Q540" s="84" t="n">
        <f aca="false">O540-P540</f>
        <v>270</v>
      </c>
      <c r="R540" s="86" t="n">
        <f aca="false">DATE(YEAR(B540),MONTH(B540),1)</f>
        <v>46023</v>
      </c>
      <c r="S540" s="83" t="str">
        <f aca="false">YEAR(B540)&amp;"-Q"&amp;ROUNDUP(MONTH(B540)/3,0)</f>
        <v>2026-Q1</v>
      </c>
      <c r="T540" s="87" t="n">
        <f aca="false">IF(O540&gt;0,Q540/O540,"")</f>
        <v>0.45</v>
      </c>
      <c r="U540" s="84" t="n">
        <f aca="false">IF(O540&gt;0,O540,"")</f>
        <v>600</v>
      </c>
    </row>
    <row r="541" customFormat="false" ht="15" hidden="false" customHeight="false" outlineLevel="0" collapsed="false">
      <c r="A541" s="81" t="s">
        <v>1184</v>
      </c>
      <c r="B541" s="82" t="n">
        <v>46050</v>
      </c>
      <c r="C541" s="81" t="s">
        <v>326</v>
      </c>
      <c r="D541" s="83" t="str">
        <f aca="false">IFERROR(INDEX(c_Name,MATCH($C541,c_ID,0)),"غير معرّف")</f>
        <v>دانة القحطاني</v>
      </c>
      <c r="E541" s="83" t="str">
        <f aca="false">IFERROR(INDEX(c_Region,MATCH($C541,c_ID,0)),"غير معرّف")</f>
        <v>الوسطى</v>
      </c>
      <c r="F541" s="81" t="s">
        <v>182</v>
      </c>
      <c r="G541" s="83" t="str">
        <f aca="false">IFERROR(INDEX(p_Name,MATCH($F541,p_ID,0)),"غير معرّف")</f>
        <v>طقم أوزان</v>
      </c>
      <c r="H541" s="83" t="str">
        <f aca="false">IFERROR(INDEX(p_Cat,MATCH($F541,p_ID,0)),"غير معرّف")</f>
        <v>رياضة</v>
      </c>
      <c r="I541" s="81" t="s">
        <v>443</v>
      </c>
      <c r="J541" s="81" t="s">
        <v>91</v>
      </c>
      <c r="K541" s="81" t="n">
        <v>2</v>
      </c>
      <c r="L541" s="84" t="n">
        <f aca="false">IFERROR(INDEX(p_Price,MATCH($F541,p_ID,0)),0)</f>
        <v>380</v>
      </c>
      <c r="M541" s="85" t="n">
        <v>0.05</v>
      </c>
      <c r="N541" s="81" t="s">
        <v>644</v>
      </c>
      <c r="O541" s="84" t="n">
        <f aca="false">IF($N541="مرتجع",0,K541*L541*(1-M541))</f>
        <v>722</v>
      </c>
      <c r="P541" s="84" t="n">
        <f aca="false">IF($N541="مرتجع",0,K541*IFERROR(INDEX(p_Cost,MATCH($F541,p_ID,0)),0))</f>
        <v>420</v>
      </c>
      <c r="Q541" s="84" t="n">
        <f aca="false">O541-P541</f>
        <v>302</v>
      </c>
      <c r="R541" s="86" t="n">
        <f aca="false">DATE(YEAR(B541),MONTH(B541),1)</f>
        <v>46023</v>
      </c>
      <c r="S541" s="83" t="str">
        <f aca="false">YEAR(B541)&amp;"-Q"&amp;ROUNDUP(MONTH(B541)/3,0)</f>
        <v>2026-Q1</v>
      </c>
      <c r="T541" s="87" t="n">
        <f aca="false">IF(O541&gt;0,Q541/O541,"")</f>
        <v>0.418282548476454</v>
      </c>
      <c r="U541" s="84" t="n">
        <f aca="false">IF(O541&gt;0,O541,"")</f>
        <v>722</v>
      </c>
    </row>
    <row r="542" customFormat="false" ht="15" hidden="false" customHeight="false" outlineLevel="0" collapsed="false">
      <c r="A542" s="81" t="s">
        <v>1185</v>
      </c>
      <c r="B542" s="82" t="n">
        <v>46050</v>
      </c>
      <c r="C542" s="81" t="s">
        <v>374</v>
      </c>
      <c r="D542" s="83" t="str">
        <f aca="false">IFERROR(INDEX(c_Name,MATCH($C542,c_ID,0)),"غير معرّف")</f>
        <v>منى التميمي</v>
      </c>
      <c r="E542" s="83" t="str">
        <f aca="false">IFERROR(INDEX(c_Region,MATCH($C542,c_ID,0)),"غير معرّف")</f>
        <v>الوسطى</v>
      </c>
      <c r="F542" s="81" t="s">
        <v>166</v>
      </c>
      <c r="G542" s="83" t="str">
        <f aca="false">IFERROR(INDEX(p_Name,MATCH($F542,p_ID,0)),"غير معرّف")</f>
        <v>سماعات لاسلكية</v>
      </c>
      <c r="H542" s="83" t="str">
        <f aca="false">IFERROR(INDEX(p_Cat,MATCH($F542,p_ID,0)),"غير معرّف")</f>
        <v>إلكترونيات</v>
      </c>
      <c r="I542" s="81" t="s">
        <v>443</v>
      </c>
      <c r="J542" s="81" t="s">
        <v>93</v>
      </c>
      <c r="K542" s="81" t="n">
        <v>4</v>
      </c>
      <c r="L542" s="84" t="n">
        <f aca="false">IFERROR(INDEX(p_Price,MATCH($F542,p_ID,0)),0)</f>
        <v>450</v>
      </c>
      <c r="M542" s="85" t="n">
        <v>0.05</v>
      </c>
      <c r="N542" s="81" t="s">
        <v>644</v>
      </c>
      <c r="O542" s="84" t="n">
        <f aca="false">IF($N542="مرتجع",0,K542*L542*(1-M542))</f>
        <v>1710</v>
      </c>
      <c r="P542" s="84" t="n">
        <f aca="false">IF($N542="مرتجع",0,K542*IFERROR(INDEX(p_Cost,MATCH($F542,p_ID,0)),0))</f>
        <v>1040</v>
      </c>
      <c r="Q542" s="84" t="n">
        <f aca="false">O542-P542</f>
        <v>670</v>
      </c>
      <c r="R542" s="86" t="n">
        <f aca="false">DATE(YEAR(B542),MONTH(B542),1)</f>
        <v>46023</v>
      </c>
      <c r="S542" s="83" t="str">
        <f aca="false">YEAR(B542)&amp;"-Q"&amp;ROUNDUP(MONTH(B542)/3,0)</f>
        <v>2026-Q1</v>
      </c>
      <c r="T542" s="87" t="n">
        <f aca="false">IF(O542&gt;0,Q542/O542,"")</f>
        <v>0.391812865497076</v>
      </c>
      <c r="U542" s="84" t="n">
        <f aca="false">IF(O542&gt;0,O542,"")</f>
        <v>1710</v>
      </c>
    </row>
    <row r="543" customFormat="false" ht="15" hidden="false" customHeight="false" outlineLevel="0" collapsed="false">
      <c r="A543" s="81" t="s">
        <v>1186</v>
      </c>
      <c r="B543" s="82" t="n">
        <v>46051</v>
      </c>
      <c r="C543" s="81" t="s">
        <v>307</v>
      </c>
      <c r="D543" s="83" t="str">
        <f aca="false">IFERROR(INDEX(c_Name,MATCH($C543,c_ID,0)),"غير معرّف")</f>
        <v>ريم السبيعي</v>
      </c>
      <c r="E543" s="83" t="str">
        <f aca="false">IFERROR(INDEX(c_Region,MATCH($C543,c_ID,0)),"غير معرّف")</f>
        <v>الوسطى</v>
      </c>
      <c r="F543" s="81" t="s">
        <v>164</v>
      </c>
      <c r="G543" s="83" t="str">
        <f aca="false">IFERROR(INDEX(p_Name,MATCH($F543,p_ID,0)),"غير معرّف")</f>
        <v>هاتف ذكي</v>
      </c>
      <c r="H543" s="83" t="str">
        <f aca="false">IFERROR(INDEX(p_Cat,MATCH($F543,p_ID,0)),"غير معرّف")</f>
        <v>إلكترونيات</v>
      </c>
      <c r="I543" s="81" t="s">
        <v>449</v>
      </c>
      <c r="J543" s="81" t="s">
        <v>93</v>
      </c>
      <c r="K543" s="81" t="n">
        <v>1</v>
      </c>
      <c r="L543" s="84" t="n">
        <f aca="false">IFERROR(INDEX(p_Price,MATCH($F543,p_ID,0)),0)</f>
        <v>2400</v>
      </c>
      <c r="M543" s="85" t="n">
        <v>0.05</v>
      </c>
      <c r="N543" s="81" t="s">
        <v>644</v>
      </c>
      <c r="O543" s="84" t="n">
        <f aca="false">IF($N543="مرتجع",0,K543*L543*(1-M543))</f>
        <v>2280</v>
      </c>
      <c r="P543" s="84" t="n">
        <f aca="false">IF($N543="مرتجع",0,K543*IFERROR(INDEX(p_Cost,MATCH($F543,p_ID,0)),0))</f>
        <v>1750</v>
      </c>
      <c r="Q543" s="84" t="n">
        <f aca="false">O543-P543</f>
        <v>530</v>
      </c>
      <c r="R543" s="86" t="n">
        <f aca="false">DATE(YEAR(B543),MONTH(B543),1)</f>
        <v>46023</v>
      </c>
      <c r="S543" s="83" t="str">
        <f aca="false">YEAR(B543)&amp;"-Q"&amp;ROUNDUP(MONTH(B543)/3,0)</f>
        <v>2026-Q1</v>
      </c>
      <c r="T543" s="87" t="n">
        <f aca="false">IF(O543&gt;0,Q543/O543,"")</f>
        <v>0.232456140350877</v>
      </c>
      <c r="U543" s="84" t="n">
        <f aca="false">IF(O543&gt;0,O543,"")</f>
        <v>2280</v>
      </c>
    </row>
    <row r="544" customFormat="false" ht="15" hidden="false" customHeight="false" outlineLevel="0" collapsed="false">
      <c r="A544" s="81" t="s">
        <v>1187</v>
      </c>
      <c r="B544" s="82" t="n">
        <v>46051</v>
      </c>
      <c r="C544" s="81" t="s">
        <v>311</v>
      </c>
      <c r="D544" s="83" t="str">
        <f aca="false">IFERROR(INDEX(c_Name,MATCH($C544,c_ID,0)),"غير معرّف")</f>
        <v>لمى الحسيني</v>
      </c>
      <c r="E544" s="83" t="str">
        <f aca="false">IFERROR(INDEX(c_Region,MATCH($C544,c_ID,0)),"غير معرّف")</f>
        <v>الوسطى</v>
      </c>
      <c r="F544" s="81" t="s">
        <v>170</v>
      </c>
      <c r="G544" s="83" t="str">
        <f aca="false">IFERROR(INDEX(p_Name,MATCH($F544,p_ID,0)),"غير معرّف")</f>
        <v>مكيف نقال</v>
      </c>
      <c r="H544" s="83" t="str">
        <f aca="false">IFERROR(INDEX(p_Cat,MATCH($F544,p_ID,0)),"غير معرّف")</f>
        <v>أجهزة منزلية</v>
      </c>
      <c r="I544" s="81" t="s">
        <v>449</v>
      </c>
      <c r="J544" s="81" t="s">
        <v>91</v>
      </c>
      <c r="K544" s="81" t="n">
        <v>1</v>
      </c>
      <c r="L544" s="84" t="n">
        <f aca="false">IFERROR(INDEX(p_Price,MATCH($F544,p_ID,0)),0)</f>
        <v>1900</v>
      </c>
      <c r="M544" s="85" t="n">
        <v>0</v>
      </c>
      <c r="N544" s="81" t="s">
        <v>644</v>
      </c>
      <c r="O544" s="84" t="n">
        <f aca="false">IF($N544="مرتجع",0,K544*L544*(1-M544))</f>
        <v>1900</v>
      </c>
      <c r="P544" s="84" t="n">
        <f aca="false">IF($N544="مرتجع",0,K544*IFERROR(INDEX(p_Cost,MATCH($F544,p_ID,0)),0))</f>
        <v>1350</v>
      </c>
      <c r="Q544" s="84" t="n">
        <f aca="false">O544-P544</f>
        <v>550</v>
      </c>
      <c r="R544" s="86" t="n">
        <f aca="false">DATE(YEAR(B544),MONTH(B544),1)</f>
        <v>46023</v>
      </c>
      <c r="S544" s="83" t="str">
        <f aca="false">YEAR(B544)&amp;"-Q"&amp;ROUNDUP(MONTH(B544)/3,0)</f>
        <v>2026-Q1</v>
      </c>
      <c r="T544" s="87" t="n">
        <f aca="false">IF(O544&gt;0,Q544/O544,"")</f>
        <v>0.289473684210526</v>
      </c>
      <c r="U544" s="84" t="n">
        <f aca="false">IF(O544&gt;0,O544,"")</f>
        <v>1900</v>
      </c>
    </row>
    <row r="545" customFormat="false" ht="15" hidden="false" customHeight="false" outlineLevel="0" collapsed="false">
      <c r="A545" s="81" t="s">
        <v>1188</v>
      </c>
      <c r="B545" s="82" t="n">
        <v>46051</v>
      </c>
      <c r="C545" s="81" t="s">
        <v>404</v>
      </c>
      <c r="D545" s="83" t="str">
        <f aca="false">IFERROR(INDEX(c_Name,MATCH($C545,c_ID,0)),"غير معرّف")</f>
        <v>عبدالله الحسيني</v>
      </c>
      <c r="E545" s="83" t="str">
        <f aca="false">IFERROR(INDEX(c_Region,MATCH($C545,c_ID,0)),"غير معرّف")</f>
        <v>الشرقية</v>
      </c>
      <c r="F545" s="81" t="s">
        <v>167</v>
      </c>
      <c r="G545" s="83" t="str">
        <f aca="false">IFERROR(INDEX(p_Name,MATCH($F545,p_ID,0)),"غير معرّف")</f>
        <v>شاشة 27 بوصة</v>
      </c>
      <c r="H545" s="83" t="str">
        <f aca="false">IFERROR(INDEX(p_Cat,MATCH($F545,p_ID,0)),"غير معرّف")</f>
        <v>إلكترونيات</v>
      </c>
      <c r="I545" s="81" t="s">
        <v>463</v>
      </c>
      <c r="J545" s="81" t="s">
        <v>93</v>
      </c>
      <c r="K545" s="81" t="n">
        <v>2</v>
      </c>
      <c r="L545" s="84" t="n">
        <f aca="false">IFERROR(INDEX(p_Price,MATCH($F545,p_ID,0)),0)</f>
        <v>1100</v>
      </c>
      <c r="M545" s="85" t="n">
        <v>0</v>
      </c>
      <c r="N545" s="81" t="s">
        <v>650</v>
      </c>
      <c r="O545" s="84" t="n">
        <f aca="false">IF($N545="مرتجع",0,K545*L545*(1-M545))</f>
        <v>0</v>
      </c>
      <c r="P545" s="84" t="n">
        <f aca="false">IF($N545="مرتجع",0,K545*IFERROR(INDEX(p_Cost,MATCH($F545,p_ID,0)),0))</f>
        <v>0</v>
      </c>
      <c r="Q545" s="84" t="n">
        <f aca="false">O545-P545</f>
        <v>0</v>
      </c>
      <c r="R545" s="86" t="n">
        <f aca="false">DATE(YEAR(B545),MONTH(B545),1)</f>
        <v>46023</v>
      </c>
      <c r="S545" s="83" t="str">
        <f aca="false">YEAR(B545)&amp;"-Q"&amp;ROUNDUP(MONTH(B545)/3,0)</f>
        <v>2026-Q1</v>
      </c>
      <c r="T545" s="87" t="str">
        <f aca="false">IF(O545&gt;0,Q545/O545,"")</f>
        <v/>
      </c>
      <c r="U545" s="84" t="str">
        <f aca="false">IF(O545&gt;0,O545,"")</f>
        <v/>
      </c>
    </row>
    <row r="546" customFormat="false" ht="15" hidden="false" customHeight="false" outlineLevel="0" collapsed="false">
      <c r="A546" s="81" t="s">
        <v>1189</v>
      </c>
      <c r="B546" s="82" t="n">
        <v>46051</v>
      </c>
      <c r="C546" s="81" t="s">
        <v>285</v>
      </c>
      <c r="D546" s="83" t="str">
        <f aca="false">IFERROR(INDEX(c_Name,MATCH($C546,c_ID,0)),"غير معرّف")</f>
        <v>ياسر التميمي</v>
      </c>
      <c r="E546" s="83" t="str">
        <f aca="false">IFERROR(INDEX(c_Region,MATCH($C546,c_ID,0)),"غير معرّف")</f>
        <v>الغربية</v>
      </c>
      <c r="F546" s="81" t="s">
        <v>178</v>
      </c>
      <c r="G546" s="83" t="str">
        <f aca="false">IFERROR(INDEX(p_Name,MATCH($F546,p_ID,0)),"غير معرّف")</f>
        <v>حقيبة لابتوب</v>
      </c>
      <c r="H546" s="83" t="str">
        <f aca="false">IFERROR(INDEX(p_Cat,MATCH($F546,p_ID,0)),"غير معرّف")</f>
        <v>مستلزمات مكتبية</v>
      </c>
      <c r="I546" s="81" t="s">
        <v>452</v>
      </c>
      <c r="J546" s="81" t="s">
        <v>91</v>
      </c>
      <c r="K546" s="81" t="n">
        <v>3</v>
      </c>
      <c r="L546" s="84" t="n">
        <f aca="false">IFERROR(INDEX(p_Price,MATCH($F546,p_ID,0)),0)</f>
        <v>260</v>
      </c>
      <c r="M546" s="85" t="n">
        <v>0</v>
      </c>
      <c r="N546" s="81" t="s">
        <v>644</v>
      </c>
      <c r="O546" s="84" t="n">
        <f aca="false">IF($N546="مرتجع",0,K546*L546*(1-M546))</f>
        <v>780</v>
      </c>
      <c r="P546" s="84" t="n">
        <f aca="false">IF($N546="مرتجع",0,K546*IFERROR(INDEX(p_Cost,MATCH($F546,p_ID,0)),0))</f>
        <v>360</v>
      </c>
      <c r="Q546" s="84" t="n">
        <f aca="false">O546-P546</f>
        <v>420</v>
      </c>
      <c r="R546" s="86" t="n">
        <f aca="false">DATE(YEAR(B546),MONTH(B546),1)</f>
        <v>46023</v>
      </c>
      <c r="S546" s="83" t="str">
        <f aca="false">YEAR(B546)&amp;"-Q"&amp;ROUNDUP(MONTH(B546)/3,0)</f>
        <v>2026-Q1</v>
      </c>
      <c r="T546" s="87" t="n">
        <f aca="false">IF(O546&gt;0,Q546/O546,"")</f>
        <v>0.538461538461538</v>
      </c>
      <c r="U546" s="84" t="n">
        <f aca="false">IF(O546&gt;0,O546,"")</f>
        <v>780</v>
      </c>
    </row>
    <row r="547" customFormat="false" ht="15" hidden="false" customHeight="false" outlineLevel="0" collapsed="false">
      <c r="A547" s="81" t="s">
        <v>1190</v>
      </c>
      <c r="B547" s="82" t="n">
        <v>46051</v>
      </c>
      <c r="C547" s="81" t="s">
        <v>264</v>
      </c>
      <c r="D547" s="83" t="str">
        <f aca="false">IFERROR(INDEX(c_Name,MATCH($C547,c_ID,0)),"غير معرّف")</f>
        <v>عبدالله التميمي</v>
      </c>
      <c r="E547" s="83" t="str">
        <f aca="false">IFERROR(INDEX(c_Region,MATCH($C547,c_ID,0)),"غير معرّف")</f>
        <v>الوسطى</v>
      </c>
      <c r="F547" s="81" t="s">
        <v>184</v>
      </c>
      <c r="G547" s="83" t="str">
        <f aca="false">IFERROR(INDEX(p_Name,MATCH($F547,p_ID,0)),"غير معرّف")</f>
        <v>عطر فاخر</v>
      </c>
      <c r="H547" s="83" t="str">
        <f aca="false">IFERROR(INDEX(p_Cat,MATCH($F547,p_ID,0)),"غير معرّف")</f>
        <v>عناية شخصية</v>
      </c>
      <c r="I547" s="81" t="s">
        <v>446</v>
      </c>
      <c r="J547" s="81" t="s">
        <v>93</v>
      </c>
      <c r="K547" s="81" t="n">
        <v>1</v>
      </c>
      <c r="L547" s="84" t="n">
        <f aca="false">IFERROR(INDEX(p_Price,MATCH($F547,p_ID,0)),0)</f>
        <v>520</v>
      </c>
      <c r="M547" s="85" t="n">
        <v>0.1</v>
      </c>
      <c r="N547" s="81" t="s">
        <v>644</v>
      </c>
      <c r="O547" s="84" t="n">
        <f aca="false">IF($N547="مرتجع",0,K547*L547*(1-M547))</f>
        <v>468</v>
      </c>
      <c r="P547" s="84" t="n">
        <f aca="false">IF($N547="مرتجع",0,K547*IFERROR(INDEX(p_Cost,MATCH($F547,p_ID,0)),0))</f>
        <v>210</v>
      </c>
      <c r="Q547" s="84" t="n">
        <f aca="false">O547-P547</f>
        <v>258</v>
      </c>
      <c r="R547" s="86" t="n">
        <f aca="false">DATE(YEAR(B547),MONTH(B547),1)</f>
        <v>46023</v>
      </c>
      <c r="S547" s="83" t="str">
        <f aca="false">YEAR(B547)&amp;"-Q"&amp;ROUNDUP(MONTH(B547)/3,0)</f>
        <v>2026-Q1</v>
      </c>
      <c r="T547" s="87" t="n">
        <f aca="false">IF(O547&gt;0,Q547/O547,"")</f>
        <v>0.551282051282051</v>
      </c>
      <c r="U547" s="84" t="n">
        <f aca="false">IF(O547&gt;0,O547,"")</f>
        <v>468</v>
      </c>
    </row>
    <row r="548" customFormat="false" ht="15" hidden="false" customHeight="false" outlineLevel="0" collapsed="false">
      <c r="A548" s="81" t="s">
        <v>1191</v>
      </c>
      <c r="B548" s="82" t="n">
        <v>46051</v>
      </c>
      <c r="C548" s="81" t="s">
        <v>403</v>
      </c>
      <c r="D548" s="83" t="str">
        <f aca="false">IFERROR(INDEX(c_Name,MATCH($C548,c_ID,0)),"غير معرّف")</f>
        <v>ياسر المطيري</v>
      </c>
      <c r="E548" s="83" t="str">
        <f aca="false">IFERROR(INDEX(c_Region,MATCH($C548,c_ID,0)),"غير معرّف")</f>
        <v>الجنوبية</v>
      </c>
      <c r="F548" s="81" t="s">
        <v>186</v>
      </c>
      <c r="G548" s="83" t="str">
        <f aca="false">IFERROR(INDEX(p_Name,MATCH($F548,p_ID,0)),"غير معرّف")</f>
        <v>مجفف شعر</v>
      </c>
      <c r="H548" s="83" t="str">
        <f aca="false">IFERROR(INDEX(p_Cat,MATCH($F548,p_ID,0)),"غير معرّف")</f>
        <v>عناية شخصية</v>
      </c>
      <c r="I548" s="81" t="s">
        <v>465</v>
      </c>
      <c r="J548" s="81" t="s">
        <v>93</v>
      </c>
      <c r="K548" s="81" t="n">
        <v>2</v>
      </c>
      <c r="L548" s="84" t="n">
        <f aca="false">IFERROR(INDEX(p_Price,MATCH($F548,p_ID,0)),0)</f>
        <v>280</v>
      </c>
      <c r="M548" s="85" t="n">
        <v>0</v>
      </c>
      <c r="N548" s="81" t="s">
        <v>644</v>
      </c>
      <c r="O548" s="84" t="n">
        <f aca="false">IF($N548="مرتجع",0,K548*L548*(1-M548))</f>
        <v>560</v>
      </c>
      <c r="P548" s="84" t="n">
        <f aca="false">IF($N548="مرتجع",0,K548*IFERROR(INDEX(p_Cost,MATCH($F548,p_ID,0)),0))</f>
        <v>280</v>
      </c>
      <c r="Q548" s="84" t="n">
        <f aca="false">O548-P548</f>
        <v>280</v>
      </c>
      <c r="R548" s="86" t="n">
        <f aca="false">DATE(YEAR(B548),MONTH(B548),1)</f>
        <v>46023</v>
      </c>
      <c r="S548" s="83" t="str">
        <f aca="false">YEAR(B548)&amp;"-Q"&amp;ROUNDUP(MONTH(B548)/3,0)</f>
        <v>2026-Q1</v>
      </c>
      <c r="T548" s="87" t="n">
        <f aca="false">IF(O548&gt;0,Q548/O548,"")</f>
        <v>0.5</v>
      </c>
      <c r="U548" s="84" t="n">
        <f aca="false">IF(O548&gt;0,O548,"")</f>
        <v>560</v>
      </c>
    </row>
    <row r="549" customFormat="false" ht="15" hidden="false" customHeight="false" outlineLevel="0" collapsed="false">
      <c r="A549" s="81" t="s">
        <v>1192</v>
      </c>
      <c r="B549" s="82" t="n">
        <v>46051</v>
      </c>
      <c r="C549" s="81" t="s">
        <v>242</v>
      </c>
      <c r="D549" s="83" t="str">
        <f aca="false">IFERROR(INDEX(c_Name,MATCH($C549,c_ID,0)),"غير معرّف")</f>
        <v>ياسر الغامدي</v>
      </c>
      <c r="E549" s="83" t="str">
        <f aca="false">IFERROR(INDEX(c_Region,MATCH($C549,c_ID,0)),"غير معرّف")</f>
        <v>الوسطى</v>
      </c>
      <c r="F549" s="81" t="s">
        <v>178</v>
      </c>
      <c r="G549" s="83" t="str">
        <f aca="false">IFERROR(INDEX(p_Name,MATCH($F549,p_ID,0)),"غير معرّف")</f>
        <v>حقيبة لابتوب</v>
      </c>
      <c r="H549" s="83" t="str">
        <f aca="false">IFERROR(INDEX(p_Cat,MATCH($F549,p_ID,0)),"غير معرّف")</f>
        <v>مستلزمات مكتبية</v>
      </c>
      <c r="I549" s="81" t="s">
        <v>443</v>
      </c>
      <c r="J549" s="81" t="s">
        <v>91</v>
      </c>
      <c r="K549" s="81" t="n">
        <v>1</v>
      </c>
      <c r="L549" s="84" t="n">
        <f aca="false">IFERROR(INDEX(p_Price,MATCH($F549,p_ID,0)),0)</f>
        <v>260</v>
      </c>
      <c r="M549" s="85" t="n">
        <v>0.05</v>
      </c>
      <c r="N549" s="81" t="s">
        <v>644</v>
      </c>
      <c r="O549" s="84" t="n">
        <f aca="false">IF($N549="مرتجع",0,K549*L549*(1-M549))</f>
        <v>247</v>
      </c>
      <c r="P549" s="84" t="n">
        <f aca="false">IF($N549="مرتجع",0,K549*IFERROR(INDEX(p_Cost,MATCH($F549,p_ID,0)),0))</f>
        <v>120</v>
      </c>
      <c r="Q549" s="84" t="n">
        <f aca="false">O549-P549</f>
        <v>127</v>
      </c>
      <c r="R549" s="86" t="n">
        <f aca="false">DATE(YEAR(B549),MONTH(B549),1)</f>
        <v>46023</v>
      </c>
      <c r="S549" s="83" t="str">
        <f aca="false">YEAR(B549)&amp;"-Q"&amp;ROUNDUP(MONTH(B549)/3,0)</f>
        <v>2026-Q1</v>
      </c>
      <c r="T549" s="87" t="n">
        <f aca="false">IF(O549&gt;0,Q549/O549,"")</f>
        <v>0.51417004048583</v>
      </c>
      <c r="U549" s="84" t="n">
        <f aca="false">IF(O549&gt;0,O549,"")</f>
        <v>247</v>
      </c>
    </row>
    <row r="550" customFormat="false" ht="15" hidden="false" customHeight="false" outlineLevel="0" collapsed="false">
      <c r="A550" s="81" t="s">
        <v>1193</v>
      </c>
      <c r="B550" s="82" t="n">
        <v>46051</v>
      </c>
      <c r="C550" s="81" t="s">
        <v>269</v>
      </c>
      <c r="D550" s="83" t="str">
        <f aca="false">IFERROR(INDEX(c_Name,MATCH($C550,c_ID,0)),"غير معرّف")</f>
        <v>أحمد السبيعي</v>
      </c>
      <c r="E550" s="83" t="str">
        <f aca="false">IFERROR(INDEX(c_Region,MATCH($C550,c_ID,0)),"غير معرّف")</f>
        <v>الشرقية</v>
      </c>
      <c r="F550" s="81" t="s">
        <v>187</v>
      </c>
      <c r="G550" s="83" t="str">
        <f aca="false">IFERROR(INDEX(p_Name,MATCH($F550,p_ID,0)),"غير معرّف")</f>
        <v>جهاز تدليك</v>
      </c>
      <c r="H550" s="83" t="str">
        <f aca="false">IFERROR(INDEX(p_Cat,MATCH($F550,p_ID,0)),"غير معرّف")</f>
        <v>عناية شخصية</v>
      </c>
      <c r="I550" s="81" t="s">
        <v>461</v>
      </c>
      <c r="J550" s="81" t="s">
        <v>91</v>
      </c>
      <c r="K550" s="81" t="n">
        <v>1</v>
      </c>
      <c r="L550" s="84" t="n">
        <f aca="false">IFERROR(INDEX(p_Price,MATCH($F550,p_ID,0)),0)</f>
        <v>600</v>
      </c>
      <c r="M550" s="85" t="n">
        <v>0</v>
      </c>
      <c r="N550" s="81" t="s">
        <v>644</v>
      </c>
      <c r="O550" s="84" t="n">
        <f aca="false">IF($N550="مرتجع",0,K550*L550*(1-M550))</f>
        <v>600</v>
      </c>
      <c r="P550" s="84" t="n">
        <f aca="false">IF($N550="مرتجع",0,K550*IFERROR(INDEX(p_Cost,MATCH($F550,p_ID,0)),0))</f>
        <v>330</v>
      </c>
      <c r="Q550" s="84" t="n">
        <f aca="false">O550-P550</f>
        <v>270</v>
      </c>
      <c r="R550" s="86" t="n">
        <f aca="false">DATE(YEAR(B550),MONTH(B550),1)</f>
        <v>46023</v>
      </c>
      <c r="S550" s="83" t="str">
        <f aca="false">YEAR(B550)&amp;"-Q"&amp;ROUNDUP(MONTH(B550)/3,0)</f>
        <v>2026-Q1</v>
      </c>
      <c r="T550" s="87" t="n">
        <f aca="false">IF(O550&gt;0,Q550/O550,"")</f>
        <v>0.45</v>
      </c>
      <c r="U550" s="84" t="n">
        <f aca="false">IF(O550&gt;0,O550,"")</f>
        <v>600</v>
      </c>
    </row>
    <row r="551" customFormat="false" ht="15" hidden="false" customHeight="false" outlineLevel="0" collapsed="false">
      <c r="A551" s="81" t="s">
        <v>1194</v>
      </c>
      <c r="B551" s="82" t="n">
        <v>46052</v>
      </c>
      <c r="C551" s="81" t="s">
        <v>270</v>
      </c>
      <c r="D551" s="83" t="str">
        <f aca="false">IFERROR(INDEX(c_Name,MATCH($C551,c_ID,0)),"غير معرّف")</f>
        <v>ريم التميمي</v>
      </c>
      <c r="E551" s="83" t="str">
        <f aca="false">IFERROR(INDEX(c_Region,MATCH($C551,c_ID,0)),"غير معرّف")</f>
        <v>الشرقية</v>
      </c>
      <c r="F551" s="81" t="s">
        <v>186</v>
      </c>
      <c r="G551" s="83" t="str">
        <f aca="false">IFERROR(INDEX(p_Name,MATCH($F551,p_ID,0)),"غير معرّف")</f>
        <v>مجفف شعر</v>
      </c>
      <c r="H551" s="83" t="str">
        <f aca="false">IFERROR(INDEX(p_Cat,MATCH($F551,p_ID,0)),"غير معرّف")</f>
        <v>عناية شخصية</v>
      </c>
      <c r="I551" s="81" t="s">
        <v>461</v>
      </c>
      <c r="J551" s="81" t="s">
        <v>91</v>
      </c>
      <c r="K551" s="81" t="n">
        <v>1</v>
      </c>
      <c r="L551" s="84" t="n">
        <f aca="false">IFERROR(INDEX(p_Price,MATCH($F551,p_ID,0)),0)</f>
        <v>280</v>
      </c>
      <c r="M551" s="85" t="n">
        <v>0</v>
      </c>
      <c r="N551" s="81" t="s">
        <v>644</v>
      </c>
      <c r="O551" s="84" t="n">
        <f aca="false">IF($N551="مرتجع",0,K551*L551*(1-M551))</f>
        <v>280</v>
      </c>
      <c r="P551" s="84" t="n">
        <f aca="false">IF($N551="مرتجع",0,K551*IFERROR(INDEX(p_Cost,MATCH($F551,p_ID,0)),0))</f>
        <v>140</v>
      </c>
      <c r="Q551" s="84" t="n">
        <f aca="false">O551-P551</f>
        <v>140</v>
      </c>
      <c r="R551" s="86" t="n">
        <f aca="false">DATE(YEAR(B551),MONTH(B551),1)</f>
        <v>46023</v>
      </c>
      <c r="S551" s="83" t="str">
        <f aca="false">YEAR(B551)&amp;"-Q"&amp;ROUNDUP(MONTH(B551)/3,0)</f>
        <v>2026-Q1</v>
      </c>
      <c r="T551" s="87" t="n">
        <f aca="false">IF(O551&gt;0,Q551/O551,"")</f>
        <v>0.5</v>
      </c>
      <c r="U551" s="84" t="n">
        <f aca="false">IF(O551&gt;0,O551,"")</f>
        <v>280</v>
      </c>
    </row>
    <row r="552" customFormat="false" ht="15" hidden="false" customHeight="false" outlineLevel="0" collapsed="false">
      <c r="A552" s="81" t="s">
        <v>1195</v>
      </c>
      <c r="B552" s="82" t="n">
        <v>46052</v>
      </c>
      <c r="C552" s="81" t="s">
        <v>409</v>
      </c>
      <c r="D552" s="83" t="str">
        <f aca="false">IFERROR(INDEX(c_Name,MATCH($C552,c_ID,0)),"غير معرّف")</f>
        <v>هند العنزي</v>
      </c>
      <c r="E552" s="83" t="str">
        <f aca="false">IFERROR(INDEX(c_Region,MATCH($C552,c_ID,0)),"غير معرّف")</f>
        <v>الغربية</v>
      </c>
      <c r="F552" s="81" t="s">
        <v>177</v>
      </c>
      <c r="G552" s="83" t="str">
        <f aca="false">IFERROR(INDEX(p_Name,MATCH($F552,p_ID,0)),"غير معرّف")</f>
        <v>ورق A4 (صندوق)</v>
      </c>
      <c r="H552" s="83" t="str">
        <f aca="false">IFERROR(INDEX(p_Cat,MATCH($F552,p_ID,0)),"غير معرّف")</f>
        <v>مستلزمات مكتبية</v>
      </c>
      <c r="I552" s="81" t="s">
        <v>458</v>
      </c>
      <c r="J552" s="81" t="s">
        <v>93</v>
      </c>
      <c r="K552" s="81" t="n">
        <v>1</v>
      </c>
      <c r="L552" s="84" t="n">
        <f aca="false">IFERROR(INDEX(p_Price,MATCH($F552,p_ID,0)),0)</f>
        <v>140</v>
      </c>
      <c r="M552" s="85" t="n">
        <v>0.05</v>
      </c>
      <c r="N552" s="81" t="s">
        <v>644</v>
      </c>
      <c r="O552" s="84" t="n">
        <f aca="false">IF($N552="مرتجع",0,K552*L552*(1-M552))</f>
        <v>133</v>
      </c>
      <c r="P552" s="84" t="n">
        <f aca="false">IF($N552="مرتجع",0,K552*IFERROR(INDEX(p_Cost,MATCH($F552,p_ID,0)),0))</f>
        <v>95</v>
      </c>
      <c r="Q552" s="84" t="n">
        <f aca="false">O552-P552</f>
        <v>38</v>
      </c>
      <c r="R552" s="86" t="n">
        <f aca="false">DATE(YEAR(B552),MONTH(B552),1)</f>
        <v>46023</v>
      </c>
      <c r="S552" s="83" t="str">
        <f aca="false">YEAR(B552)&amp;"-Q"&amp;ROUNDUP(MONTH(B552)/3,0)</f>
        <v>2026-Q1</v>
      </c>
      <c r="T552" s="87" t="n">
        <f aca="false">IF(O552&gt;0,Q552/O552,"")</f>
        <v>0.285714285714286</v>
      </c>
      <c r="U552" s="84" t="n">
        <f aca="false">IF(O552&gt;0,O552,"")</f>
        <v>133</v>
      </c>
    </row>
    <row r="553" customFormat="false" ht="15" hidden="false" customHeight="false" outlineLevel="0" collapsed="false">
      <c r="A553" s="81" t="s">
        <v>1196</v>
      </c>
      <c r="B553" s="82" t="n">
        <v>46052</v>
      </c>
      <c r="C553" s="81" t="s">
        <v>423</v>
      </c>
      <c r="D553" s="83" t="str">
        <f aca="false">IFERROR(INDEX(c_Name,MATCH($C553,c_ID,0)),"غير معرّف")</f>
        <v>ناصر المطيري</v>
      </c>
      <c r="E553" s="83" t="str">
        <f aca="false">IFERROR(INDEX(c_Region,MATCH($C553,c_ID,0)),"غير معرّف")</f>
        <v>الغربية</v>
      </c>
      <c r="F553" s="81" t="s">
        <v>183</v>
      </c>
      <c r="G553" s="83" t="str">
        <f aca="false">IFERROR(INDEX(p_Name,MATCH($F553,p_ID,0)),"غير معرّف")</f>
        <v>سجادة يوغا</v>
      </c>
      <c r="H553" s="83" t="str">
        <f aca="false">IFERROR(INDEX(p_Cat,MATCH($F553,p_ID,0)),"غير معرّف")</f>
        <v>رياضة</v>
      </c>
      <c r="I553" s="81" t="s">
        <v>458</v>
      </c>
      <c r="J553" s="81" t="s">
        <v>93</v>
      </c>
      <c r="K553" s="81" t="n">
        <v>1</v>
      </c>
      <c r="L553" s="84" t="n">
        <f aca="false">IFERROR(INDEX(p_Price,MATCH($F553,p_ID,0)),0)</f>
        <v>120</v>
      </c>
      <c r="M553" s="85" t="n">
        <v>0.05</v>
      </c>
      <c r="N553" s="81" t="s">
        <v>644</v>
      </c>
      <c r="O553" s="84" t="n">
        <f aca="false">IF($N553="مرتجع",0,K553*L553*(1-M553))</f>
        <v>114</v>
      </c>
      <c r="P553" s="84" t="n">
        <f aca="false">IF($N553="مرتجع",0,K553*IFERROR(INDEX(p_Cost,MATCH($F553,p_ID,0)),0))</f>
        <v>50</v>
      </c>
      <c r="Q553" s="84" t="n">
        <f aca="false">O553-P553</f>
        <v>64</v>
      </c>
      <c r="R553" s="86" t="n">
        <f aca="false">DATE(YEAR(B553),MONTH(B553),1)</f>
        <v>46023</v>
      </c>
      <c r="S553" s="83" t="str">
        <f aca="false">YEAR(B553)&amp;"-Q"&amp;ROUNDUP(MONTH(B553)/3,0)</f>
        <v>2026-Q1</v>
      </c>
      <c r="T553" s="87" t="n">
        <f aca="false">IF(O553&gt;0,Q553/O553,"")</f>
        <v>0.56140350877193</v>
      </c>
      <c r="U553" s="84" t="n">
        <f aca="false">IF(O553&gt;0,O553,"")</f>
        <v>114</v>
      </c>
    </row>
    <row r="554" customFormat="false" ht="15" hidden="false" customHeight="false" outlineLevel="0" collapsed="false">
      <c r="A554" s="81" t="s">
        <v>1197</v>
      </c>
      <c r="B554" s="82" t="n">
        <v>46052</v>
      </c>
      <c r="C554" s="81" t="s">
        <v>281</v>
      </c>
      <c r="D554" s="83" t="str">
        <f aca="false">IFERROR(INDEX(c_Name,MATCH($C554,c_ID,0)),"غير معرّف")</f>
        <v>ريم الخالدي</v>
      </c>
      <c r="E554" s="83" t="str">
        <f aca="false">IFERROR(INDEX(c_Region,MATCH($C554,c_ID,0)),"غير معرّف")</f>
        <v>الوسطى</v>
      </c>
      <c r="F554" s="81" t="s">
        <v>186</v>
      </c>
      <c r="G554" s="83" t="str">
        <f aca="false">IFERROR(INDEX(p_Name,MATCH($F554,p_ID,0)),"غير معرّف")</f>
        <v>مجفف شعر</v>
      </c>
      <c r="H554" s="83" t="str">
        <f aca="false">IFERROR(INDEX(p_Cat,MATCH($F554,p_ID,0)),"غير معرّف")</f>
        <v>عناية شخصية</v>
      </c>
      <c r="I554" s="81" t="s">
        <v>443</v>
      </c>
      <c r="J554" s="81" t="s">
        <v>91</v>
      </c>
      <c r="K554" s="81" t="n">
        <v>1</v>
      </c>
      <c r="L554" s="84" t="n">
        <f aca="false">IFERROR(INDEX(p_Price,MATCH($F554,p_ID,0)),0)</f>
        <v>280</v>
      </c>
      <c r="M554" s="85" t="n">
        <v>0</v>
      </c>
      <c r="N554" s="81" t="s">
        <v>644</v>
      </c>
      <c r="O554" s="84" t="n">
        <f aca="false">IF($N554="مرتجع",0,K554*L554*(1-M554))</f>
        <v>280</v>
      </c>
      <c r="P554" s="84" t="n">
        <f aca="false">IF($N554="مرتجع",0,K554*IFERROR(INDEX(p_Cost,MATCH($F554,p_ID,0)),0))</f>
        <v>140</v>
      </c>
      <c r="Q554" s="84" t="n">
        <f aca="false">O554-P554</f>
        <v>140</v>
      </c>
      <c r="R554" s="86" t="n">
        <f aca="false">DATE(YEAR(B554),MONTH(B554),1)</f>
        <v>46023</v>
      </c>
      <c r="S554" s="83" t="str">
        <f aca="false">YEAR(B554)&amp;"-Q"&amp;ROUNDUP(MONTH(B554)/3,0)</f>
        <v>2026-Q1</v>
      </c>
      <c r="T554" s="87" t="n">
        <f aca="false">IF(O554&gt;0,Q554/O554,"")</f>
        <v>0.5</v>
      </c>
      <c r="U554" s="84" t="n">
        <f aca="false">IF(O554&gt;0,O554,"")</f>
        <v>280</v>
      </c>
    </row>
    <row r="555" customFormat="false" ht="15" hidden="false" customHeight="false" outlineLevel="0" collapsed="false">
      <c r="A555" s="81" t="s">
        <v>1198</v>
      </c>
      <c r="B555" s="82" t="n">
        <v>46052</v>
      </c>
      <c r="C555" s="81" t="s">
        <v>238</v>
      </c>
      <c r="D555" s="83" t="str">
        <f aca="false">IFERROR(INDEX(c_Name,MATCH($C555,c_ID,0)),"غير معرّف")</f>
        <v>سارة البلوي</v>
      </c>
      <c r="E555" s="83" t="str">
        <f aca="false">IFERROR(INDEX(c_Region,MATCH($C555,c_ID,0)),"غير معرّف")</f>
        <v>الغربية</v>
      </c>
      <c r="F555" s="81" t="s">
        <v>166</v>
      </c>
      <c r="G555" s="83" t="str">
        <f aca="false">IFERROR(INDEX(p_Name,MATCH($F555,p_ID,0)),"غير معرّف")</f>
        <v>سماعات لاسلكية</v>
      </c>
      <c r="H555" s="83" t="str">
        <f aca="false">IFERROR(INDEX(p_Cat,MATCH($F555,p_ID,0)),"غير معرّف")</f>
        <v>إلكترونيات</v>
      </c>
      <c r="I555" s="81" t="s">
        <v>452</v>
      </c>
      <c r="J555" s="81" t="s">
        <v>93</v>
      </c>
      <c r="K555" s="81" t="n">
        <v>3</v>
      </c>
      <c r="L555" s="84" t="n">
        <f aca="false">IFERROR(INDEX(p_Price,MATCH($F555,p_ID,0)),0)</f>
        <v>450</v>
      </c>
      <c r="M555" s="85" t="n">
        <v>0</v>
      </c>
      <c r="N555" s="81" t="s">
        <v>644</v>
      </c>
      <c r="O555" s="84" t="n">
        <f aca="false">IF($N555="مرتجع",0,K555*L555*(1-M555))</f>
        <v>1350</v>
      </c>
      <c r="P555" s="84" t="n">
        <f aca="false">IF($N555="مرتجع",0,K555*IFERROR(INDEX(p_Cost,MATCH($F555,p_ID,0)),0))</f>
        <v>780</v>
      </c>
      <c r="Q555" s="84" t="n">
        <f aca="false">O555-P555</f>
        <v>570</v>
      </c>
      <c r="R555" s="86" t="n">
        <f aca="false">DATE(YEAR(B555),MONTH(B555),1)</f>
        <v>46023</v>
      </c>
      <c r="S555" s="83" t="str">
        <f aca="false">YEAR(B555)&amp;"-Q"&amp;ROUNDUP(MONTH(B555)/3,0)</f>
        <v>2026-Q1</v>
      </c>
      <c r="T555" s="87" t="n">
        <f aca="false">IF(O555&gt;0,Q555/O555,"")</f>
        <v>0.422222222222222</v>
      </c>
      <c r="U555" s="84" t="n">
        <f aca="false">IF(O555&gt;0,O555,"")</f>
        <v>1350</v>
      </c>
    </row>
    <row r="556" customFormat="false" ht="15" hidden="false" customHeight="false" outlineLevel="0" collapsed="false">
      <c r="A556" s="81" t="s">
        <v>1199</v>
      </c>
      <c r="B556" s="82" t="n">
        <v>46052</v>
      </c>
      <c r="C556" s="81" t="s">
        <v>238</v>
      </c>
      <c r="D556" s="83" t="str">
        <f aca="false">IFERROR(INDEX(c_Name,MATCH($C556,c_ID,0)),"غير معرّف")</f>
        <v>سارة البلوي</v>
      </c>
      <c r="E556" s="83" t="str">
        <f aca="false">IFERROR(INDEX(c_Region,MATCH($C556,c_ID,0)),"غير معرّف")</f>
        <v>الغربية</v>
      </c>
      <c r="F556" s="81" t="s">
        <v>186</v>
      </c>
      <c r="G556" s="83" t="str">
        <f aca="false">IFERROR(INDEX(p_Name,MATCH($F556,p_ID,0)),"غير معرّف")</f>
        <v>مجفف شعر</v>
      </c>
      <c r="H556" s="83" t="str">
        <f aca="false">IFERROR(INDEX(p_Cat,MATCH($F556,p_ID,0)),"غير معرّف")</f>
        <v>عناية شخصية</v>
      </c>
      <c r="I556" s="81" t="s">
        <v>458</v>
      </c>
      <c r="J556" s="81" t="s">
        <v>93</v>
      </c>
      <c r="K556" s="81" t="n">
        <v>1</v>
      </c>
      <c r="L556" s="84" t="n">
        <f aca="false">IFERROR(INDEX(p_Price,MATCH($F556,p_ID,0)),0)</f>
        <v>280</v>
      </c>
      <c r="M556" s="85" t="n">
        <v>0.05</v>
      </c>
      <c r="N556" s="81" t="s">
        <v>644</v>
      </c>
      <c r="O556" s="84" t="n">
        <f aca="false">IF($N556="مرتجع",0,K556*L556*(1-M556))</f>
        <v>266</v>
      </c>
      <c r="P556" s="84" t="n">
        <f aca="false">IF($N556="مرتجع",0,K556*IFERROR(INDEX(p_Cost,MATCH($F556,p_ID,0)),0))</f>
        <v>140</v>
      </c>
      <c r="Q556" s="84" t="n">
        <f aca="false">O556-P556</f>
        <v>126</v>
      </c>
      <c r="R556" s="86" t="n">
        <f aca="false">DATE(YEAR(B556),MONTH(B556),1)</f>
        <v>46023</v>
      </c>
      <c r="S556" s="83" t="str">
        <f aca="false">YEAR(B556)&amp;"-Q"&amp;ROUNDUP(MONTH(B556)/3,0)</f>
        <v>2026-Q1</v>
      </c>
      <c r="T556" s="87" t="n">
        <f aca="false">IF(O556&gt;0,Q556/O556,"")</f>
        <v>0.473684210526316</v>
      </c>
      <c r="U556" s="84" t="n">
        <f aca="false">IF(O556&gt;0,O556,"")</f>
        <v>266</v>
      </c>
    </row>
    <row r="557" customFormat="false" ht="15" hidden="false" customHeight="false" outlineLevel="0" collapsed="false">
      <c r="A557" s="81" t="s">
        <v>1200</v>
      </c>
      <c r="B557" s="82" t="n">
        <v>46052</v>
      </c>
      <c r="C557" s="81" t="s">
        <v>264</v>
      </c>
      <c r="D557" s="83" t="str">
        <f aca="false">IFERROR(INDEX(c_Name,MATCH($C557,c_ID,0)),"غير معرّف")</f>
        <v>عبدالله التميمي</v>
      </c>
      <c r="E557" s="83" t="str">
        <f aca="false">IFERROR(INDEX(c_Region,MATCH($C557,c_ID,0)),"غير معرّف")</f>
        <v>الوسطى</v>
      </c>
      <c r="F557" s="81" t="s">
        <v>183</v>
      </c>
      <c r="G557" s="83" t="str">
        <f aca="false">IFERROR(INDEX(p_Name,MATCH($F557,p_ID,0)),"غير معرّف")</f>
        <v>سجادة يوغا</v>
      </c>
      <c r="H557" s="83" t="str">
        <f aca="false">IFERROR(INDEX(p_Cat,MATCH($F557,p_ID,0)),"غير معرّف")</f>
        <v>رياضة</v>
      </c>
      <c r="I557" s="81" t="s">
        <v>449</v>
      </c>
      <c r="J557" s="81" t="s">
        <v>91</v>
      </c>
      <c r="K557" s="81" t="n">
        <v>1</v>
      </c>
      <c r="L557" s="84" t="n">
        <f aca="false">IFERROR(INDEX(p_Price,MATCH($F557,p_ID,0)),0)</f>
        <v>120</v>
      </c>
      <c r="M557" s="85" t="n">
        <v>0.05</v>
      </c>
      <c r="N557" s="81" t="s">
        <v>644</v>
      </c>
      <c r="O557" s="84" t="n">
        <f aca="false">IF($N557="مرتجع",0,K557*L557*(1-M557))</f>
        <v>114</v>
      </c>
      <c r="P557" s="84" t="n">
        <f aca="false">IF($N557="مرتجع",0,K557*IFERROR(INDEX(p_Cost,MATCH($F557,p_ID,0)),0))</f>
        <v>50</v>
      </c>
      <c r="Q557" s="84" t="n">
        <f aca="false">O557-P557</f>
        <v>64</v>
      </c>
      <c r="R557" s="86" t="n">
        <f aca="false">DATE(YEAR(B557),MONTH(B557),1)</f>
        <v>46023</v>
      </c>
      <c r="S557" s="83" t="str">
        <f aca="false">YEAR(B557)&amp;"-Q"&amp;ROUNDUP(MONTH(B557)/3,0)</f>
        <v>2026-Q1</v>
      </c>
      <c r="T557" s="87" t="n">
        <f aca="false">IF(O557&gt;0,Q557/O557,"")</f>
        <v>0.56140350877193</v>
      </c>
      <c r="U557" s="84" t="n">
        <f aca="false">IF(O557&gt;0,O557,"")</f>
        <v>114</v>
      </c>
    </row>
    <row r="558" customFormat="false" ht="15" hidden="false" customHeight="false" outlineLevel="0" collapsed="false">
      <c r="A558" s="81" t="s">
        <v>1201</v>
      </c>
      <c r="B558" s="82" t="n">
        <v>46053</v>
      </c>
      <c r="C558" s="81" t="s">
        <v>293</v>
      </c>
      <c r="D558" s="83" t="str">
        <f aca="false">IFERROR(INDEX(c_Name,MATCH($C558,c_ID,0)),"غير معرّف")</f>
        <v>سارة الغامدي</v>
      </c>
      <c r="E558" s="83" t="str">
        <f aca="false">IFERROR(INDEX(c_Region,MATCH($C558,c_ID,0)),"غير معرّف")</f>
        <v>الوسطى</v>
      </c>
      <c r="F558" s="81" t="s">
        <v>167</v>
      </c>
      <c r="G558" s="83" t="str">
        <f aca="false">IFERROR(INDEX(p_Name,MATCH($F558,p_ID,0)),"غير معرّف")</f>
        <v>شاشة 27 بوصة</v>
      </c>
      <c r="H558" s="83" t="str">
        <f aca="false">IFERROR(INDEX(p_Cat,MATCH($F558,p_ID,0)),"غير معرّف")</f>
        <v>إلكترونيات</v>
      </c>
      <c r="I558" s="81" t="s">
        <v>443</v>
      </c>
      <c r="J558" s="81" t="s">
        <v>93</v>
      </c>
      <c r="K558" s="81" t="n">
        <v>2</v>
      </c>
      <c r="L558" s="84" t="n">
        <f aca="false">IFERROR(INDEX(p_Price,MATCH($F558,p_ID,0)),0)</f>
        <v>1100</v>
      </c>
      <c r="M558" s="85" t="n">
        <v>0</v>
      </c>
      <c r="N558" s="81" t="s">
        <v>644</v>
      </c>
      <c r="O558" s="84" t="n">
        <f aca="false">IF($N558="مرتجع",0,K558*L558*(1-M558))</f>
        <v>2200</v>
      </c>
      <c r="P558" s="84" t="n">
        <f aca="false">IF($N558="مرتجع",0,K558*IFERROR(INDEX(p_Cost,MATCH($F558,p_ID,0)),0))</f>
        <v>1560</v>
      </c>
      <c r="Q558" s="84" t="n">
        <f aca="false">O558-P558</f>
        <v>640</v>
      </c>
      <c r="R558" s="86" t="n">
        <f aca="false">DATE(YEAR(B558),MONTH(B558),1)</f>
        <v>46023</v>
      </c>
      <c r="S558" s="83" t="str">
        <f aca="false">YEAR(B558)&amp;"-Q"&amp;ROUNDUP(MONTH(B558)/3,0)</f>
        <v>2026-Q1</v>
      </c>
      <c r="T558" s="87" t="n">
        <f aca="false">IF(O558&gt;0,Q558/O558,"")</f>
        <v>0.290909090909091</v>
      </c>
      <c r="U558" s="84" t="n">
        <f aca="false">IF(O558&gt;0,O558,"")</f>
        <v>2200</v>
      </c>
    </row>
    <row r="559" customFormat="false" ht="15" hidden="false" customHeight="false" outlineLevel="0" collapsed="false">
      <c r="A559" s="81" t="s">
        <v>1202</v>
      </c>
      <c r="B559" s="82" t="n">
        <v>46053</v>
      </c>
      <c r="C559" s="81" t="s">
        <v>271</v>
      </c>
      <c r="D559" s="83" t="str">
        <f aca="false">IFERROR(INDEX(c_Name,MATCH($C559,c_ID,0)),"غير معرّف")</f>
        <v>أحمد الزهراني</v>
      </c>
      <c r="E559" s="83" t="str">
        <f aca="false">IFERROR(INDEX(c_Region,MATCH($C559,c_ID,0)),"غير معرّف")</f>
        <v>الغربية</v>
      </c>
      <c r="F559" s="81" t="s">
        <v>173</v>
      </c>
      <c r="G559" s="83" t="str">
        <f aca="false">IFERROR(INDEX(p_Name,MATCH($F559,p_ID,0)),"غير معرّف")</f>
        <v>كرسي مريح</v>
      </c>
      <c r="H559" s="83" t="str">
        <f aca="false">IFERROR(INDEX(p_Cat,MATCH($F559,p_ID,0)),"غير معرّف")</f>
        <v>أثاث</v>
      </c>
      <c r="I559" s="81" t="s">
        <v>452</v>
      </c>
      <c r="J559" s="81" t="s">
        <v>93</v>
      </c>
      <c r="K559" s="81" t="n">
        <v>1</v>
      </c>
      <c r="L559" s="84" t="n">
        <f aca="false">IFERROR(INDEX(p_Price,MATCH($F559,p_ID,0)),0)</f>
        <v>850</v>
      </c>
      <c r="M559" s="85" t="n">
        <v>0.05</v>
      </c>
      <c r="N559" s="81" t="s">
        <v>644</v>
      </c>
      <c r="O559" s="84" t="n">
        <f aca="false">IF($N559="مرتجع",0,K559*L559*(1-M559))</f>
        <v>807.5</v>
      </c>
      <c r="P559" s="84" t="n">
        <f aca="false">IF($N559="مرتجع",0,K559*IFERROR(INDEX(p_Cost,MATCH($F559,p_ID,0)),0))</f>
        <v>480</v>
      </c>
      <c r="Q559" s="84" t="n">
        <f aca="false">O559-P559</f>
        <v>327.5</v>
      </c>
      <c r="R559" s="86" t="n">
        <f aca="false">DATE(YEAR(B559),MONTH(B559),1)</f>
        <v>46023</v>
      </c>
      <c r="S559" s="83" t="str">
        <f aca="false">YEAR(B559)&amp;"-Q"&amp;ROUNDUP(MONTH(B559)/3,0)</f>
        <v>2026-Q1</v>
      </c>
      <c r="T559" s="87" t="n">
        <f aca="false">IF(O559&gt;0,Q559/O559,"")</f>
        <v>0.405572755417957</v>
      </c>
      <c r="U559" s="84" t="n">
        <f aca="false">IF(O559&gt;0,O559,"")</f>
        <v>807.5</v>
      </c>
    </row>
    <row r="560" customFormat="false" ht="15" hidden="false" customHeight="false" outlineLevel="0" collapsed="false">
      <c r="A560" s="81" t="s">
        <v>1203</v>
      </c>
      <c r="B560" s="82" t="n">
        <v>46053</v>
      </c>
      <c r="C560" s="81" t="s">
        <v>386</v>
      </c>
      <c r="D560" s="83" t="str">
        <f aca="false">IFERROR(INDEX(c_Name,MATCH($C560,c_ID,0)),"غير معرّف")</f>
        <v>نورة الشمري</v>
      </c>
      <c r="E560" s="83" t="str">
        <f aca="false">IFERROR(INDEX(c_Region,MATCH($C560,c_ID,0)),"غير معرّف")</f>
        <v>الغربية</v>
      </c>
      <c r="F560" s="81" t="s">
        <v>187</v>
      </c>
      <c r="G560" s="83" t="str">
        <f aca="false">IFERROR(INDEX(p_Name,MATCH($F560,p_ID,0)),"غير معرّف")</f>
        <v>جهاز تدليك</v>
      </c>
      <c r="H560" s="83" t="str">
        <f aca="false">IFERROR(INDEX(p_Cat,MATCH($F560,p_ID,0)),"غير معرّف")</f>
        <v>عناية شخصية</v>
      </c>
      <c r="I560" s="81" t="s">
        <v>458</v>
      </c>
      <c r="J560" s="81" t="s">
        <v>93</v>
      </c>
      <c r="K560" s="81" t="n">
        <v>1</v>
      </c>
      <c r="L560" s="84" t="n">
        <f aca="false">IFERROR(INDEX(p_Price,MATCH($F560,p_ID,0)),0)</f>
        <v>600</v>
      </c>
      <c r="M560" s="85" t="n">
        <v>0.05</v>
      </c>
      <c r="N560" s="81" t="s">
        <v>644</v>
      </c>
      <c r="O560" s="84" t="n">
        <f aca="false">IF($N560="مرتجع",0,K560*L560*(1-M560))</f>
        <v>570</v>
      </c>
      <c r="P560" s="84" t="n">
        <f aca="false">IF($N560="مرتجع",0,K560*IFERROR(INDEX(p_Cost,MATCH($F560,p_ID,0)),0))</f>
        <v>330</v>
      </c>
      <c r="Q560" s="84" t="n">
        <f aca="false">O560-P560</f>
        <v>240</v>
      </c>
      <c r="R560" s="86" t="n">
        <f aca="false">DATE(YEAR(B560),MONTH(B560),1)</f>
        <v>46023</v>
      </c>
      <c r="S560" s="83" t="str">
        <f aca="false">YEAR(B560)&amp;"-Q"&amp;ROUNDUP(MONTH(B560)/3,0)</f>
        <v>2026-Q1</v>
      </c>
      <c r="T560" s="87" t="n">
        <f aca="false">IF(O560&gt;0,Q560/O560,"")</f>
        <v>0.421052631578947</v>
      </c>
      <c r="U560" s="84" t="n">
        <f aca="false">IF(O560&gt;0,O560,"")</f>
        <v>570</v>
      </c>
    </row>
    <row r="561" customFormat="false" ht="15" hidden="false" customHeight="false" outlineLevel="0" collapsed="false">
      <c r="A561" s="81" t="s">
        <v>1204</v>
      </c>
      <c r="B561" s="82" t="n">
        <v>46053</v>
      </c>
      <c r="C561" s="81" t="s">
        <v>408</v>
      </c>
      <c r="D561" s="83" t="str">
        <f aca="false">IFERROR(INDEX(c_Name,MATCH($C561,c_ID,0)),"غير معرّف")</f>
        <v>فهد الغامدي</v>
      </c>
      <c r="E561" s="83" t="str">
        <f aca="false">IFERROR(INDEX(c_Region,MATCH($C561,c_ID,0)),"غير معرّف")</f>
        <v>الغربية</v>
      </c>
      <c r="F561" s="81" t="s">
        <v>186</v>
      </c>
      <c r="G561" s="83" t="str">
        <f aca="false">IFERROR(INDEX(p_Name,MATCH($F561,p_ID,0)),"غير معرّف")</f>
        <v>مجفف شعر</v>
      </c>
      <c r="H561" s="83" t="str">
        <f aca="false">IFERROR(INDEX(p_Cat,MATCH($F561,p_ID,0)),"غير معرّف")</f>
        <v>عناية شخصية</v>
      </c>
      <c r="I561" s="81" t="s">
        <v>452</v>
      </c>
      <c r="J561" s="81" t="s">
        <v>91</v>
      </c>
      <c r="K561" s="81" t="n">
        <v>1</v>
      </c>
      <c r="L561" s="84" t="n">
        <f aca="false">IFERROR(INDEX(p_Price,MATCH($F561,p_ID,0)),0)</f>
        <v>280</v>
      </c>
      <c r="M561" s="85" t="n">
        <v>0.1</v>
      </c>
      <c r="N561" s="81" t="s">
        <v>644</v>
      </c>
      <c r="O561" s="84" t="n">
        <f aca="false">IF($N561="مرتجع",0,K561*L561*(1-M561))</f>
        <v>252</v>
      </c>
      <c r="P561" s="84" t="n">
        <f aca="false">IF($N561="مرتجع",0,K561*IFERROR(INDEX(p_Cost,MATCH($F561,p_ID,0)),0))</f>
        <v>140</v>
      </c>
      <c r="Q561" s="84" t="n">
        <f aca="false">O561-P561</f>
        <v>112</v>
      </c>
      <c r="R561" s="86" t="n">
        <f aca="false">DATE(YEAR(B561),MONTH(B561),1)</f>
        <v>46023</v>
      </c>
      <c r="S561" s="83" t="str">
        <f aca="false">YEAR(B561)&amp;"-Q"&amp;ROUNDUP(MONTH(B561)/3,0)</f>
        <v>2026-Q1</v>
      </c>
      <c r="T561" s="87" t="n">
        <f aca="false">IF(O561&gt;0,Q561/O561,"")</f>
        <v>0.444444444444444</v>
      </c>
      <c r="U561" s="84" t="n">
        <f aca="false">IF(O561&gt;0,O561,"")</f>
        <v>252</v>
      </c>
    </row>
    <row r="562" customFormat="false" ht="15" hidden="false" customHeight="false" outlineLevel="0" collapsed="false">
      <c r="A562" s="81" t="s">
        <v>1205</v>
      </c>
      <c r="B562" s="82" t="n">
        <v>46053</v>
      </c>
      <c r="C562" s="81" t="s">
        <v>246</v>
      </c>
      <c r="D562" s="83" t="str">
        <f aca="false">IFERROR(INDEX(c_Name,MATCH($C562,c_ID,0)),"غير معرّف")</f>
        <v>ياسر العتيبي</v>
      </c>
      <c r="E562" s="83" t="str">
        <f aca="false">IFERROR(INDEX(c_Region,MATCH($C562,c_ID,0)),"غير معرّف")</f>
        <v>الجنوبية</v>
      </c>
      <c r="F562" s="81" t="s">
        <v>177</v>
      </c>
      <c r="G562" s="83" t="str">
        <f aca="false">IFERROR(INDEX(p_Name,MATCH($F562,p_ID,0)),"غير معرّف")</f>
        <v>ورق A4 (صندوق)</v>
      </c>
      <c r="H562" s="83" t="str">
        <f aca="false">IFERROR(INDEX(p_Cat,MATCH($F562,p_ID,0)),"غير معرّف")</f>
        <v>مستلزمات مكتبية</v>
      </c>
      <c r="I562" s="81" t="s">
        <v>467</v>
      </c>
      <c r="J562" s="81" t="s">
        <v>93</v>
      </c>
      <c r="K562" s="81" t="n">
        <v>1</v>
      </c>
      <c r="L562" s="84" t="n">
        <f aca="false">IFERROR(INDEX(p_Price,MATCH($F562,p_ID,0)),0)</f>
        <v>140</v>
      </c>
      <c r="M562" s="85" t="n">
        <v>0.05</v>
      </c>
      <c r="N562" s="81" t="s">
        <v>644</v>
      </c>
      <c r="O562" s="84" t="n">
        <f aca="false">IF($N562="مرتجع",0,K562*L562*(1-M562))</f>
        <v>133</v>
      </c>
      <c r="P562" s="84" t="n">
        <f aca="false">IF($N562="مرتجع",0,K562*IFERROR(INDEX(p_Cost,MATCH($F562,p_ID,0)),0))</f>
        <v>95</v>
      </c>
      <c r="Q562" s="84" t="n">
        <f aca="false">O562-P562</f>
        <v>38</v>
      </c>
      <c r="R562" s="86" t="n">
        <f aca="false">DATE(YEAR(B562),MONTH(B562),1)</f>
        <v>46023</v>
      </c>
      <c r="S562" s="83" t="str">
        <f aca="false">YEAR(B562)&amp;"-Q"&amp;ROUNDUP(MONTH(B562)/3,0)</f>
        <v>2026-Q1</v>
      </c>
      <c r="T562" s="87" t="n">
        <f aca="false">IF(O562&gt;0,Q562/O562,"")</f>
        <v>0.285714285714286</v>
      </c>
      <c r="U562" s="84" t="n">
        <f aca="false">IF(O562&gt;0,O562,"")</f>
        <v>133</v>
      </c>
    </row>
    <row r="563" customFormat="false" ht="15" hidden="false" customHeight="false" outlineLevel="0" collapsed="false">
      <c r="A563" s="81" t="s">
        <v>1206</v>
      </c>
      <c r="B563" s="82" t="n">
        <v>46054</v>
      </c>
      <c r="C563" s="81" t="s">
        <v>396</v>
      </c>
      <c r="D563" s="83" t="str">
        <f aca="false">IFERROR(INDEX(c_Name,MATCH($C563,c_ID,0)),"غير معرّف")</f>
        <v>ناصر الدوسري</v>
      </c>
      <c r="E563" s="83" t="str">
        <f aca="false">IFERROR(INDEX(c_Region,MATCH($C563,c_ID,0)),"غير معرّف")</f>
        <v>الشرقية</v>
      </c>
      <c r="F563" s="81" t="s">
        <v>187</v>
      </c>
      <c r="G563" s="83" t="str">
        <f aca="false">IFERROR(INDEX(p_Name,MATCH($F563,p_ID,0)),"غير معرّف")</f>
        <v>جهاز تدليك</v>
      </c>
      <c r="H563" s="83" t="str">
        <f aca="false">IFERROR(INDEX(p_Cat,MATCH($F563,p_ID,0)),"غير معرّف")</f>
        <v>عناية شخصية</v>
      </c>
      <c r="I563" s="81" t="s">
        <v>463</v>
      </c>
      <c r="J563" s="81" t="s">
        <v>93</v>
      </c>
      <c r="K563" s="81" t="n">
        <v>2</v>
      </c>
      <c r="L563" s="84" t="n">
        <f aca="false">IFERROR(INDEX(p_Price,MATCH($F563,p_ID,0)),0)</f>
        <v>600</v>
      </c>
      <c r="M563" s="85" t="n">
        <v>0.2</v>
      </c>
      <c r="N563" s="81" t="s">
        <v>644</v>
      </c>
      <c r="O563" s="84" t="n">
        <f aca="false">IF($N563="مرتجع",0,K563*L563*(1-M563))</f>
        <v>960</v>
      </c>
      <c r="P563" s="84" t="n">
        <f aca="false">IF($N563="مرتجع",0,K563*IFERROR(INDEX(p_Cost,MATCH($F563,p_ID,0)),0))</f>
        <v>660</v>
      </c>
      <c r="Q563" s="84" t="n">
        <f aca="false">O563-P563</f>
        <v>300</v>
      </c>
      <c r="R563" s="86" t="n">
        <f aca="false">DATE(YEAR(B563),MONTH(B563),1)</f>
        <v>46054</v>
      </c>
      <c r="S563" s="83" t="str">
        <f aca="false">YEAR(B563)&amp;"-Q"&amp;ROUNDUP(MONTH(B563)/3,0)</f>
        <v>2026-Q1</v>
      </c>
      <c r="T563" s="87" t="n">
        <f aca="false">IF(O563&gt;0,Q563/O563,"")</f>
        <v>0.3125</v>
      </c>
      <c r="U563" s="84" t="n">
        <f aca="false">IF(O563&gt;0,O563,"")</f>
        <v>960</v>
      </c>
    </row>
    <row r="564" customFormat="false" ht="15" hidden="false" customHeight="false" outlineLevel="0" collapsed="false">
      <c r="A564" s="81" t="s">
        <v>1207</v>
      </c>
      <c r="B564" s="82" t="n">
        <v>46054</v>
      </c>
      <c r="C564" s="81" t="s">
        <v>266</v>
      </c>
      <c r="D564" s="83" t="str">
        <f aca="false">IFERROR(INDEX(c_Name,MATCH($C564,c_ID,0)),"غير معرّف")</f>
        <v>ياسر الشهري</v>
      </c>
      <c r="E564" s="83" t="str">
        <f aca="false">IFERROR(INDEX(c_Region,MATCH($C564,c_ID,0)),"غير معرّف")</f>
        <v>الوسطى</v>
      </c>
      <c r="F564" s="81" t="s">
        <v>183</v>
      </c>
      <c r="G564" s="83" t="str">
        <f aca="false">IFERROR(INDEX(p_Name,MATCH($F564,p_ID,0)),"غير معرّف")</f>
        <v>سجادة يوغا</v>
      </c>
      <c r="H564" s="83" t="str">
        <f aca="false">IFERROR(INDEX(p_Cat,MATCH($F564,p_ID,0)),"غير معرّف")</f>
        <v>رياضة</v>
      </c>
      <c r="I564" s="81" t="s">
        <v>446</v>
      </c>
      <c r="J564" s="81" t="s">
        <v>93</v>
      </c>
      <c r="K564" s="81" t="n">
        <v>1</v>
      </c>
      <c r="L564" s="84" t="n">
        <f aca="false">IFERROR(INDEX(p_Price,MATCH($F564,p_ID,0)),0)</f>
        <v>120</v>
      </c>
      <c r="M564" s="85" t="n">
        <v>0</v>
      </c>
      <c r="N564" s="81" t="s">
        <v>644</v>
      </c>
      <c r="O564" s="84" t="n">
        <f aca="false">IF($N564="مرتجع",0,K564*L564*(1-M564))</f>
        <v>120</v>
      </c>
      <c r="P564" s="84" t="n">
        <f aca="false">IF($N564="مرتجع",0,K564*IFERROR(INDEX(p_Cost,MATCH($F564,p_ID,0)),0))</f>
        <v>50</v>
      </c>
      <c r="Q564" s="84" t="n">
        <f aca="false">O564-P564</f>
        <v>70</v>
      </c>
      <c r="R564" s="86" t="n">
        <f aca="false">DATE(YEAR(B564),MONTH(B564),1)</f>
        <v>46054</v>
      </c>
      <c r="S564" s="83" t="str">
        <f aca="false">YEAR(B564)&amp;"-Q"&amp;ROUNDUP(MONTH(B564)/3,0)</f>
        <v>2026-Q1</v>
      </c>
      <c r="T564" s="87" t="n">
        <f aca="false">IF(O564&gt;0,Q564/O564,"")</f>
        <v>0.583333333333333</v>
      </c>
      <c r="U564" s="84" t="n">
        <f aca="false">IF(O564&gt;0,O564,"")</f>
        <v>120</v>
      </c>
    </row>
    <row r="565" customFormat="false" ht="15" hidden="false" customHeight="false" outlineLevel="0" collapsed="false">
      <c r="A565" s="81" t="s">
        <v>1208</v>
      </c>
      <c r="B565" s="82" t="n">
        <v>46055</v>
      </c>
      <c r="C565" s="81" t="s">
        <v>288</v>
      </c>
      <c r="D565" s="83" t="str">
        <f aca="false">IFERROR(INDEX(c_Name,MATCH($C565,c_ID,0)),"غير معرّف")</f>
        <v>خالد الشمري</v>
      </c>
      <c r="E565" s="83" t="str">
        <f aca="false">IFERROR(INDEX(c_Region,MATCH($C565,c_ID,0)),"غير معرّف")</f>
        <v>الجنوبية</v>
      </c>
      <c r="F565" s="81" t="s">
        <v>182</v>
      </c>
      <c r="G565" s="83" t="str">
        <f aca="false">IFERROR(INDEX(p_Name,MATCH($F565,p_ID,0)),"غير معرّف")</f>
        <v>طقم أوزان</v>
      </c>
      <c r="H565" s="83" t="str">
        <f aca="false">IFERROR(INDEX(p_Cat,MATCH($F565,p_ID,0)),"غير معرّف")</f>
        <v>رياضة</v>
      </c>
      <c r="I565" s="81" t="s">
        <v>467</v>
      </c>
      <c r="J565" s="81" t="s">
        <v>93</v>
      </c>
      <c r="K565" s="81" t="n">
        <v>2</v>
      </c>
      <c r="L565" s="84" t="n">
        <f aca="false">IFERROR(INDEX(p_Price,MATCH($F565,p_ID,0)),0)</f>
        <v>380</v>
      </c>
      <c r="M565" s="85" t="n">
        <v>0.05</v>
      </c>
      <c r="N565" s="81" t="s">
        <v>644</v>
      </c>
      <c r="O565" s="84" t="n">
        <f aca="false">IF($N565="مرتجع",0,K565*L565*(1-M565))</f>
        <v>722</v>
      </c>
      <c r="P565" s="84" t="n">
        <f aca="false">IF($N565="مرتجع",0,K565*IFERROR(INDEX(p_Cost,MATCH($F565,p_ID,0)),0))</f>
        <v>420</v>
      </c>
      <c r="Q565" s="84" t="n">
        <f aca="false">O565-P565</f>
        <v>302</v>
      </c>
      <c r="R565" s="86" t="n">
        <f aca="false">DATE(YEAR(B565),MONTH(B565),1)</f>
        <v>46054</v>
      </c>
      <c r="S565" s="83" t="str">
        <f aca="false">YEAR(B565)&amp;"-Q"&amp;ROUNDUP(MONTH(B565)/3,0)</f>
        <v>2026-Q1</v>
      </c>
      <c r="T565" s="87" t="n">
        <f aca="false">IF(O565&gt;0,Q565/O565,"")</f>
        <v>0.418282548476454</v>
      </c>
      <c r="U565" s="84" t="n">
        <f aca="false">IF(O565&gt;0,O565,"")</f>
        <v>722</v>
      </c>
    </row>
    <row r="566" customFormat="false" ht="15" hidden="false" customHeight="false" outlineLevel="0" collapsed="false">
      <c r="A566" s="81" t="s">
        <v>1209</v>
      </c>
      <c r="B566" s="82" t="n">
        <v>46056</v>
      </c>
      <c r="C566" s="81" t="s">
        <v>413</v>
      </c>
      <c r="D566" s="83" t="str">
        <f aca="false">IFERROR(INDEX(c_Name,MATCH($C566,c_ID,0)),"غير معرّف")</f>
        <v>نورة الحسيني</v>
      </c>
      <c r="E566" s="83" t="str">
        <f aca="false">IFERROR(INDEX(c_Region,MATCH($C566,c_ID,0)),"غير معرّف")</f>
        <v>الوسطى</v>
      </c>
      <c r="F566" s="81" t="s">
        <v>175</v>
      </c>
      <c r="G566" s="83" t="str">
        <f aca="false">IFERROR(INDEX(p_Name,MATCH($F566,p_ID,0)),"غير معرّف")</f>
        <v>رف كتب</v>
      </c>
      <c r="H566" s="83" t="str">
        <f aca="false">IFERROR(INDEX(p_Cat,MATCH($F566,p_ID,0)),"غير معرّف")</f>
        <v>أثاث</v>
      </c>
      <c r="I566" s="81" t="s">
        <v>449</v>
      </c>
      <c r="J566" s="81" t="s">
        <v>93</v>
      </c>
      <c r="K566" s="81" t="n">
        <v>2</v>
      </c>
      <c r="L566" s="84" t="n">
        <f aca="false">IFERROR(INDEX(p_Price,MATCH($F566,p_ID,0)),0)</f>
        <v>400</v>
      </c>
      <c r="M566" s="85" t="n">
        <v>0.05</v>
      </c>
      <c r="N566" s="81" t="s">
        <v>644</v>
      </c>
      <c r="O566" s="84" t="n">
        <f aca="false">IF($N566="مرتجع",0,K566*L566*(1-M566))</f>
        <v>760</v>
      </c>
      <c r="P566" s="84" t="n">
        <f aca="false">IF($N566="مرتجع",0,K566*IFERROR(INDEX(p_Cost,MATCH($F566,p_ID,0)),0))</f>
        <v>440</v>
      </c>
      <c r="Q566" s="84" t="n">
        <f aca="false">O566-P566</f>
        <v>320</v>
      </c>
      <c r="R566" s="86" t="n">
        <f aca="false">DATE(YEAR(B566),MONTH(B566),1)</f>
        <v>46054</v>
      </c>
      <c r="S566" s="83" t="str">
        <f aca="false">YEAR(B566)&amp;"-Q"&amp;ROUNDUP(MONTH(B566)/3,0)</f>
        <v>2026-Q1</v>
      </c>
      <c r="T566" s="87" t="n">
        <f aca="false">IF(O566&gt;0,Q566/O566,"")</f>
        <v>0.421052631578947</v>
      </c>
      <c r="U566" s="84" t="n">
        <f aca="false">IF(O566&gt;0,O566,"")</f>
        <v>760</v>
      </c>
    </row>
    <row r="567" customFormat="false" ht="15" hidden="false" customHeight="false" outlineLevel="0" collapsed="false">
      <c r="A567" s="81" t="s">
        <v>1210</v>
      </c>
      <c r="B567" s="82" t="n">
        <v>46056</v>
      </c>
      <c r="C567" s="81" t="s">
        <v>335</v>
      </c>
      <c r="D567" s="83" t="str">
        <f aca="false">IFERROR(INDEX(c_Name,MATCH($C567,c_ID,0)),"غير معرّف")</f>
        <v>نورة الحربي</v>
      </c>
      <c r="E567" s="83" t="str">
        <f aca="false">IFERROR(INDEX(c_Region,MATCH($C567,c_ID,0)),"غير معرّف")</f>
        <v>الشرقية</v>
      </c>
      <c r="F567" s="81" t="s">
        <v>176</v>
      </c>
      <c r="G567" s="83" t="str">
        <f aca="false">IFERROR(INDEX(p_Name,MATCH($F567,p_ID,0)),"غير معرّف")</f>
        <v>طابعة ليزر</v>
      </c>
      <c r="H567" s="83" t="str">
        <f aca="false">IFERROR(INDEX(p_Cat,MATCH($F567,p_ID,0)),"غير معرّف")</f>
        <v>مستلزمات مكتبية</v>
      </c>
      <c r="I567" s="81" t="s">
        <v>461</v>
      </c>
      <c r="J567" s="81" t="s">
        <v>91</v>
      </c>
      <c r="K567" s="81" t="n">
        <v>3</v>
      </c>
      <c r="L567" s="84" t="n">
        <f aca="false">IFERROR(INDEX(p_Price,MATCH($F567,p_ID,0)),0)</f>
        <v>1300</v>
      </c>
      <c r="M567" s="85" t="n">
        <v>0.15</v>
      </c>
      <c r="N567" s="81" t="s">
        <v>644</v>
      </c>
      <c r="O567" s="84" t="n">
        <f aca="false">IF($N567="مرتجع",0,K567*L567*(1-M567))</f>
        <v>3315</v>
      </c>
      <c r="P567" s="84" t="n">
        <f aca="false">IF($N567="مرتجع",0,K567*IFERROR(INDEX(p_Cost,MATCH($F567,p_ID,0)),0))</f>
        <v>2850</v>
      </c>
      <c r="Q567" s="84" t="n">
        <f aca="false">O567-P567</f>
        <v>465</v>
      </c>
      <c r="R567" s="86" t="n">
        <f aca="false">DATE(YEAR(B567),MONTH(B567),1)</f>
        <v>46054</v>
      </c>
      <c r="S567" s="83" t="str">
        <f aca="false">YEAR(B567)&amp;"-Q"&amp;ROUNDUP(MONTH(B567)/3,0)</f>
        <v>2026-Q1</v>
      </c>
      <c r="T567" s="87" t="n">
        <f aca="false">IF(O567&gt;0,Q567/O567,"")</f>
        <v>0.14027149321267</v>
      </c>
      <c r="U567" s="84" t="n">
        <f aca="false">IF(O567&gt;0,O567,"")</f>
        <v>3315</v>
      </c>
    </row>
    <row r="568" customFormat="false" ht="15" hidden="false" customHeight="false" outlineLevel="0" collapsed="false">
      <c r="A568" s="81" t="s">
        <v>1211</v>
      </c>
      <c r="B568" s="82" t="n">
        <v>46056</v>
      </c>
      <c r="C568" s="81" t="s">
        <v>275</v>
      </c>
      <c r="D568" s="83" t="str">
        <f aca="false">IFERROR(INDEX(c_Name,MATCH($C568,c_ID,0)),"غير معرّف")</f>
        <v>طارق البلوي</v>
      </c>
      <c r="E568" s="83" t="str">
        <f aca="false">IFERROR(INDEX(c_Region,MATCH($C568,c_ID,0)),"غير معرّف")</f>
        <v>الشرقية</v>
      </c>
      <c r="F568" s="81" t="s">
        <v>186</v>
      </c>
      <c r="G568" s="83" t="str">
        <f aca="false">IFERROR(INDEX(p_Name,MATCH($F568,p_ID,0)),"غير معرّف")</f>
        <v>مجفف شعر</v>
      </c>
      <c r="H568" s="83" t="str">
        <f aca="false">IFERROR(INDEX(p_Cat,MATCH($F568,p_ID,0)),"غير معرّف")</f>
        <v>عناية شخصية</v>
      </c>
      <c r="I568" s="81" t="s">
        <v>463</v>
      </c>
      <c r="J568" s="81" t="s">
        <v>93</v>
      </c>
      <c r="K568" s="81" t="n">
        <v>1</v>
      </c>
      <c r="L568" s="84" t="n">
        <f aca="false">IFERROR(INDEX(p_Price,MATCH($F568,p_ID,0)),0)</f>
        <v>280</v>
      </c>
      <c r="M568" s="85" t="n">
        <v>0</v>
      </c>
      <c r="N568" s="81" t="s">
        <v>644</v>
      </c>
      <c r="O568" s="84" t="n">
        <f aca="false">IF($N568="مرتجع",0,K568*L568*(1-M568))</f>
        <v>280</v>
      </c>
      <c r="P568" s="84" t="n">
        <f aca="false">IF($N568="مرتجع",0,K568*IFERROR(INDEX(p_Cost,MATCH($F568,p_ID,0)),0))</f>
        <v>140</v>
      </c>
      <c r="Q568" s="84" t="n">
        <f aca="false">O568-P568</f>
        <v>140</v>
      </c>
      <c r="R568" s="86" t="n">
        <f aca="false">DATE(YEAR(B568),MONTH(B568),1)</f>
        <v>46054</v>
      </c>
      <c r="S568" s="83" t="str">
        <f aca="false">YEAR(B568)&amp;"-Q"&amp;ROUNDUP(MONTH(B568)/3,0)</f>
        <v>2026-Q1</v>
      </c>
      <c r="T568" s="87" t="n">
        <f aca="false">IF(O568&gt;0,Q568/O568,"")</f>
        <v>0.5</v>
      </c>
      <c r="U568" s="84" t="n">
        <f aca="false">IF(O568&gt;0,O568,"")</f>
        <v>280</v>
      </c>
    </row>
    <row r="569" customFormat="false" ht="15" hidden="false" customHeight="false" outlineLevel="0" collapsed="false">
      <c r="A569" s="81" t="s">
        <v>1212</v>
      </c>
      <c r="B569" s="82" t="n">
        <v>46057</v>
      </c>
      <c r="C569" s="81" t="s">
        <v>334</v>
      </c>
      <c r="D569" s="83" t="str">
        <f aca="false">IFERROR(INDEX(c_Name,MATCH($C569,c_ID,0)),"غير معرّف")</f>
        <v>ناصر الغامدي</v>
      </c>
      <c r="E569" s="83" t="str">
        <f aca="false">IFERROR(INDEX(c_Region,MATCH($C569,c_ID,0)),"غير معرّف")</f>
        <v>الغربية</v>
      </c>
      <c r="F569" s="81" t="s">
        <v>167</v>
      </c>
      <c r="G569" s="83" t="str">
        <f aca="false">IFERROR(INDEX(p_Name,MATCH($F569,p_ID,0)),"غير معرّف")</f>
        <v>شاشة 27 بوصة</v>
      </c>
      <c r="H569" s="83" t="str">
        <f aca="false">IFERROR(INDEX(p_Cat,MATCH($F569,p_ID,0)),"غير معرّف")</f>
        <v>إلكترونيات</v>
      </c>
      <c r="I569" s="81" t="s">
        <v>452</v>
      </c>
      <c r="J569" s="81" t="s">
        <v>93</v>
      </c>
      <c r="K569" s="81" t="n">
        <v>1</v>
      </c>
      <c r="L569" s="84" t="n">
        <f aca="false">IFERROR(INDEX(p_Price,MATCH($F569,p_ID,0)),0)</f>
        <v>1100</v>
      </c>
      <c r="M569" s="85" t="n">
        <v>0</v>
      </c>
      <c r="N569" s="81" t="s">
        <v>644</v>
      </c>
      <c r="O569" s="84" t="n">
        <f aca="false">IF($N569="مرتجع",0,K569*L569*(1-M569))</f>
        <v>1100</v>
      </c>
      <c r="P569" s="84" t="n">
        <f aca="false">IF($N569="مرتجع",0,K569*IFERROR(INDEX(p_Cost,MATCH($F569,p_ID,0)),0))</f>
        <v>780</v>
      </c>
      <c r="Q569" s="84" t="n">
        <f aca="false">O569-P569</f>
        <v>320</v>
      </c>
      <c r="R569" s="86" t="n">
        <f aca="false">DATE(YEAR(B569),MONTH(B569),1)</f>
        <v>46054</v>
      </c>
      <c r="S569" s="83" t="str">
        <f aca="false">YEAR(B569)&amp;"-Q"&amp;ROUNDUP(MONTH(B569)/3,0)</f>
        <v>2026-Q1</v>
      </c>
      <c r="T569" s="87" t="n">
        <f aca="false">IF(O569&gt;0,Q569/O569,"")</f>
        <v>0.290909090909091</v>
      </c>
      <c r="U569" s="84" t="n">
        <f aca="false">IF(O569&gt;0,O569,"")</f>
        <v>1100</v>
      </c>
    </row>
    <row r="570" customFormat="false" ht="15" hidden="false" customHeight="false" outlineLevel="0" collapsed="false">
      <c r="A570" s="81" t="s">
        <v>1213</v>
      </c>
      <c r="B570" s="82" t="n">
        <v>46057</v>
      </c>
      <c r="C570" s="81" t="s">
        <v>335</v>
      </c>
      <c r="D570" s="83" t="str">
        <f aca="false">IFERROR(INDEX(c_Name,MATCH($C570,c_ID,0)),"غير معرّف")</f>
        <v>نورة الحربي</v>
      </c>
      <c r="E570" s="83" t="str">
        <f aca="false">IFERROR(INDEX(c_Region,MATCH($C570,c_ID,0)),"غير معرّف")</f>
        <v>الشرقية</v>
      </c>
      <c r="F570" s="81" t="s">
        <v>167</v>
      </c>
      <c r="G570" s="83" t="str">
        <f aca="false">IFERROR(INDEX(p_Name,MATCH($F570,p_ID,0)),"غير معرّف")</f>
        <v>شاشة 27 بوصة</v>
      </c>
      <c r="H570" s="83" t="str">
        <f aca="false">IFERROR(INDEX(p_Cat,MATCH($F570,p_ID,0)),"غير معرّف")</f>
        <v>إلكترونيات</v>
      </c>
      <c r="I570" s="81" t="s">
        <v>463</v>
      </c>
      <c r="J570" s="81" t="s">
        <v>91</v>
      </c>
      <c r="K570" s="81" t="n">
        <v>3</v>
      </c>
      <c r="L570" s="84" t="n">
        <f aca="false">IFERROR(INDEX(p_Price,MATCH($F570,p_ID,0)),0)</f>
        <v>1100</v>
      </c>
      <c r="M570" s="85" t="n">
        <v>0.05</v>
      </c>
      <c r="N570" s="81" t="s">
        <v>644</v>
      </c>
      <c r="O570" s="84" t="n">
        <f aca="false">IF($N570="مرتجع",0,K570*L570*(1-M570))</f>
        <v>3135</v>
      </c>
      <c r="P570" s="84" t="n">
        <f aca="false">IF($N570="مرتجع",0,K570*IFERROR(INDEX(p_Cost,MATCH($F570,p_ID,0)),0))</f>
        <v>2340</v>
      </c>
      <c r="Q570" s="84" t="n">
        <f aca="false">O570-P570</f>
        <v>795</v>
      </c>
      <c r="R570" s="86" t="n">
        <f aca="false">DATE(YEAR(B570),MONTH(B570),1)</f>
        <v>46054</v>
      </c>
      <c r="S570" s="83" t="str">
        <f aca="false">YEAR(B570)&amp;"-Q"&amp;ROUNDUP(MONTH(B570)/3,0)</f>
        <v>2026-Q1</v>
      </c>
      <c r="T570" s="87" t="n">
        <f aca="false">IF(O570&gt;0,Q570/O570,"")</f>
        <v>0.253588516746412</v>
      </c>
      <c r="U570" s="84" t="n">
        <f aca="false">IF(O570&gt;0,O570,"")</f>
        <v>3135</v>
      </c>
    </row>
    <row r="571" customFormat="false" ht="15" hidden="false" customHeight="false" outlineLevel="0" collapsed="false">
      <c r="A571" s="81" t="s">
        <v>1214</v>
      </c>
      <c r="B571" s="82" t="n">
        <v>46057</v>
      </c>
      <c r="C571" s="81" t="s">
        <v>379</v>
      </c>
      <c r="D571" s="83" t="str">
        <f aca="false">IFERROR(INDEX(c_Name,MATCH($C571,c_ID,0)),"غير معرّف")</f>
        <v>ناصر العنزي</v>
      </c>
      <c r="E571" s="83" t="str">
        <f aca="false">IFERROR(INDEX(c_Region,MATCH($C571,c_ID,0)),"غير معرّف")</f>
        <v>الغربية</v>
      </c>
      <c r="F571" s="81" t="s">
        <v>168</v>
      </c>
      <c r="G571" s="83" t="str">
        <f aca="false">IFERROR(INDEX(p_Name,MATCH($F571,p_ID,0)),"غير معرّف")</f>
        <v>مكنسة كهربائية</v>
      </c>
      <c r="H571" s="83" t="str">
        <f aca="false">IFERROR(INDEX(p_Cat,MATCH($F571,p_ID,0)),"غير معرّف")</f>
        <v>أجهزة منزلية</v>
      </c>
      <c r="I571" s="81" t="s">
        <v>455</v>
      </c>
      <c r="J571" s="81" t="s">
        <v>93</v>
      </c>
      <c r="K571" s="81" t="n">
        <v>2</v>
      </c>
      <c r="L571" s="84" t="n">
        <f aca="false">IFERROR(INDEX(p_Price,MATCH($F571,p_ID,0)),0)</f>
        <v>650</v>
      </c>
      <c r="M571" s="85" t="n">
        <v>0.2</v>
      </c>
      <c r="N571" s="81" t="s">
        <v>644</v>
      </c>
      <c r="O571" s="84" t="n">
        <f aca="false">IF($N571="مرتجع",0,K571*L571*(1-M571))</f>
        <v>1040</v>
      </c>
      <c r="P571" s="84" t="n">
        <f aca="false">IF($N571="مرتجع",0,K571*IFERROR(INDEX(p_Cost,MATCH($F571,p_ID,0)),0))</f>
        <v>840</v>
      </c>
      <c r="Q571" s="84" t="n">
        <f aca="false">O571-P571</f>
        <v>200</v>
      </c>
      <c r="R571" s="86" t="n">
        <f aca="false">DATE(YEAR(B571),MONTH(B571),1)</f>
        <v>46054</v>
      </c>
      <c r="S571" s="83" t="str">
        <f aca="false">YEAR(B571)&amp;"-Q"&amp;ROUNDUP(MONTH(B571)/3,0)</f>
        <v>2026-Q1</v>
      </c>
      <c r="T571" s="87" t="n">
        <f aca="false">IF(O571&gt;0,Q571/O571,"")</f>
        <v>0.192307692307692</v>
      </c>
      <c r="U571" s="84" t="n">
        <f aca="false">IF(O571&gt;0,O571,"")</f>
        <v>1040</v>
      </c>
    </row>
    <row r="572" customFormat="false" ht="15" hidden="false" customHeight="false" outlineLevel="0" collapsed="false">
      <c r="A572" s="81" t="s">
        <v>1215</v>
      </c>
      <c r="B572" s="82" t="n">
        <v>46057</v>
      </c>
      <c r="C572" s="81" t="s">
        <v>295</v>
      </c>
      <c r="D572" s="83" t="str">
        <f aca="false">IFERROR(INDEX(c_Name,MATCH($C572,c_ID,0)),"غير معرّف")</f>
        <v>عبير الزهراني</v>
      </c>
      <c r="E572" s="83" t="str">
        <f aca="false">IFERROR(INDEX(c_Region,MATCH($C572,c_ID,0)),"غير معرّف")</f>
        <v>الوسطى</v>
      </c>
      <c r="F572" s="81" t="s">
        <v>178</v>
      </c>
      <c r="G572" s="83" t="str">
        <f aca="false">IFERROR(INDEX(p_Name,MATCH($F572,p_ID,0)),"غير معرّف")</f>
        <v>حقيبة لابتوب</v>
      </c>
      <c r="H572" s="83" t="str">
        <f aca="false">IFERROR(INDEX(p_Cat,MATCH($F572,p_ID,0)),"غير معرّف")</f>
        <v>مستلزمات مكتبية</v>
      </c>
      <c r="I572" s="81" t="s">
        <v>446</v>
      </c>
      <c r="J572" s="81" t="s">
        <v>93</v>
      </c>
      <c r="K572" s="81" t="n">
        <v>8</v>
      </c>
      <c r="L572" s="84" t="n">
        <f aca="false">IFERROR(INDEX(p_Price,MATCH($F572,p_ID,0)),0)</f>
        <v>260</v>
      </c>
      <c r="M572" s="85" t="n">
        <v>0.1</v>
      </c>
      <c r="N572" s="81" t="s">
        <v>644</v>
      </c>
      <c r="O572" s="84" t="n">
        <f aca="false">IF($N572="مرتجع",0,K572*L572*(1-M572))</f>
        <v>1872</v>
      </c>
      <c r="P572" s="84" t="n">
        <f aca="false">IF($N572="مرتجع",0,K572*IFERROR(INDEX(p_Cost,MATCH($F572,p_ID,0)),0))</f>
        <v>960</v>
      </c>
      <c r="Q572" s="84" t="n">
        <f aca="false">O572-P572</f>
        <v>912</v>
      </c>
      <c r="R572" s="86" t="n">
        <f aca="false">DATE(YEAR(B572),MONTH(B572),1)</f>
        <v>46054</v>
      </c>
      <c r="S572" s="83" t="str">
        <f aca="false">YEAR(B572)&amp;"-Q"&amp;ROUNDUP(MONTH(B572)/3,0)</f>
        <v>2026-Q1</v>
      </c>
      <c r="T572" s="87" t="n">
        <f aca="false">IF(O572&gt;0,Q572/O572,"")</f>
        <v>0.487179487179487</v>
      </c>
      <c r="U572" s="84" t="n">
        <f aca="false">IF(O572&gt;0,O572,"")</f>
        <v>1872</v>
      </c>
    </row>
    <row r="573" customFormat="false" ht="15" hidden="false" customHeight="false" outlineLevel="0" collapsed="false">
      <c r="A573" s="81" t="s">
        <v>1216</v>
      </c>
      <c r="B573" s="82" t="n">
        <v>46057</v>
      </c>
      <c r="C573" s="81" t="s">
        <v>355</v>
      </c>
      <c r="D573" s="83" t="str">
        <f aca="false">IFERROR(INDEX(c_Name,MATCH($C573,c_ID,0)),"غير معرّف")</f>
        <v>جود القحطاني</v>
      </c>
      <c r="E573" s="83" t="str">
        <f aca="false">IFERROR(INDEX(c_Region,MATCH($C573,c_ID,0)),"غير معرّف")</f>
        <v>الجنوبية</v>
      </c>
      <c r="F573" s="81" t="s">
        <v>169</v>
      </c>
      <c r="G573" s="83" t="str">
        <f aca="false">IFERROR(INDEX(p_Name,MATCH($F573,p_ID,0)),"غير معرّف")</f>
        <v>خلاط</v>
      </c>
      <c r="H573" s="83" t="str">
        <f aca="false">IFERROR(INDEX(p_Cat,MATCH($F573,p_ID,0)),"غير معرّف")</f>
        <v>أجهزة منزلية</v>
      </c>
      <c r="I573" s="81" t="s">
        <v>465</v>
      </c>
      <c r="J573" s="81" t="s">
        <v>95</v>
      </c>
      <c r="K573" s="81" t="n">
        <v>2</v>
      </c>
      <c r="L573" s="84" t="n">
        <f aca="false">IFERROR(INDEX(p_Price,MATCH($F573,p_ID,0)),0)</f>
        <v>300</v>
      </c>
      <c r="M573" s="85" t="n">
        <v>0.15</v>
      </c>
      <c r="N573" s="81" t="s">
        <v>644</v>
      </c>
      <c r="O573" s="84" t="n">
        <f aca="false">IF($N573="مرتجع",0,K573*L573*(1-M573))</f>
        <v>510</v>
      </c>
      <c r="P573" s="84" t="n">
        <f aca="false">IF($N573="مرتجع",0,K573*IFERROR(INDEX(p_Cost,MATCH($F573,p_ID,0)),0))</f>
        <v>350</v>
      </c>
      <c r="Q573" s="84" t="n">
        <f aca="false">O573-P573</f>
        <v>160</v>
      </c>
      <c r="R573" s="86" t="n">
        <f aca="false">DATE(YEAR(B573),MONTH(B573),1)</f>
        <v>46054</v>
      </c>
      <c r="S573" s="83" t="str">
        <f aca="false">YEAR(B573)&amp;"-Q"&amp;ROUNDUP(MONTH(B573)/3,0)</f>
        <v>2026-Q1</v>
      </c>
      <c r="T573" s="87" t="n">
        <f aca="false">IF(O573&gt;0,Q573/O573,"")</f>
        <v>0.313725490196078</v>
      </c>
      <c r="U573" s="84" t="n">
        <f aca="false">IF(O573&gt;0,O573,"")</f>
        <v>510</v>
      </c>
    </row>
    <row r="574" customFormat="false" ht="15" hidden="false" customHeight="false" outlineLevel="0" collapsed="false">
      <c r="A574" s="81" t="s">
        <v>1217</v>
      </c>
      <c r="B574" s="82" t="n">
        <v>46057</v>
      </c>
      <c r="C574" s="81" t="s">
        <v>400</v>
      </c>
      <c r="D574" s="83" t="str">
        <f aca="false">IFERROR(INDEX(c_Name,MATCH($C574,c_ID,0)),"غير معرّف")</f>
        <v>عبير الشهري</v>
      </c>
      <c r="E574" s="83" t="str">
        <f aca="false">IFERROR(INDEX(c_Region,MATCH($C574,c_ID,0)),"غير معرّف")</f>
        <v>الوسطى</v>
      </c>
      <c r="F574" s="81" t="s">
        <v>183</v>
      </c>
      <c r="G574" s="83" t="str">
        <f aca="false">IFERROR(INDEX(p_Name,MATCH($F574,p_ID,0)),"غير معرّف")</f>
        <v>سجادة يوغا</v>
      </c>
      <c r="H574" s="83" t="str">
        <f aca="false">IFERROR(INDEX(p_Cat,MATCH($F574,p_ID,0)),"غير معرّف")</f>
        <v>رياضة</v>
      </c>
      <c r="I574" s="81" t="s">
        <v>443</v>
      </c>
      <c r="J574" s="81" t="s">
        <v>91</v>
      </c>
      <c r="K574" s="81" t="n">
        <v>1</v>
      </c>
      <c r="L574" s="84" t="n">
        <f aca="false">IFERROR(INDEX(p_Price,MATCH($F574,p_ID,0)),0)</f>
        <v>120</v>
      </c>
      <c r="M574" s="85" t="n">
        <v>0.05</v>
      </c>
      <c r="N574" s="81" t="s">
        <v>644</v>
      </c>
      <c r="O574" s="84" t="n">
        <f aca="false">IF($N574="مرتجع",0,K574*L574*(1-M574))</f>
        <v>114</v>
      </c>
      <c r="P574" s="84" t="n">
        <f aca="false">IF($N574="مرتجع",0,K574*IFERROR(INDEX(p_Cost,MATCH($F574,p_ID,0)),0))</f>
        <v>50</v>
      </c>
      <c r="Q574" s="84" t="n">
        <f aca="false">O574-P574</f>
        <v>64</v>
      </c>
      <c r="R574" s="86" t="n">
        <f aca="false">DATE(YEAR(B574),MONTH(B574),1)</f>
        <v>46054</v>
      </c>
      <c r="S574" s="83" t="str">
        <f aca="false">YEAR(B574)&amp;"-Q"&amp;ROUNDUP(MONTH(B574)/3,0)</f>
        <v>2026-Q1</v>
      </c>
      <c r="T574" s="87" t="n">
        <f aca="false">IF(O574&gt;0,Q574/O574,"")</f>
        <v>0.56140350877193</v>
      </c>
      <c r="U574" s="84" t="n">
        <f aca="false">IF(O574&gt;0,O574,"")</f>
        <v>114</v>
      </c>
    </row>
    <row r="575" customFormat="false" ht="15" hidden="false" customHeight="false" outlineLevel="0" collapsed="false">
      <c r="A575" s="81" t="s">
        <v>1218</v>
      </c>
      <c r="B575" s="82" t="n">
        <v>46057</v>
      </c>
      <c r="C575" s="81" t="s">
        <v>266</v>
      </c>
      <c r="D575" s="83" t="str">
        <f aca="false">IFERROR(INDEX(c_Name,MATCH($C575,c_ID,0)),"غير معرّف")</f>
        <v>ياسر الشهري</v>
      </c>
      <c r="E575" s="83" t="str">
        <f aca="false">IFERROR(INDEX(c_Region,MATCH($C575,c_ID,0)),"غير معرّف")</f>
        <v>الوسطى</v>
      </c>
      <c r="F575" s="81" t="s">
        <v>178</v>
      </c>
      <c r="G575" s="83" t="str">
        <f aca="false">IFERROR(INDEX(p_Name,MATCH($F575,p_ID,0)),"غير معرّف")</f>
        <v>حقيبة لابتوب</v>
      </c>
      <c r="H575" s="83" t="str">
        <f aca="false">IFERROR(INDEX(p_Cat,MATCH($F575,p_ID,0)),"غير معرّف")</f>
        <v>مستلزمات مكتبية</v>
      </c>
      <c r="I575" s="81" t="s">
        <v>446</v>
      </c>
      <c r="J575" s="81" t="s">
        <v>91</v>
      </c>
      <c r="K575" s="81" t="n">
        <v>2</v>
      </c>
      <c r="L575" s="84" t="n">
        <f aca="false">IFERROR(INDEX(p_Price,MATCH($F575,p_ID,0)),0)</f>
        <v>260</v>
      </c>
      <c r="M575" s="85" t="n">
        <v>0.1</v>
      </c>
      <c r="N575" s="81" t="s">
        <v>644</v>
      </c>
      <c r="O575" s="84" t="n">
        <f aca="false">IF($N575="مرتجع",0,K575*L575*(1-M575))</f>
        <v>468</v>
      </c>
      <c r="P575" s="84" t="n">
        <f aca="false">IF($N575="مرتجع",0,K575*IFERROR(INDEX(p_Cost,MATCH($F575,p_ID,0)),0))</f>
        <v>240</v>
      </c>
      <c r="Q575" s="84" t="n">
        <f aca="false">O575-P575</f>
        <v>228</v>
      </c>
      <c r="R575" s="86" t="n">
        <f aca="false">DATE(YEAR(B575),MONTH(B575),1)</f>
        <v>46054</v>
      </c>
      <c r="S575" s="83" t="str">
        <f aca="false">YEAR(B575)&amp;"-Q"&amp;ROUNDUP(MONTH(B575)/3,0)</f>
        <v>2026-Q1</v>
      </c>
      <c r="T575" s="87" t="n">
        <f aca="false">IF(O575&gt;0,Q575/O575,"")</f>
        <v>0.487179487179487</v>
      </c>
      <c r="U575" s="84" t="n">
        <f aca="false">IF(O575&gt;0,O575,"")</f>
        <v>468</v>
      </c>
    </row>
    <row r="576" customFormat="false" ht="15" hidden="false" customHeight="false" outlineLevel="0" collapsed="false">
      <c r="A576" s="81" t="s">
        <v>1219</v>
      </c>
      <c r="B576" s="82" t="n">
        <v>46058</v>
      </c>
      <c r="C576" s="81" t="s">
        <v>333</v>
      </c>
      <c r="D576" s="83" t="str">
        <f aca="false">IFERROR(INDEX(c_Name,MATCH($C576,c_ID,0)),"غير معرّف")</f>
        <v>جود الحربي</v>
      </c>
      <c r="E576" s="83" t="str">
        <f aca="false">IFERROR(INDEX(c_Region,MATCH($C576,c_ID,0)),"غير معرّف")</f>
        <v>الوسطى</v>
      </c>
      <c r="F576" s="81" t="s">
        <v>173</v>
      </c>
      <c r="G576" s="83" t="str">
        <f aca="false">IFERROR(INDEX(p_Name,MATCH($F576,p_ID,0)),"غير معرّف")</f>
        <v>كرسي مريح</v>
      </c>
      <c r="H576" s="83" t="str">
        <f aca="false">IFERROR(INDEX(p_Cat,MATCH($F576,p_ID,0)),"غير معرّف")</f>
        <v>أثاث</v>
      </c>
      <c r="I576" s="81" t="s">
        <v>446</v>
      </c>
      <c r="J576" s="81" t="s">
        <v>93</v>
      </c>
      <c r="K576" s="81" t="n">
        <v>2</v>
      </c>
      <c r="L576" s="84" t="n">
        <f aca="false">IFERROR(INDEX(p_Price,MATCH($F576,p_ID,0)),0)</f>
        <v>850</v>
      </c>
      <c r="M576" s="85" t="n">
        <v>0</v>
      </c>
      <c r="N576" s="81" t="s">
        <v>644</v>
      </c>
      <c r="O576" s="84" t="n">
        <f aca="false">IF($N576="مرتجع",0,K576*L576*(1-M576))</f>
        <v>1700</v>
      </c>
      <c r="P576" s="84" t="n">
        <f aca="false">IF($N576="مرتجع",0,K576*IFERROR(INDEX(p_Cost,MATCH($F576,p_ID,0)),0))</f>
        <v>960</v>
      </c>
      <c r="Q576" s="84" t="n">
        <f aca="false">O576-P576</f>
        <v>740</v>
      </c>
      <c r="R576" s="86" t="n">
        <f aca="false">DATE(YEAR(B576),MONTH(B576),1)</f>
        <v>46054</v>
      </c>
      <c r="S576" s="83" t="str">
        <f aca="false">YEAR(B576)&amp;"-Q"&amp;ROUNDUP(MONTH(B576)/3,0)</f>
        <v>2026-Q1</v>
      </c>
      <c r="T576" s="87" t="n">
        <f aca="false">IF(O576&gt;0,Q576/O576,"")</f>
        <v>0.435294117647059</v>
      </c>
      <c r="U576" s="84" t="n">
        <f aca="false">IF(O576&gt;0,O576,"")</f>
        <v>1700</v>
      </c>
    </row>
    <row r="577" customFormat="false" ht="15" hidden="false" customHeight="false" outlineLevel="0" collapsed="false">
      <c r="A577" s="81" t="s">
        <v>1220</v>
      </c>
      <c r="B577" s="82" t="n">
        <v>46058</v>
      </c>
      <c r="C577" s="81" t="s">
        <v>315</v>
      </c>
      <c r="D577" s="83" t="str">
        <f aca="false">IFERROR(INDEX(c_Name,MATCH($C577,c_ID,0)),"غير معرّف")</f>
        <v>أحمد الحربي</v>
      </c>
      <c r="E577" s="83" t="str">
        <f aca="false">IFERROR(INDEX(c_Region,MATCH($C577,c_ID,0)),"غير معرّف")</f>
        <v>الغربية</v>
      </c>
      <c r="F577" s="81" t="s">
        <v>167</v>
      </c>
      <c r="G577" s="83" t="str">
        <f aca="false">IFERROR(INDEX(p_Name,MATCH($F577,p_ID,0)),"غير معرّف")</f>
        <v>شاشة 27 بوصة</v>
      </c>
      <c r="H577" s="83" t="str">
        <f aca="false">IFERROR(INDEX(p_Cat,MATCH($F577,p_ID,0)),"غير معرّف")</f>
        <v>إلكترونيات</v>
      </c>
      <c r="I577" s="81" t="s">
        <v>452</v>
      </c>
      <c r="J577" s="81" t="s">
        <v>95</v>
      </c>
      <c r="K577" s="81" t="n">
        <v>13</v>
      </c>
      <c r="L577" s="84" t="n">
        <f aca="false">IFERROR(INDEX(p_Price,MATCH($F577,p_ID,0)),0)</f>
        <v>1100</v>
      </c>
      <c r="M577" s="85" t="n">
        <v>0.1</v>
      </c>
      <c r="N577" s="81" t="s">
        <v>644</v>
      </c>
      <c r="O577" s="84" t="n">
        <f aca="false">IF($N577="مرتجع",0,K577*L577*(1-M577))</f>
        <v>12870</v>
      </c>
      <c r="P577" s="84" t="n">
        <f aca="false">IF($N577="مرتجع",0,K577*IFERROR(INDEX(p_Cost,MATCH($F577,p_ID,0)),0))</f>
        <v>10140</v>
      </c>
      <c r="Q577" s="84" t="n">
        <f aca="false">O577-P577</f>
        <v>2730</v>
      </c>
      <c r="R577" s="86" t="n">
        <f aca="false">DATE(YEAR(B577),MONTH(B577),1)</f>
        <v>46054</v>
      </c>
      <c r="S577" s="83" t="str">
        <f aca="false">YEAR(B577)&amp;"-Q"&amp;ROUNDUP(MONTH(B577)/3,0)</f>
        <v>2026-Q1</v>
      </c>
      <c r="T577" s="87" t="n">
        <f aca="false">IF(O577&gt;0,Q577/O577,"")</f>
        <v>0.212121212121212</v>
      </c>
      <c r="U577" s="84" t="n">
        <f aca="false">IF(O577&gt;0,O577,"")</f>
        <v>12870</v>
      </c>
    </row>
    <row r="578" customFormat="false" ht="15" hidden="false" customHeight="false" outlineLevel="0" collapsed="false">
      <c r="A578" s="81" t="s">
        <v>1221</v>
      </c>
      <c r="B578" s="82" t="n">
        <v>46058</v>
      </c>
      <c r="C578" s="81" t="s">
        <v>375</v>
      </c>
      <c r="D578" s="83" t="str">
        <f aca="false">IFERROR(INDEX(c_Name,MATCH($C578,c_ID,0)),"غير معرّف")</f>
        <v>محمد المطيري</v>
      </c>
      <c r="E578" s="83" t="str">
        <f aca="false">IFERROR(INDEX(c_Region,MATCH($C578,c_ID,0)),"غير معرّف")</f>
        <v>الوسطى</v>
      </c>
      <c r="F578" s="81" t="s">
        <v>177</v>
      </c>
      <c r="G578" s="83" t="str">
        <f aca="false">IFERROR(INDEX(p_Name,MATCH($F578,p_ID,0)),"غير معرّف")</f>
        <v>ورق A4 (صندوق)</v>
      </c>
      <c r="H578" s="83" t="str">
        <f aca="false">IFERROR(INDEX(p_Cat,MATCH($F578,p_ID,0)),"غير معرّف")</f>
        <v>مستلزمات مكتبية</v>
      </c>
      <c r="I578" s="81" t="s">
        <v>446</v>
      </c>
      <c r="J578" s="81" t="s">
        <v>91</v>
      </c>
      <c r="K578" s="81" t="n">
        <v>3</v>
      </c>
      <c r="L578" s="84" t="n">
        <f aca="false">IFERROR(INDEX(p_Price,MATCH($F578,p_ID,0)),0)</f>
        <v>140</v>
      </c>
      <c r="M578" s="85" t="n">
        <v>0</v>
      </c>
      <c r="N578" s="81" t="s">
        <v>644</v>
      </c>
      <c r="O578" s="84" t="n">
        <f aca="false">IF($N578="مرتجع",0,K578*L578*(1-M578))</f>
        <v>420</v>
      </c>
      <c r="P578" s="84" t="n">
        <f aca="false">IF($N578="مرتجع",0,K578*IFERROR(INDEX(p_Cost,MATCH($F578,p_ID,0)),0))</f>
        <v>285</v>
      </c>
      <c r="Q578" s="84" t="n">
        <f aca="false">O578-P578</f>
        <v>135</v>
      </c>
      <c r="R578" s="86" t="n">
        <f aca="false">DATE(YEAR(B578),MONTH(B578),1)</f>
        <v>46054</v>
      </c>
      <c r="S578" s="83" t="str">
        <f aca="false">YEAR(B578)&amp;"-Q"&amp;ROUNDUP(MONTH(B578)/3,0)</f>
        <v>2026-Q1</v>
      </c>
      <c r="T578" s="87" t="n">
        <f aca="false">IF(O578&gt;0,Q578/O578,"")</f>
        <v>0.321428571428571</v>
      </c>
      <c r="U578" s="84" t="n">
        <f aca="false">IF(O578&gt;0,O578,"")</f>
        <v>420</v>
      </c>
    </row>
    <row r="579" customFormat="false" ht="15" hidden="false" customHeight="false" outlineLevel="0" collapsed="false">
      <c r="A579" s="81" t="s">
        <v>1222</v>
      </c>
      <c r="B579" s="82" t="n">
        <v>46058</v>
      </c>
      <c r="C579" s="81" t="s">
        <v>420</v>
      </c>
      <c r="D579" s="83" t="str">
        <f aca="false">IFERROR(INDEX(c_Name,MATCH($C579,c_ID,0)),"غير معرّف")</f>
        <v>عبدالله الدوسري</v>
      </c>
      <c r="E579" s="83" t="str">
        <f aca="false">IFERROR(INDEX(c_Region,MATCH($C579,c_ID,0)),"غير معرّف")</f>
        <v>الجنوبية</v>
      </c>
      <c r="F579" s="81" t="s">
        <v>178</v>
      </c>
      <c r="G579" s="83" t="str">
        <f aca="false">IFERROR(INDEX(p_Name,MATCH($F579,p_ID,0)),"غير معرّف")</f>
        <v>حقيبة لابتوب</v>
      </c>
      <c r="H579" s="83" t="str">
        <f aca="false">IFERROR(INDEX(p_Cat,MATCH($F579,p_ID,0)),"غير معرّف")</f>
        <v>مستلزمات مكتبية</v>
      </c>
      <c r="I579" s="81" t="s">
        <v>465</v>
      </c>
      <c r="J579" s="81" t="s">
        <v>91</v>
      </c>
      <c r="K579" s="81" t="n">
        <v>2</v>
      </c>
      <c r="L579" s="84" t="n">
        <f aca="false">IFERROR(INDEX(p_Price,MATCH($F579,p_ID,0)),0)</f>
        <v>260</v>
      </c>
      <c r="M579" s="85" t="n">
        <v>0</v>
      </c>
      <c r="N579" s="81" t="s">
        <v>644</v>
      </c>
      <c r="O579" s="84" t="n">
        <f aca="false">IF($N579="مرتجع",0,K579*L579*(1-M579))</f>
        <v>520</v>
      </c>
      <c r="P579" s="84" t="n">
        <f aca="false">IF($N579="مرتجع",0,K579*IFERROR(INDEX(p_Cost,MATCH($F579,p_ID,0)),0))</f>
        <v>240</v>
      </c>
      <c r="Q579" s="84" t="n">
        <f aca="false">O579-P579</f>
        <v>280</v>
      </c>
      <c r="R579" s="86" t="n">
        <f aca="false">DATE(YEAR(B579),MONTH(B579),1)</f>
        <v>46054</v>
      </c>
      <c r="S579" s="83" t="str">
        <f aca="false">YEAR(B579)&amp;"-Q"&amp;ROUNDUP(MONTH(B579)/3,0)</f>
        <v>2026-Q1</v>
      </c>
      <c r="T579" s="87" t="n">
        <f aca="false">IF(O579&gt;0,Q579/O579,"")</f>
        <v>0.538461538461538</v>
      </c>
      <c r="U579" s="84" t="n">
        <f aca="false">IF(O579&gt;0,O579,"")</f>
        <v>520</v>
      </c>
    </row>
    <row r="580" customFormat="false" ht="15" hidden="false" customHeight="false" outlineLevel="0" collapsed="false">
      <c r="A580" s="81" t="s">
        <v>1223</v>
      </c>
      <c r="B580" s="82" t="n">
        <v>46058</v>
      </c>
      <c r="C580" s="81" t="s">
        <v>402</v>
      </c>
      <c r="D580" s="83" t="str">
        <f aca="false">IFERROR(INDEX(c_Name,MATCH($C580,c_ID,0)),"غير معرّف")</f>
        <v>أحمد القحطاني</v>
      </c>
      <c r="E580" s="83" t="str">
        <f aca="false">IFERROR(INDEX(c_Region,MATCH($C580,c_ID,0)),"غير معرّف")</f>
        <v>الوسطى</v>
      </c>
      <c r="F580" s="81" t="s">
        <v>175</v>
      </c>
      <c r="G580" s="83" t="str">
        <f aca="false">IFERROR(INDEX(p_Name,MATCH($F580,p_ID,0)),"غير معرّف")</f>
        <v>رف كتب</v>
      </c>
      <c r="H580" s="83" t="str">
        <f aca="false">IFERROR(INDEX(p_Cat,MATCH($F580,p_ID,0)),"غير معرّف")</f>
        <v>أثاث</v>
      </c>
      <c r="I580" s="81" t="s">
        <v>449</v>
      </c>
      <c r="J580" s="81" t="s">
        <v>95</v>
      </c>
      <c r="K580" s="81" t="n">
        <v>10</v>
      </c>
      <c r="L580" s="84" t="n">
        <f aca="false">IFERROR(INDEX(p_Price,MATCH($F580,p_ID,0)),0)</f>
        <v>400</v>
      </c>
      <c r="M580" s="85" t="n">
        <v>0.2</v>
      </c>
      <c r="N580" s="81" t="s">
        <v>644</v>
      </c>
      <c r="O580" s="84" t="n">
        <f aca="false">IF($N580="مرتجع",0,K580*L580*(1-M580))</f>
        <v>3200</v>
      </c>
      <c r="P580" s="84" t="n">
        <f aca="false">IF($N580="مرتجع",0,K580*IFERROR(INDEX(p_Cost,MATCH($F580,p_ID,0)),0))</f>
        <v>2200</v>
      </c>
      <c r="Q580" s="84" t="n">
        <f aca="false">O580-P580</f>
        <v>1000</v>
      </c>
      <c r="R580" s="86" t="n">
        <f aca="false">DATE(YEAR(B580),MONTH(B580),1)</f>
        <v>46054</v>
      </c>
      <c r="S580" s="83" t="str">
        <f aca="false">YEAR(B580)&amp;"-Q"&amp;ROUNDUP(MONTH(B580)/3,0)</f>
        <v>2026-Q1</v>
      </c>
      <c r="T580" s="87" t="n">
        <f aca="false">IF(O580&gt;0,Q580/O580,"")</f>
        <v>0.3125</v>
      </c>
      <c r="U580" s="84" t="n">
        <f aca="false">IF(O580&gt;0,O580,"")</f>
        <v>3200</v>
      </c>
    </row>
    <row r="581" customFormat="false" ht="15" hidden="false" customHeight="false" outlineLevel="0" collapsed="false">
      <c r="A581" s="81" t="s">
        <v>1224</v>
      </c>
      <c r="B581" s="82" t="n">
        <v>46058</v>
      </c>
      <c r="C581" s="81" t="s">
        <v>389</v>
      </c>
      <c r="D581" s="83" t="str">
        <f aca="false">IFERROR(INDEX(c_Name,MATCH($C581,c_ID,0)),"غير معرّف")</f>
        <v>ليلى القحطاني</v>
      </c>
      <c r="E581" s="83" t="str">
        <f aca="false">IFERROR(INDEX(c_Region,MATCH($C581,c_ID,0)),"غير معرّف")</f>
        <v>الشرقية</v>
      </c>
      <c r="F581" s="81" t="s">
        <v>184</v>
      </c>
      <c r="G581" s="83" t="str">
        <f aca="false">IFERROR(INDEX(p_Name,MATCH($F581,p_ID,0)),"غير معرّف")</f>
        <v>عطر فاخر</v>
      </c>
      <c r="H581" s="83" t="str">
        <f aca="false">IFERROR(INDEX(p_Cat,MATCH($F581,p_ID,0)),"غير معرّف")</f>
        <v>عناية شخصية</v>
      </c>
      <c r="I581" s="81" t="s">
        <v>461</v>
      </c>
      <c r="J581" s="81" t="s">
        <v>91</v>
      </c>
      <c r="K581" s="81" t="n">
        <v>1</v>
      </c>
      <c r="L581" s="84" t="n">
        <f aca="false">IFERROR(INDEX(p_Price,MATCH($F581,p_ID,0)),0)</f>
        <v>520</v>
      </c>
      <c r="M581" s="85" t="n">
        <v>0.1</v>
      </c>
      <c r="N581" s="81" t="s">
        <v>644</v>
      </c>
      <c r="O581" s="84" t="n">
        <f aca="false">IF($N581="مرتجع",0,K581*L581*(1-M581))</f>
        <v>468</v>
      </c>
      <c r="P581" s="84" t="n">
        <f aca="false">IF($N581="مرتجع",0,K581*IFERROR(INDEX(p_Cost,MATCH($F581,p_ID,0)),0))</f>
        <v>210</v>
      </c>
      <c r="Q581" s="84" t="n">
        <f aca="false">O581-P581</f>
        <v>258</v>
      </c>
      <c r="R581" s="86" t="n">
        <f aca="false">DATE(YEAR(B581),MONTH(B581),1)</f>
        <v>46054</v>
      </c>
      <c r="S581" s="83" t="str">
        <f aca="false">YEAR(B581)&amp;"-Q"&amp;ROUNDUP(MONTH(B581)/3,0)</f>
        <v>2026-Q1</v>
      </c>
      <c r="T581" s="87" t="n">
        <f aca="false">IF(O581&gt;0,Q581/O581,"")</f>
        <v>0.551282051282051</v>
      </c>
      <c r="U581" s="84" t="n">
        <f aca="false">IF(O581&gt;0,O581,"")</f>
        <v>468</v>
      </c>
    </row>
    <row r="582" customFormat="false" ht="15" hidden="false" customHeight="false" outlineLevel="0" collapsed="false">
      <c r="A582" s="81" t="s">
        <v>1225</v>
      </c>
      <c r="B582" s="82" t="n">
        <v>46059</v>
      </c>
      <c r="C582" s="81" t="s">
        <v>256</v>
      </c>
      <c r="D582" s="83" t="str">
        <f aca="false">IFERROR(INDEX(c_Name,MATCH($C582,c_ID,0)),"غير معرّف")</f>
        <v>فهد البلوي</v>
      </c>
      <c r="E582" s="83" t="str">
        <f aca="false">IFERROR(INDEX(c_Region,MATCH($C582,c_ID,0)),"غير معرّف")</f>
        <v>الجنوبية</v>
      </c>
      <c r="F582" s="81" t="s">
        <v>178</v>
      </c>
      <c r="G582" s="83" t="str">
        <f aca="false">IFERROR(INDEX(p_Name,MATCH($F582,p_ID,0)),"غير معرّف")</f>
        <v>حقيبة لابتوب</v>
      </c>
      <c r="H582" s="83" t="str">
        <f aca="false">IFERROR(INDEX(p_Cat,MATCH($F582,p_ID,0)),"غير معرّف")</f>
        <v>مستلزمات مكتبية</v>
      </c>
      <c r="I582" s="81" t="s">
        <v>467</v>
      </c>
      <c r="J582" s="81" t="s">
        <v>91</v>
      </c>
      <c r="K582" s="81" t="n">
        <v>3</v>
      </c>
      <c r="L582" s="84" t="n">
        <f aca="false">IFERROR(INDEX(p_Price,MATCH($F582,p_ID,0)),0)</f>
        <v>260</v>
      </c>
      <c r="M582" s="85" t="n">
        <v>0</v>
      </c>
      <c r="N582" s="81" t="s">
        <v>644</v>
      </c>
      <c r="O582" s="84" t="n">
        <f aca="false">IF($N582="مرتجع",0,K582*L582*(1-M582))</f>
        <v>780</v>
      </c>
      <c r="P582" s="84" t="n">
        <f aca="false">IF($N582="مرتجع",0,K582*IFERROR(INDEX(p_Cost,MATCH($F582,p_ID,0)),0))</f>
        <v>360</v>
      </c>
      <c r="Q582" s="84" t="n">
        <f aca="false">O582-P582</f>
        <v>420</v>
      </c>
      <c r="R582" s="86" t="n">
        <f aca="false">DATE(YEAR(B582),MONTH(B582),1)</f>
        <v>46054</v>
      </c>
      <c r="S582" s="83" t="str">
        <f aca="false">YEAR(B582)&amp;"-Q"&amp;ROUNDUP(MONTH(B582)/3,0)</f>
        <v>2026-Q1</v>
      </c>
      <c r="T582" s="87" t="n">
        <f aca="false">IF(O582&gt;0,Q582/O582,"")</f>
        <v>0.538461538461538</v>
      </c>
      <c r="U582" s="84" t="n">
        <f aca="false">IF(O582&gt;0,O582,"")</f>
        <v>780</v>
      </c>
    </row>
    <row r="583" customFormat="false" ht="15" hidden="false" customHeight="false" outlineLevel="0" collapsed="false">
      <c r="A583" s="81" t="s">
        <v>1226</v>
      </c>
      <c r="B583" s="82" t="n">
        <v>46059</v>
      </c>
      <c r="C583" s="81" t="s">
        <v>430</v>
      </c>
      <c r="D583" s="83" t="str">
        <f aca="false">IFERROR(INDEX(c_Name,MATCH($C583,c_ID,0)),"غير معرّف")</f>
        <v>ليلى الحربي</v>
      </c>
      <c r="E583" s="83" t="str">
        <f aca="false">IFERROR(INDEX(c_Region,MATCH($C583,c_ID,0)),"غير معرّف")</f>
        <v>الجنوبية</v>
      </c>
      <c r="F583" s="81" t="s">
        <v>179</v>
      </c>
      <c r="G583" s="83" t="str">
        <f aca="false">IFERROR(INDEX(p_Name,MATCH($F583,p_ID,0)),"غير معرّف")</f>
        <v>طقم أدوات مكتبية</v>
      </c>
      <c r="H583" s="83" t="str">
        <f aca="false">IFERROR(INDEX(p_Cat,MATCH($F583,p_ID,0)),"غير معرّف")</f>
        <v>مستلزمات مكتبية</v>
      </c>
      <c r="I583" s="81" t="s">
        <v>465</v>
      </c>
      <c r="J583" s="81" t="s">
        <v>91</v>
      </c>
      <c r="K583" s="81" t="n">
        <v>5</v>
      </c>
      <c r="L583" s="84" t="n">
        <f aca="false">IFERROR(INDEX(p_Price,MATCH($F583,p_ID,0)),0)</f>
        <v>90</v>
      </c>
      <c r="M583" s="85" t="n">
        <v>0</v>
      </c>
      <c r="N583" s="81" t="s">
        <v>644</v>
      </c>
      <c r="O583" s="84" t="n">
        <f aca="false">IF($N583="مرتجع",0,K583*L583*(1-M583))</f>
        <v>450</v>
      </c>
      <c r="P583" s="84" t="n">
        <f aca="false">IF($N583="مرتجع",0,K583*IFERROR(INDEX(p_Cost,MATCH($F583,p_ID,0)),0))</f>
        <v>225</v>
      </c>
      <c r="Q583" s="84" t="n">
        <f aca="false">O583-P583</f>
        <v>225</v>
      </c>
      <c r="R583" s="86" t="n">
        <f aca="false">DATE(YEAR(B583),MONTH(B583),1)</f>
        <v>46054</v>
      </c>
      <c r="S583" s="83" t="str">
        <f aca="false">YEAR(B583)&amp;"-Q"&amp;ROUNDUP(MONTH(B583)/3,0)</f>
        <v>2026-Q1</v>
      </c>
      <c r="T583" s="87" t="n">
        <f aca="false">IF(O583&gt;0,Q583/O583,"")</f>
        <v>0.5</v>
      </c>
      <c r="U583" s="84" t="n">
        <f aca="false">IF(O583&gt;0,O583,"")</f>
        <v>450</v>
      </c>
    </row>
    <row r="584" customFormat="false" ht="15" hidden="false" customHeight="false" outlineLevel="0" collapsed="false">
      <c r="A584" s="81" t="s">
        <v>1227</v>
      </c>
      <c r="B584" s="82" t="n">
        <v>46059</v>
      </c>
      <c r="C584" s="81" t="s">
        <v>420</v>
      </c>
      <c r="D584" s="83" t="str">
        <f aca="false">IFERROR(INDEX(c_Name,MATCH($C584,c_ID,0)),"غير معرّف")</f>
        <v>عبدالله الدوسري</v>
      </c>
      <c r="E584" s="83" t="str">
        <f aca="false">IFERROR(INDEX(c_Region,MATCH($C584,c_ID,0)),"غير معرّف")</f>
        <v>الجنوبية</v>
      </c>
      <c r="F584" s="81" t="s">
        <v>170</v>
      </c>
      <c r="G584" s="83" t="str">
        <f aca="false">IFERROR(INDEX(p_Name,MATCH($F584,p_ID,0)),"غير معرّف")</f>
        <v>مكيف نقال</v>
      </c>
      <c r="H584" s="83" t="str">
        <f aca="false">IFERROR(INDEX(p_Cat,MATCH($F584,p_ID,0)),"غير معرّف")</f>
        <v>أجهزة منزلية</v>
      </c>
      <c r="I584" s="81" t="s">
        <v>467</v>
      </c>
      <c r="J584" s="81" t="s">
        <v>91</v>
      </c>
      <c r="K584" s="81" t="n">
        <v>1</v>
      </c>
      <c r="L584" s="84" t="n">
        <f aca="false">IFERROR(INDEX(p_Price,MATCH($F584,p_ID,0)),0)</f>
        <v>1900</v>
      </c>
      <c r="M584" s="85" t="n">
        <v>0</v>
      </c>
      <c r="N584" s="81" t="s">
        <v>644</v>
      </c>
      <c r="O584" s="84" t="n">
        <f aca="false">IF($N584="مرتجع",0,K584*L584*(1-M584))</f>
        <v>1900</v>
      </c>
      <c r="P584" s="84" t="n">
        <f aca="false">IF($N584="مرتجع",0,K584*IFERROR(INDEX(p_Cost,MATCH($F584,p_ID,0)),0))</f>
        <v>1350</v>
      </c>
      <c r="Q584" s="84" t="n">
        <f aca="false">O584-P584</f>
        <v>550</v>
      </c>
      <c r="R584" s="86" t="n">
        <f aca="false">DATE(YEAR(B584),MONTH(B584),1)</f>
        <v>46054</v>
      </c>
      <c r="S584" s="83" t="str">
        <f aca="false">YEAR(B584)&amp;"-Q"&amp;ROUNDUP(MONTH(B584)/3,0)</f>
        <v>2026-Q1</v>
      </c>
      <c r="T584" s="87" t="n">
        <f aca="false">IF(O584&gt;0,Q584/O584,"")</f>
        <v>0.289473684210526</v>
      </c>
      <c r="U584" s="84" t="n">
        <f aca="false">IF(O584&gt;0,O584,"")</f>
        <v>1900</v>
      </c>
    </row>
    <row r="585" customFormat="false" ht="15" hidden="false" customHeight="false" outlineLevel="0" collapsed="false">
      <c r="A585" s="81" t="s">
        <v>1228</v>
      </c>
      <c r="B585" s="82" t="n">
        <v>46059</v>
      </c>
      <c r="C585" s="81" t="s">
        <v>281</v>
      </c>
      <c r="D585" s="83" t="str">
        <f aca="false">IFERROR(INDEX(c_Name,MATCH($C585,c_ID,0)),"غير معرّف")</f>
        <v>ريم الخالدي</v>
      </c>
      <c r="E585" s="83" t="str">
        <f aca="false">IFERROR(INDEX(c_Region,MATCH($C585,c_ID,0)),"غير معرّف")</f>
        <v>الوسطى</v>
      </c>
      <c r="F585" s="81" t="s">
        <v>171</v>
      </c>
      <c r="G585" s="83" t="str">
        <f aca="false">IFERROR(INDEX(p_Name,MATCH($F585,p_ID,0)),"غير معرّف")</f>
        <v>قلاية هوائية</v>
      </c>
      <c r="H585" s="83" t="str">
        <f aca="false">IFERROR(INDEX(p_Cat,MATCH($F585,p_ID,0)),"غير معرّف")</f>
        <v>أجهزة منزلية</v>
      </c>
      <c r="I585" s="81" t="s">
        <v>446</v>
      </c>
      <c r="J585" s="81" t="s">
        <v>93</v>
      </c>
      <c r="K585" s="81" t="n">
        <v>3</v>
      </c>
      <c r="L585" s="84" t="n">
        <f aca="false">IFERROR(INDEX(p_Price,MATCH($F585,p_ID,0)),0)</f>
        <v>520</v>
      </c>
      <c r="M585" s="85" t="n">
        <v>0.1</v>
      </c>
      <c r="N585" s="81" t="s">
        <v>644</v>
      </c>
      <c r="O585" s="84" t="n">
        <f aca="false">IF($N585="مرتجع",0,K585*L585*(1-M585))</f>
        <v>1404</v>
      </c>
      <c r="P585" s="84" t="n">
        <f aca="false">IF($N585="مرتجع",0,K585*IFERROR(INDEX(p_Cost,MATCH($F585,p_ID,0)),0))</f>
        <v>900</v>
      </c>
      <c r="Q585" s="84" t="n">
        <f aca="false">O585-P585</f>
        <v>504</v>
      </c>
      <c r="R585" s="86" t="n">
        <f aca="false">DATE(YEAR(B585),MONTH(B585),1)</f>
        <v>46054</v>
      </c>
      <c r="S585" s="83" t="str">
        <f aca="false">YEAR(B585)&amp;"-Q"&amp;ROUNDUP(MONTH(B585)/3,0)</f>
        <v>2026-Q1</v>
      </c>
      <c r="T585" s="87" t="n">
        <f aca="false">IF(O585&gt;0,Q585/O585,"")</f>
        <v>0.358974358974359</v>
      </c>
      <c r="U585" s="84" t="n">
        <f aca="false">IF(O585&gt;0,O585,"")</f>
        <v>1404</v>
      </c>
    </row>
    <row r="586" customFormat="false" ht="15" hidden="false" customHeight="false" outlineLevel="0" collapsed="false">
      <c r="A586" s="81" t="s">
        <v>1229</v>
      </c>
      <c r="B586" s="82" t="n">
        <v>46059</v>
      </c>
      <c r="C586" s="81" t="s">
        <v>326</v>
      </c>
      <c r="D586" s="83" t="str">
        <f aca="false">IFERROR(INDEX(c_Name,MATCH($C586,c_ID,0)),"غير معرّف")</f>
        <v>دانة القحطاني</v>
      </c>
      <c r="E586" s="83" t="str">
        <f aca="false">IFERROR(INDEX(c_Region,MATCH($C586,c_ID,0)),"غير معرّف")</f>
        <v>الوسطى</v>
      </c>
      <c r="F586" s="81" t="s">
        <v>169</v>
      </c>
      <c r="G586" s="83" t="str">
        <f aca="false">IFERROR(INDEX(p_Name,MATCH($F586,p_ID,0)),"غير معرّف")</f>
        <v>خلاط</v>
      </c>
      <c r="H586" s="83" t="str">
        <f aca="false">IFERROR(INDEX(p_Cat,MATCH($F586,p_ID,0)),"غير معرّف")</f>
        <v>أجهزة منزلية</v>
      </c>
      <c r="I586" s="81" t="s">
        <v>446</v>
      </c>
      <c r="J586" s="81" t="s">
        <v>91</v>
      </c>
      <c r="K586" s="81" t="n">
        <v>1</v>
      </c>
      <c r="L586" s="84" t="n">
        <f aca="false">IFERROR(INDEX(p_Price,MATCH($F586,p_ID,0)),0)</f>
        <v>300</v>
      </c>
      <c r="M586" s="85" t="n">
        <v>0.1</v>
      </c>
      <c r="N586" s="81" t="s">
        <v>644</v>
      </c>
      <c r="O586" s="84" t="n">
        <f aca="false">IF($N586="مرتجع",0,K586*L586*(1-M586))</f>
        <v>270</v>
      </c>
      <c r="P586" s="84" t="n">
        <f aca="false">IF($N586="مرتجع",0,K586*IFERROR(INDEX(p_Cost,MATCH($F586,p_ID,0)),0))</f>
        <v>175</v>
      </c>
      <c r="Q586" s="84" t="n">
        <f aca="false">O586-P586</f>
        <v>95</v>
      </c>
      <c r="R586" s="86" t="n">
        <f aca="false">DATE(YEAR(B586),MONTH(B586),1)</f>
        <v>46054</v>
      </c>
      <c r="S586" s="83" t="str">
        <f aca="false">YEAR(B586)&amp;"-Q"&amp;ROUNDUP(MONTH(B586)/3,0)</f>
        <v>2026-Q1</v>
      </c>
      <c r="T586" s="87" t="n">
        <f aca="false">IF(O586&gt;0,Q586/O586,"")</f>
        <v>0.351851851851852</v>
      </c>
      <c r="U586" s="84" t="n">
        <f aca="false">IF(O586&gt;0,O586,"")</f>
        <v>270</v>
      </c>
    </row>
    <row r="587" customFormat="false" ht="15" hidden="false" customHeight="false" outlineLevel="0" collapsed="false">
      <c r="A587" s="81" t="s">
        <v>1230</v>
      </c>
      <c r="B587" s="82" t="n">
        <v>46059</v>
      </c>
      <c r="C587" s="81" t="s">
        <v>361</v>
      </c>
      <c r="D587" s="83" t="str">
        <f aca="false">IFERROR(INDEX(c_Name,MATCH($C587,c_ID,0)),"غير معرّف")</f>
        <v>دانة المطيري</v>
      </c>
      <c r="E587" s="83" t="str">
        <f aca="false">IFERROR(INDEX(c_Region,MATCH($C587,c_ID,0)),"غير معرّف")</f>
        <v>الشرقية</v>
      </c>
      <c r="F587" s="81" t="s">
        <v>185</v>
      </c>
      <c r="G587" s="83" t="str">
        <f aca="false">IFERROR(INDEX(p_Name,MATCH($F587,p_ID,0)),"غير معرّف")</f>
        <v>ماكينة حلاقة</v>
      </c>
      <c r="H587" s="83" t="str">
        <f aca="false">IFERROR(INDEX(p_Cat,MATCH($F587,p_ID,0)),"غير معرّف")</f>
        <v>عناية شخصية</v>
      </c>
      <c r="I587" s="81" t="s">
        <v>461</v>
      </c>
      <c r="J587" s="81" t="s">
        <v>93</v>
      </c>
      <c r="K587" s="81" t="n">
        <v>4</v>
      </c>
      <c r="L587" s="84" t="n">
        <f aca="false">IFERROR(INDEX(p_Price,MATCH($F587,p_ID,0)),0)</f>
        <v>340</v>
      </c>
      <c r="M587" s="85" t="n">
        <v>0.05</v>
      </c>
      <c r="N587" s="81" t="s">
        <v>644</v>
      </c>
      <c r="O587" s="84" t="n">
        <f aca="false">IF($N587="مرتجع",0,K587*L587*(1-M587))</f>
        <v>1292</v>
      </c>
      <c r="P587" s="84" t="n">
        <f aca="false">IF($N587="مرتجع",0,K587*IFERROR(INDEX(p_Cost,MATCH($F587,p_ID,0)),0))</f>
        <v>680</v>
      </c>
      <c r="Q587" s="84" t="n">
        <f aca="false">O587-P587</f>
        <v>612</v>
      </c>
      <c r="R587" s="86" t="n">
        <f aca="false">DATE(YEAR(B587),MONTH(B587),1)</f>
        <v>46054</v>
      </c>
      <c r="S587" s="83" t="str">
        <f aca="false">YEAR(B587)&amp;"-Q"&amp;ROUNDUP(MONTH(B587)/3,0)</f>
        <v>2026-Q1</v>
      </c>
      <c r="T587" s="87" t="n">
        <f aca="false">IF(O587&gt;0,Q587/O587,"")</f>
        <v>0.473684210526316</v>
      </c>
      <c r="U587" s="84" t="n">
        <f aca="false">IF(O587&gt;0,O587,"")</f>
        <v>1292</v>
      </c>
    </row>
    <row r="588" customFormat="false" ht="15" hidden="false" customHeight="false" outlineLevel="0" collapsed="false">
      <c r="A588" s="81" t="s">
        <v>1231</v>
      </c>
      <c r="B588" s="82" t="n">
        <v>46059</v>
      </c>
      <c r="C588" s="81" t="s">
        <v>430</v>
      </c>
      <c r="D588" s="83" t="str">
        <f aca="false">IFERROR(INDEX(c_Name,MATCH($C588,c_ID,0)),"غير معرّف")</f>
        <v>ليلى الحربي</v>
      </c>
      <c r="E588" s="83" t="str">
        <f aca="false">IFERROR(INDEX(c_Region,MATCH($C588,c_ID,0)),"غير معرّف")</f>
        <v>الجنوبية</v>
      </c>
      <c r="F588" s="81" t="s">
        <v>169</v>
      </c>
      <c r="G588" s="83" t="str">
        <f aca="false">IFERROR(INDEX(p_Name,MATCH($F588,p_ID,0)),"غير معرّف")</f>
        <v>خلاط</v>
      </c>
      <c r="H588" s="83" t="str">
        <f aca="false">IFERROR(INDEX(p_Cat,MATCH($F588,p_ID,0)),"غير معرّف")</f>
        <v>أجهزة منزلية</v>
      </c>
      <c r="I588" s="81" t="s">
        <v>467</v>
      </c>
      <c r="J588" s="81" t="s">
        <v>91</v>
      </c>
      <c r="K588" s="81" t="n">
        <v>1</v>
      </c>
      <c r="L588" s="84" t="n">
        <f aca="false">IFERROR(INDEX(p_Price,MATCH($F588,p_ID,0)),0)</f>
        <v>300</v>
      </c>
      <c r="M588" s="85" t="n">
        <v>0.15</v>
      </c>
      <c r="N588" s="81" t="s">
        <v>644</v>
      </c>
      <c r="O588" s="84" t="n">
        <f aca="false">IF($N588="مرتجع",0,K588*L588*(1-M588))</f>
        <v>255</v>
      </c>
      <c r="P588" s="84" t="n">
        <f aca="false">IF($N588="مرتجع",0,K588*IFERROR(INDEX(p_Cost,MATCH($F588,p_ID,0)),0))</f>
        <v>175</v>
      </c>
      <c r="Q588" s="84" t="n">
        <f aca="false">O588-P588</f>
        <v>80</v>
      </c>
      <c r="R588" s="86" t="n">
        <f aca="false">DATE(YEAR(B588),MONTH(B588),1)</f>
        <v>46054</v>
      </c>
      <c r="S588" s="83" t="str">
        <f aca="false">YEAR(B588)&amp;"-Q"&amp;ROUNDUP(MONTH(B588)/3,0)</f>
        <v>2026-Q1</v>
      </c>
      <c r="T588" s="87" t="n">
        <f aca="false">IF(O588&gt;0,Q588/O588,"")</f>
        <v>0.313725490196078</v>
      </c>
      <c r="U588" s="84" t="n">
        <f aca="false">IF(O588&gt;0,O588,"")</f>
        <v>255</v>
      </c>
    </row>
    <row r="589" customFormat="false" ht="15" hidden="false" customHeight="false" outlineLevel="0" collapsed="false">
      <c r="A589" s="81" t="s">
        <v>1232</v>
      </c>
      <c r="B589" s="82" t="n">
        <v>46059</v>
      </c>
      <c r="C589" s="81" t="s">
        <v>242</v>
      </c>
      <c r="D589" s="83" t="str">
        <f aca="false">IFERROR(INDEX(c_Name,MATCH($C589,c_ID,0)),"غير معرّف")</f>
        <v>ياسر الغامدي</v>
      </c>
      <c r="E589" s="83" t="str">
        <f aca="false">IFERROR(INDEX(c_Region,MATCH($C589,c_ID,0)),"غير معرّف")</f>
        <v>الوسطى</v>
      </c>
      <c r="F589" s="81" t="s">
        <v>177</v>
      </c>
      <c r="G589" s="83" t="str">
        <f aca="false">IFERROR(INDEX(p_Name,MATCH($F589,p_ID,0)),"غير معرّف")</f>
        <v>ورق A4 (صندوق)</v>
      </c>
      <c r="H589" s="83" t="str">
        <f aca="false">IFERROR(INDEX(p_Cat,MATCH($F589,p_ID,0)),"غير معرّف")</f>
        <v>مستلزمات مكتبية</v>
      </c>
      <c r="I589" s="81" t="s">
        <v>446</v>
      </c>
      <c r="J589" s="81" t="s">
        <v>91</v>
      </c>
      <c r="K589" s="81" t="n">
        <v>4</v>
      </c>
      <c r="L589" s="84" t="n">
        <f aca="false">IFERROR(INDEX(p_Price,MATCH($F589,p_ID,0)),0)</f>
        <v>140</v>
      </c>
      <c r="M589" s="85" t="n">
        <v>0</v>
      </c>
      <c r="N589" s="81" t="s">
        <v>644</v>
      </c>
      <c r="O589" s="84" t="n">
        <f aca="false">IF($N589="مرتجع",0,K589*L589*(1-M589))</f>
        <v>560</v>
      </c>
      <c r="P589" s="84" t="n">
        <f aca="false">IF($N589="مرتجع",0,K589*IFERROR(INDEX(p_Cost,MATCH($F589,p_ID,0)),0))</f>
        <v>380</v>
      </c>
      <c r="Q589" s="84" t="n">
        <f aca="false">O589-P589</f>
        <v>180</v>
      </c>
      <c r="R589" s="86" t="n">
        <f aca="false">DATE(YEAR(B589),MONTH(B589),1)</f>
        <v>46054</v>
      </c>
      <c r="S589" s="83" t="str">
        <f aca="false">YEAR(B589)&amp;"-Q"&amp;ROUNDUP(MONTH(B589)/3,0)</f>
        <v>2026-Q1</v>
      </c>
      <c r="T589" s="87" t="n">
        <f aca="false">IF(O589&gt;0,Q589/O589,"")</f>
        <v>0.321428571428571</v>
      </c>
      <c r="U589" s="84" t="n">
        <f aca="false">IF(O589&gt;0,O589,"")</f>
        <v>560</v>
      </c>
    </row>
    <row r="590" customFormat="false" ht="15" hidden="false" customHeight="false" outlineLevel="0" collapsed="false">
      <c r="A590" s="81" t="s">
        <v>1233</v>
      </c>
      <c r="B590" s="82" t="n">
        <v>46059</v>
      </c>
      <c r="C590" s="81" t="s">
        <v>399</v>
      </c>
      <c r="D590" s="83" t="str">
        <f aca="false">IFERROR(INDEX(c_Name,MATCH($C590,c_ID,0)),"غير معرّف")</f>
        <v>سارة الشمري</v>
      </c>
      <c r="E590" s="83" t="str">
        <f aca="false">IFERROR(INDEX(c_Region,MATCH($C590,c_ID,0)),"غير معرّف")</f>
        <v>الوسطى</v>
      </c>
      <c r="F590" s="81" t="s">
        <v>178</v>
      </c>
      <c r="G590" s="83" t="str">
        <f aca="false">IFERROR(INDEX(p_Name,MATCH($F590,p_ID,0)),"غير معرّف")</f>
        <v>حقيبة لابتوب</v>
      </c>
      <c r="H590" s="83" t="str">
        <f aca="false">IFERROR(INDEX(p_Cat,MATCH($F590,p_ID,0)),"غير معرّف")</f>
        <v>مستلزمات مكتبية</v>
      </c>
      <c r="I590" s="81" t="s">
        <v>443</v>
      </c>
      <c r="J590" s="81" t="s">
        <v>91</v>
      </c>
      <c r="K590" s="81" t="n">
        <v>9</v>
      </c>
      <c r="L590" s="84" t="n">
        <f aca="false">IFERROR(INDEX(p_Price,MATCH($F590,p_ID,0)),0)</f>
        <v>260</v>
      </c>
      <c r="M590" s="85" t="n">
        <v>0</v>
      </c>
      <c r="N590" s="81" t="s">
        <v>644</v>
      </c>
      <c r="O590" s="84" t="n">
        <f aca="false">IF($N590="مرتجع",0,K590*L590*(1-M590))</f>
        <v>2340</v>
      </c>
      <c r="P590" s="84" t="n">
        <f aca="false">IF($N590="مرتجع",0,K590*IFERROR(INDEX(p_Cost,MATCH($F590,p_ID,0)),0))</f>
        <v>1080</v>
      </c>
      <c r="Q590" s="84" t="n">
        <f aca="false">O590-P590</f>
        <v>1260</v>
      </c>
      <c r="R590" s="86" t="n">
        <f aca="false">DATE(YEAR(B590),MONTH(B590),1)</f>
        <v>46054</v>
      </c>
      <c r="S590" s="83" t="str">
        <f aca="false">YEAR(B590)&amp;"-Q"&amp;ROUNDUP(MONTH(B590)/3,0)</f>
        <v>2026-Q1</v>
      </c>
      <c r="T590" s="87" t="n">
        <f aca="false">IF(O590&gt;0,Q590/O590,"")</f>
        <v>0.538461538461538</v>
      </c>
      <c r="U590" s="84" t="n">
        <f aca="false">IF(O590&gt;0,O590,"")</f>
        <v>2340</v>
      </c>
    </row>
    <row r="591" customFormat="false" ht="15" hidden="false" customHeight="false" outlineLevel="0" collapsed="false">
      <c r="A591" s="81" t="s">
        <v>1234</v>
      </c>
      <c r="B591" s="82" t="n">
        <v>46060</v>
      </c>
      <c r="C591" s="81" t="s">
        <v>389</v>
      </c>
      <c r="D591" s="83" t="str">
        <f aca="false">IFERROR(INDEX(c_Name,MATCH($C591,c_ID,0)),"غير معرّف")</f>
        <v>ليلى القحطاني</v>
      </c>
      <c r="E591" s="83" t="str">
        <f aca="false">IFERROR(INDEX(c_Region,MATCH($C591,c_ID,0)),"غير معرّف")</f>
        <v>الشرقية</v>
      </c>
      <c r="F591" s="81" t="s">
        <v>185</v>
      </c>
      <c r="G591" s="83" t="str">
        <f aca="false">IFERROR(INDEX(p_Name,MATCH($F591,p_ID,0)),"غير معرّف")</f>
        <v>ماكينة حلاقة</v>
      </c>
      <c r="H591" s="83" t="str">
        <f aca="false">IFERROR(INDEX(p_Cat,MATCH($F591,p_ID,0)),"غير معرّف")</f>
        <v>عناية شخصية</v>
      </c>
      <c r="I591" s="81" t="s">
        <v>461</v>
      </c>
      <c r="J591" s="81" t="s">
        <v>95</v>
      </c>
      <c r="K591" s="81" t="n">
        <v>7</v>
      </c>
      <c r="L591" s="84" t="n">
        <f aca="false">IFERROR(INDEX(p_Price,MATCH($F591,p_ID,0)),0)</f>
        <v>340</v>
      </c>
      <c r="M591" s="85" t="n">
        <v>0</v>
      </c>
      <c r="N591" s="81" t="s">
        <v>644</v>
      </c>
      <c r="O591" s="84" t="n">
        <f aca="false">IF($N591="مرتجع",0,K591*L591*(1-M591))</f>
        <v>2380</v>
      </c>
      <c r="P591" s="84" t="n">
        <f aca="false">IF($N591="مرتجع",0,K591*IFERROR(INDEX(p_Cost,MATCH($F591,p_ID,0)),0))</f>
        <v>1190</v>
      </c>
      <c r="Q591" s="84" t="n">
        <f aca="false">O591-P591</f>
        <v>1190</v>
      </c>
      <c r="R591" s="86" t="n">
        <f aca="false">DATE(YEAR(B591),MONTH(B591),1)</f>
        <v>46054</v>
      </c>
      <c r="S591" s="83" t="str">
        <f aca="false">YEAR(B591)&amp;"-Q"&amp;ROUNDUP(MONTH(B591)/3,0)</f>
        <v>2026-Q1</v>
      </c>
      <c r="T591" s="87" t="n">
        <f aca="false">IF(O591&gt;0,Q591/O591,"")</f>
        <v>0.5</v>
      </c>
      <c r="U591" s="84" t="n">
        <f aca="false">IF(O591&gt;0,O591,"")</f>
        <v>2380</v>
      </c>
    </row>
    <row r="592" customFormat="false" ht="15" hidden="false" customHeight="false" outlineLevel="0" collapsed="false">
      <c r="A592" s="81" t="s">
        <v>1235</v>
      </c>
      <c r="B592" s="82" t="n">
        <v>46060</v>
      </c>
      <c r="C592" s="81" t="s">
        <v>378</v>
      </c>
      <c r="D592" s="83" t="str">
        <f aca="false">IFERROR(INDEX(c_Name,MATCH($C592,c_ID,0)),"غير معرّف")</f>
        <v>هند الغامدي</v>
      </c>
      <c r="E592" s="83" t="str">
        <f aca="false">IFERROR(INDEX(c_Region,MATCH($C592,c_ID,0)),"غير معرّف")</f>
        <v>الوسطى</v>
      </c>
      <c r="F592" s="81" t="s">
        <v>177</v>
      </c>
      <c r="G592" s="83" t="str">
        <f aca="false">IFERROR(INDEX(p_Name,MATCH($F592,p_ID,0)),"غير معرّف")</f>
        <v>ورق A4 (صندوق)</v>
      </c>
      <c r="H592" s="83" t="str">
        <f aca="false">IFERROR(INDEX(p_Cat,MATCH($F592,p_ID,0)),"غير معرّف")</f>
        <v>مستلزمات مكتبية</v>
      </c>
      <c r="I592" s="81" t="s">
        <v>443</v>
      </c>
      <c r="J592" s="81" t="s">
        <v>91</v>
      </c>
      <c r="K592" s="81" t="n">
        <v>2</v>
      </c>
      <c r="L592" s="84" t="n">
        <f aca="false">IFERROR(INDEX(p_Price,MATCH($F592,p_ID,0)),0)</f>
        <v>140</v>
      </c>
      <c r="M592" s="85" t="n">
        <v>0</v>
      </c>
      <c r="N592" s="81" t="s">
        <v>644</v>
      </c>
      <c r="O592" s="84" t="n">
        <f aca="false">IF($N592="مرتجع",0,K592*L592*(1-M592))</f>
        <v>280</v>
      </c>
      <c r="P592" s="84" t="n">
        <f aca="false">IF($N592="مرتجع",0,K592*IFERROR(INDEX(p_Cost,MATCH($F592,p_ID,0)),0))</f>
        <v>190</v>
      </c>
      <c r="Q592" s="84" t="n">
        <f aca="false">O592-P592</f>
        <v>90</v>
      </c>
      <c r="R592" s="86" t="n">
        <f aca="false">DATE(YEAR(B592),MONTH(B592),1)</f>
        <v>46054</v>
      </c>
      <c r="S592" s="83" t="str">
        <f aca="false">YEAR(B592)&amp;"-Q"&amp;ROUNDUP(MONTH(B592)/3,0)</f>
        <v>2026-Q1</v>
      </c>
      <c r="T592" s="87" t="n">
        <f aca="false">IF(O592&gt;0,Q592/O592,"")</f>
        <v>0.321428571428571</v>
      </c>
      <c r="U592" s="84" t="n">
        <f aca="false">IF(O592&gt;0,O592,"")</f>
        <v>280</v>
      </c>
    </row>
    <row r="593" customFormat="false" ht="15" hidden="false" customHeight="false" outlineLevel="0" collapsed="false">
      <c r="A593" s="81" t="s">
        <v>1236</v>
      </c>
      <c r="B593" s="82" t="n">
        <v>46061</v>
      </c>
      <c r="C593" s="81" t="s">
        <v>420</v>
      </c>
      <c r="D593" s="83" t="str">
        <f aca="false">IFERROR(INDEX(c_Name,MATCH($C593,c_ID,0)),"غير معرّف")</f>
        <v>عبدالله الدوسري</v>
      </c>
      <c r="E593" s="83" t="str">
        <f aca="false">IFERROR(INDEX(c_Region,MATCH($C593,c_ID,0)),"غير معرّف")</f>
        <v>الجنوبية</v>
      </c>
      <c r="F593" s="81" t="s">
        <v>165</v>
      </c>
      <c r="G593" s="83" t="str">
        <f aca="false">IFERROR(INDEX(p_Name,MATCH($F593,p_ID,0)),"غير معرّف")</f>
        <v>حاسوب محمول</v>
      </c>
      <c r="H593" s="83" t="str">
        <f aca="false">IFERROR(INDEX(p_Cat,MATCH($F593,p_ID,0)),"غير معرّف")</f>
        <v>إلكترونيات</v>
      </c>
      <c r="I593" s="81" t="s">
        <v>467</v>
      </c>
      <c r="J593" s="81" t="s">
        <v>93</v>
      </c>
      <c r="K593" s="81" t="n">
        <v>1</v>
      </c>
      <c r="L593" s="84" t="n">
        <f aca="false">IFERROR(INDEX(p_Price,MATCH($F593,p_ID,0)),0)</f>
        <v>3800</v>
      </c>
      <c r="M593" s="85" t="n">
        <v>0.1</v>
      </c>
      <c r="N593" s="81" t="s">
        <v>644</v>
      </c>
      <c r="O593" s="84" t="n">
        <f aca="false">IF($N593="مرتجع",0,K593*L593*(1-M593))</f>
        <v>3420</v>
      </c>
      <c r="P593" s="84" t="n">
        <f aca="false">IF($N593="مرتجع",0,K593*IFERROR(INDEX(p_Cost,MATCH($F593,p_ID,0)),0))</f>
        <v>2900</v>
      </c>
      <c r="Q593" s="84" t="n">
        <f aca="false">O593-P593</f>
        <v>520</v>
      </c>
      <c r="R593" s="86" t="n">
        <f aca="false">DATE(YEAR(B593),MONTH(B593),1)</f>
        <v>46054</v>
      </c>
      <c r="S593" s="83" t="str">
        <f aca="false">YEAR(B593)&amp;"-Q"&amp;ROUNDUP(MONTH(B593)/3,0)</f>
        <v>2026-Q1</v>
      </c>
      <c r="T593" s="87" t="n">
        <f aca="false">IF(O593&gt;0,Q593/O593,"")</f>
        <v>0.152046783625731</v>
      </c>
      <c r="U593" s="84" t="n">
        <f aca="false">IF(O593&gt;0,O593,"")</f>
        <v>3420</v>
      </c>
    </row>
    <row r="594" customFormat="false" ht="15" hidden="false" customHeight="false" outlineLevel="0" collapsed="false">
      <c r="A594" s="81" t="s">
        <v>1237</v>
      </c>
      <c r="B594" s="82" t="n">
        <v>46061</v>
      </c>
      <c r="C594" s="81" t="s">
        <v>430</v>
      </c>
      <c r="D594" s="83" t="str">
        <f aca="false">IFERROR(INDEX(c_Name,MATCH($C594,c_ID,0)),"غير معرّف")</f>
        <v>ليلى الحربي</v>
      </c>
      <c r="E594" s="83" t="str">
        <f aca="false">IFERROR(INDEX(c_Region,MATCH($C594,c_ID,0)),"غير معرّف")</f>
        <v>الجنوبية</v>
      </c>
      <c r="F594" s="81" t="s">
        <v>179</v>
      </c>
      <c r="G594" s="83" t="str">
        <f aca="false">IFERROR(INDEX(p_Name,MATCH($F594,p_ID,0)),"غير معرّف")</f>
        <v>طقم أدوات مكتبية</v>
      </c>
      <c r="H594" s="83" t="str">
        <f aca="false">IFERROR(INDEX(p_Cat,MATCH($F594,p_ID,0)),"غير معرّف")</f>
        <v>مستلزمات مكتبية</v>
      </c>
      <c r="I594" s="81" t="s">
        <v>467</v>
      </c>
      <c r="J594" s="81" t="s">
        <v>91</v>
      </c>
      <c r="K594" s="81" t="n">
        <v>4</v>
      </c>
      <c r="L594" s="84" t="n">
        <f aca="false">IFERROR(INDEX(p_Price,MATCH($F594,p_ID,0)),0)</f>
        <v>90</v>
      </c>
      <c r="M594" s="85" t="n">
        <v>0</v>
      </c>
      <c r="N594" s="81" t="s">
        <v>644</v>
      </c>
      <c r="O594" s="84" t="n">
        <f aca="false">IF($N594="مرتجع",0,K594*L594*(1-M594))</f>
        <v>360</v>
      </c>
      <c r="P594" s="84" t="n">
        <f aca="false">IF($N594="مرتجع",0,K594*IFERROR(INDEX(p_Cost,MATCH($F594,p_ID,0)),0))</f>
        <v>180</v>
      </c>
      <c r="Q594" s="84" t="n">
        <f aca="false">O594-P594</f>
        <v>180</v>
      </c>
      <c r="R594" s="86" t="n">
        <f aca="false">DATE(YEAR(B594),MONTH(B594),1)</f>
        <v>46054</v>
      </c>
      <c r="S594" s="83" t="str">
        <f aca="false">YEAR(B594)&amp;"-Q"&amp;ROUNDUP(MONTH(B594)/3,0)</f>
        <v>2026-Q1</v>
      </c>
      <c r="T594" s="87" t="n">
        <f aca="false">IF(O594&gt;0,Q594/O594,"")</f>
        <v>0.5</v>
      </c>
      <c r="U594" s="84" t="n">
        <f aca="false">IF(O594&gt;0,O594,"")</f>
        <v>360</v>
      </c>
    </row>
    <row r="595" customFormat="false" ht="15" hidden="false" customHeight="false" outlineLevel="0" collapsed="false">
      <c r="A595" s="81" t="s">
        <v>1238</v>
      </c>
      <c r="B595" s="82" t="n">
        <v>46061</v>
      </c>
      <c r="C595" s="81" t="s">
        <v>347</v>
      </c>
      <c r="D595" s="83" t="str">
        <f aca="false">IFERROR(INDEX(c_Name,MATCH($C595,c_ID,0)),"غير معرّف")</f>
        <v>محمد الشمري</v>
      </c>
      <c r="E595" s="83" t="str">
        <f aca="false">IFERROR(INDEX(c_Region,MATCH($C595,c_ID,0)),"غير معرّف")</f>
        <v>الغربية</v>
      </c>
      <c r="F595" s="81" t="s">
        <v>164</v>
      </c>
      <c r="G595" s="83" t="str">
        <f aca="false">IFERROR(INDEX(p_Name,MATCH($F595,p_ID,0)),"غير معرّف")</f>
        <v>هاتف ذكي</v>
      </c>
      <c r="H595" s="83" t="str">
        <f aca="false">IFERROR(INDEX(p_Cat,MATCH($F595,p_ID,0)),"غير معرّف")</f>
        <v>إلكترونيات</v>
      </c>
      <c r="I595" s="81" t="s">
        <v>458</v>
      </c>
      <c r="J595" s="81" t="s">
        <v>91</v>
      </c>
      <c r="K595" s="81" t="n">
        <v>1</v>
      </c>
      <c r="L595" s="84" t="n">
        <f aca="false">IFERROR(INDEX(p_Price,MATCH($F595,p_ID,0)),0)</f>
        <v>2400</v>
      </c>
      <c r="M595" s="85" t="n">
        <v>0</v>
      </c>
      <c r="N595" s="81" t="s">
        <v>644</v>
      </c>
      <c r="O595" s="84" t="n">
        <f aca="false">IF($N595="مرتجع",0,K595*L595*(1-M595))</f>
        <v>2400</v>
      </c>
      <c r="P595" s="84" t="n">
        <f aca="false">IF($N595="مرتجع",0,K595*IFERROR(INDEX(p_Cost,MATCH($F595,p_ID,0)),0))</f>
        <v>1750</v>
      </c>
      <c r="Q595" s="84" t="n">
        <f aca="false">O595-P595</f>
        <v>650</v>
      </c>
      <c r="R595" s="86" t="n">
        <f aca="false">DATE(YEAR(B595),MONTH(B595),1)</f>
        <v>46054</v>
      </c>
      <c r="S595" s="83" t="str">
        <f aca="false">YEAR(B595)&amp;"-Q"&amp;ROUNDUP(MONTH(B595)/3,0)</f>
        <v>2026-Q1</v>
      </c>
      <c r="T595" s="87" t="n">
        <f aca="false">IF(O595&gt;0,Q595/O595,"")</f>
        <v>0.270833333333333</v>
      </c>
      <c r="U595" s="84" t="n">
        <f aca="false">IF(O595&gt;0,O595,"")</f>
        <v>2400</v>
      </c>
    </row>
    <row r="596" customFormat="false" ht="15" hidden="false" customHeight="false" outlineLevel="0" collapsed="false">
      <c r="A596" s="81" t="s">
        <v>1239</v>
      </c>
      <c r="B596" s="82" t="n">
        <v>46061</v>
      </c>
      <c r="C596" s="81" t="s">
        <v>247</v>
      </c>
      <c r="D596" s="83" t="str">
        <f aca="false">IFERROR(INDEX(c_Name,MATCH($C596,c_ID,0)),"غير معرّف")</f>
        <v>لمى الخالدي</v>
      </c>
      <c r="E596" s="83" t="str">
        <f aca="false">IFERROR(INDEX(c_Region,MATCH($C596,c_ID,0)),"غير معرّف")</f>
        <v>الوسطى</v>
      </c>
      <c r="F596" s="81" t="s">
        <v>169</v>
      </c>
      <c r="G596" s="83" t="str">
        <f aca="false">IFERROR(INDEX(p_Name,MATCH($F596,p_ID,0)),"غير معرّف")</f>
        <v>خلاط</v>
      </c>
      <c r="H596" s="83" t="str">
        <f aca="false">IFERROR(INDEX(p_Cat,MATCH($F596,p_ID,0)),"غير معرّف")</f>
        <v>أجهزة منزلية</v>
      </c>
      <c r="I596" s="81" t="s">
        <v>443</v>
      </c>
      <c r="J596" s="81" t="s">
        <v>91</v>
      </c>
      <c r="K596" s="81" t="n">
        <v>5</v>
      </c>
      <c r="L596" s="84" t="n">
        <f aca="false">IFERROR(INDEX(p_Price,MATCH($F596,p_ID,0)),0)</f>
        <v>300</v>
      </c>
      <c r="M596" s="85" t="n">
        <v>0.15</v>
      </c>
      <c r="N596" s="81" t="s">
        <v>650</v>
      </c>
      <c r="O596" s="84" t="n">
        <f aca="false">IF($N596="مرتجع",0,K596*L596*(1-M596))</f>
        <v>0</v>
      </c>
      <c r="P596" s="84" t="n">
        <f aca="false">IF($N596="مرتجع",0,K596*IFERROR(INDEX(p_Cost,MATCH($F596,p_ID,0)),0))</f>
        <v>0</v>
      </c>
      <c r="Q596" s="84" t="n">
        <f aca="false">O596-P596</f>
        <v>0</v>
      </c>
      <c r="R596" s="86" t="n">
        <f aca="false">DATE(YEAR(B596),MONTH(B596),1)</f>
        <v>46054</v>
      </c>
      <c r="S596" s="83" t="str">
        <f aca="false">YEAR(B596)&amp;"-Q"&amp;ROUNDUP(MONTH(B596)/3,0)</f>
        <v>2026-Q1</v>
      </c>
      <c r="T596" s="87" t="str">
        <f aca="false">IF(O596&gt;0,Q596/O596,"")</f>
        <v/>
      </c>
      <c r="U596" s="84" t="str">
        <f aca="false">IF(O596&gt;0,O596,"")</f>
        <v/>
      </c>
    </row>
    <row r="597" customFormat="false" ht="15" hidden="false" customHeight="false" outlineLevel="0" collapsed="false">
      <c r="A597" s="81" t="s">
        <v>1240</v>
      </c>
      <c r="B597" s="82" t="n">
        <v>46062</v>
      </c>
      <c r="C597" s="81" t="s">
        <v>334</v>
      </c>
      <c r="D597" s="83" t="str">
        <f aca="false">IFERROR(INDEX(c_Name,MATCH($C597,c_ID,0)),"غير معرّف")</f>
        <v>ناصر الغامدي</v>
      </c>
      <c r="E597" s="83" t="str">
        <f aca="false">IFERROR(INDEX(c_Region,MATCH($C597,c_ID,0)),"غير معرّف")</f>
        <v>الغربية</v>
      </c>
      <c r="F597" s="81" t="s">
        <v>183</v>
      </c>
      <c r="G597" s="83" t="str">
        <f aca="false">IFERROR(INDEX(p_Name,MATCH($F597,p_ID,0)),"غير معرّف")</f>
        <v>سجادة يوغا</v>
      </c>
      <c r="H597" s="83" t="str">
        <f aca="false">IFERROR(INDEX(p_Cat,MATCH($F597,p_ID,0)),"غير معرّف")</f>
        <v>رياضة</v>
      </c>
      <c r="I597" s="81" t="s">
        <v>455</v>
      </c>
      <c r="J597" s="81" t="s">
        <v>91</v>
      </c>
      <c r="K597" s="81" t="n">
        <v>1</v>
      </c>
      <c r="L597" s="84" t="n">
        <f aca="false">IFERROR(INDEX(p_Price,MATCH($F597,p_ID,0)),0)</f>
        <v>120</v>
      </c>
      <c r="M597" s="85" t="n">
        <v>0</v>
      </c>
      <c r="N597" s="81" t="s">
        <v>644</v>
      </c>
      <c r="O597" s="84" t="n">
        <f aca="false">IF($N597="مرتجع",0,K597*L597*(1-M597))</f>
        <v>120</v>
      </c>
      <c r="P597" s="84" t="n">
        <f aca="false">IF($N597="مرتجع",0,K597*IFERROR(INDEX(p_Cost,MATCH($F597,p_ID,0)),0))</f>
        <v>50</v>
      </c>
      <c r="Q597" s="84" t="n">
        <f aca="false">O597-P597</f>
        <v>70</v>
      </c>
      <c r="R597" s="86" t="n">
        <f aca="false">DATE(YEAR(B597),MONTH(B597),1)</f>
        <v>46054</v>
      </c>
      <c r="S597" s="83" t="str">
        <f aca="false">YEAR(B597)&amp;"-Q"&amp;ROUNDUP(MONTH(B597)/3,0)</f>
        <v>2026-Q1</v>
      </c>
      <c r="T597" s="87" t="n">
        <f aca="false">IF(O597&gt;0,Q597/O597,"")</f>
        <v>0.583333333333333</v>
      </c>
      <c r="U597" s="84" t="n">
        <f aca="false">IF(O597&gt;0,O597,"")</f>
        <v>120</v>
      </c>
    </row>
    <row r="598" customFormat="false" ht="15" hidden="false" customHeight="false" outlineLevel="0" collapsed="false">
      <c r="A598" s="81" t="s">
        <v>1241</v>
      </c>
      <c r="B598" s="82" t="n">
        <v>46062</v>
      </c>
      <c r="C598" s="81" t="s">
        <v>235</v>
      </c>
      <c r="D598" s="83" t="str">
        <f aca="false">IFERROR(INDEX(c_Name,MATCH($C598,c_ID,0)),"غير معرّف")</f>
        <v>ليلى الزهراني</v>
      </c>
      <c r="E598" s="83" t="str">
        <f aca="false">IFERROR(INDEX(c_Region,MATCH($C598,c_ID,0)),"غير معرّف")</f>
        <v>الشرقية</v>
      </c>
      <c r="F598" s="81" t="s">
        <v>174</v>
      </c>
      <c r="G598" s="83" t="str">
        <f aca="false">IFERROR(INDEX(p_Name,MATCH($F598,p_ID,0)),"غير معرّف")</f>
        <v>خزانة ملفات</v>
      </c>
      <c r="H598" s="83" t="str">
        <f aca="false">IFERROR(INDEX(p_Cat,MATCH($F598,p_ID,0)),"غير معرّف")</f>
        <v>أثاث</v>
      </c>
      <c r="I598" s="81" t="s">
        <v>463</v>
      </c>
      <c r="J598" s="81" t="s">
        <v>91</v>
      </c>
      <c r="K598" s="81" t="n">
        <v>1</v>
      </c>
      <c r="L598" s="84" t="n">
        <f aca="false">IFERROR(INDEX(p_Price,MATCH($F598,p_ID,0)),0)</f>
        <v>700</v>
      </c>
      <c r="M598" s="85" t="n">
        <v>0</v>
      </c>
      <c r="N598" s="81" t="s">
        <v>644</v>
      </c>
      <c r="O598" s="84" t="n">
        <f aca="false">IF($N598="مرتجع",0,K598*L598*(1-M598))</f>
        <v>700</v>
      </c>
      <c r="P598" s="84" t="n">
        <f aca="false">IF($N598="مرتجع",0,K598*IFERROR(INDEX(p_Cost,MATCH($F598,p_ID,0)),0))</f>
        <v>410</v>
      </c>
      <c r="Q598" s="84" t="n">
        <f aca="false">O598-P598</f>
        <v>290</v>
      </c>
      <c r="R598" s="86" t="n">
        <f aca="false">DATE(YEAR(B598),MONTH(B598),1)</f>
        <v>46054</v>
      </c>
      <c r="S598" s="83" t="str">
        <f aca="false">YEAR(B598)&amp;"-Q"&amp;ROUNDUP(MONTH(B598)/3,0)</f>
        <v>2026-Q1</v>
      </c>
      <c r="T598" s="87" t="n">
        <f aca="false">IF(O598&gt;0,Q598/O598,"")</f>
        <v>0.414285714285714</v>
      </c>
      <c r="U598" s="84" t="n">
        <f aca="false">IF(O598&gt;0,O598,"")</f>
        <v>700</v>
      </c>
    </row>
    <row r="599" customFormat="false" ht="15" hidden="false" customHeight="false" outlineLevel="0" collapsed="false">
      <c r="A599" s="81" t="s">
        <v>1242</v>
      </c>
      <c r="B599" s="82" t="n">
        <v>46063</v>
      </c>
      <c r="C599" s="81" t="s">
        <v>296</v>
      </c>
      <c r="D599" s="83" t="str">
        <f aca="false">IFERROR(INDEX(c_Name,MATCH($C599,c_ID,0)),"غير معرّف")</f>
        <v>محمد الزهراني</v>
      </c>
      <c r="E599" s="83" t="str">
        <f aca="false">IFERROR(INDEX(c_Region,MATCH($C599,c_ID,0)),"غير معرّف")</f>
        <v>الغربية</v>
      </c>
      <c r="F599" s="81" t="s">
        <v>175</v>
      </c>
      <c r="G599" s="83" t="str">
        <f aca="false">IFERROR(INDEX(p_Name,MATCH($F599,p_ID,0)),"غير معرّف")</f>
        <v>رف كتب</v>
      </c>
      <c r="H599" s="83" t="str">
        <f aca="false">IFERROR(INDEX(p_Cat,MATCH($F599,p_ID,0)),"غير معرّف")</f>
        <v>أثاث</v>
      </c>
      <c r="I599" s="81" t="s">
        <v>455</v>
      </c>
      <c r="J599" s="81" t="s">
        <v>91</v>
      </c>
      <c r="K599" s="81" t="n">
        <v>4</v>
      </c>
      <c r="L599" s="84" t="n">
        <f aca="false">IFERROR(INDEX(p_Price,MATCH($F599,p_ID,0)),0)</f>
        <v>400</v>
      </c>
      <c r="M599" s="85" t="n">
        <v>0.1</v>
      </c>
      <c r="N599" s="81" t="s">
        <v>644</v>
      </c>
      <c r="O599" s="84" t="n">
        <f aca="false">IF($N599="مرتجع",0,K599*L599*(1-M599))</f>
        <v>1440</v>
      </c>
      <c r="P599" s="84" t="n">
        <f aca="false">IF($N599="مرتجع",0,K599*IFERROR(INDEX(p_Cost,MATCH($F599,p_ID,0)),0))</f>
        <v>880</v>
      </c>
      <c r="Q599" s="84" t="n">
        <f aca="false">O599-P599</f>
        <v>560</v>
      </c>
      <c r="R599" s="86" t="n">
        <f aca="false">DATE(YEAR(B599),MONTH(B599),1)</f>
        <v>46054</v>
      </c>
      <c r="S599" s="83" t="str">
        <f aca="false">YEAR(B599)&amp;"-Q"&amp;ROUNDUP(MONTH(B599)/3,0)</f>
        <v>2026-Q1</v>
      </c>
      <c r="T599" s="87" t="n">
        <f aca="false">IF(O599&gt;0,Q599/O599,"")</f>
        <v>0.388888888888889</v>
      </c>
      <c r="U599" s="84" t="n">
        <f aca="false">IF(O599&gt;0,O599,"")</f>
        <v>1440</v>
      </c>
    </row>
    <row r="600" customFormat="false" ht="15" hidden="false" customHeight="false" outlineLevel="0" collapsed="false">
      <c r="A600" s="81" t="s">
        <v>1243</v>
      </c>
      <c r="B600" s="82" t="n">
        <v>46063</v>
      </c>
      <c r="C600" s="81" t="s">
        <v>404</v>
      </c>
      <c r="D600" s="83" t="str">
        <f aca="false">IFERROR(INDEX(c_Name,MATCH($C600,c_ID,0)),"غير معرّف")</f>
        <v>عبدالله الحسيني</v>
      </c>
      <c r="E600" s="83" t="str">
        <f aca="false">IFERROR(INDEX(c_Region,MATCH($C600,c_ID,0)),"غير معرّف")</f>
        <v>الشرقية</v>
      </c>
      <c r="F600" s="81" t="s">
        <v>172</v>
      </c>
      <c r="G600" s="83" t="str">
        <f aca="false">IFERROR(INDEX(p_Name,MATCH($F600,p_ID,0)),"غير معرّف")</f>
        <v>مكتب عمل</v>
      </c>
      <c r="H600" s="83" t="str">
        <f aca="false">IFERROR(INDEX(p_Cat,MATCH($F600,p_ID,0)),"غير معرّف")</f>
        <v>أثاث</v>
      </c>
      <c r="I600" s="81" t="s">
        <v>463</v>
      </c>
      <c r="J600" s="81" t="s">
        <v>93</v>
      </c>
      <c r="K600" s="81" t="n">
        <v>1</v>
      </c>
      <c r="L600" s="84" t="n">
        <f aca="false">IFERROR(INDEX(p_Price,MATCH($F600,p_ID,0)),0)</f>
        <v>1200</v>
      </c>
      <c r="M600" s="85" t="n">
        <v>0</v>
      </c>
      <c r="N600" s="81" t="s">
        <v>644</v>
      </c>
      <c r="O600" s="84" t="n">
        <f aca="false">IF($N600="مرتجع",0,K600*L600*(1-M600))</f>
        <v>1200</v>
      </c>
      <c r="P600" s="84" t="n">
        <f aca="false">IF($N600="مرتجع",0,K600*IFERROR(INDEX(p_Cost,MATCH($F600,p_ID,0)),0))</f>
        <v>700</v>
      </c>
      <c r="Q600" s="84" t="n">
        <f aca="false">O600-P600</f>
        <v>500</v>
      </c>
      <c r="R600" s="86" t="n">
        <f aca="false">DATE(YEAR(B600),MONTH(B600),1)</f>
        <v>46054</v>
      </c>
      <c r="S600" s="83" t="str">
        <f aca="false">YEAR(B600)&amp;"-Q"&amp;ROUNDUP(MONTH(B600)/3,0)</f>
        <v>2026-Q1</v>
      </c>
      <c r="T600" s="87" t="n">
        <f aca="false">IF(O600&gt;0,Q600/O600,"")</f>
        <v>0.416666666666667</v>
      </c>
      <c r="U600" s="84" t="n">
        <f aca="false">IF(O600&gt;0,O600,"")</f>
        <v>1200</v>
      </c>
    </row>
    <row r="601" customFormat="false" ht="15" hidden="false" customHeight="false" outlineLevel="0" collapsed="false">
      <c r="A601" s="81" t="s">
        <v>1244</v>
      </c>
      <c r="B601" s="82" t="n">
        <v>46063</v>
      </c>
      <c r="C601" s="81" t="s">
        <v>415</v>
      </c>
      <c r="D601" s="83" t="str">
        <f aca="false">IFERROR(INDEX(c_Name,MATCH($C601,c_ID,0)),"غير معرّف")</f>
        <v>سارة القحطاني</v>
      </c>
      <c r="E601" s="83" t="str">
        <f aca="false">IFERROR(INDEX(c_Region,MATCH($C601,c_ID,0)),"غير معرّف")</f>
        <v>الشرقية</v>
      </c>
      <c r="F601" s="81" t="s">
        <v>179</v>
      </c>
      <c r="G601" s="83" t="str">
        <f aca="false">IFERROR(INDEX(p_Name,MATCH($F601,p_ID,0)),"غير معرّف")</f>
        <v>طقم أدوات مكتبية</v>
      </c>
      <c r="H601" s="83" t="str">
        <f aca="false">IFERROR(INDEX(p_Cat,MATCH($F601,p_ID,0)),"غير معرّف")</f>
        <v>مستلزمات مكتبية</v>
      </c>
      <c r="I601" s="81" t="s">
        <v>461</v>
      </c>
      <c r="J601" s="81" t="s">
        <v>93</v>
      </c>
      <c r="K601" s="81" t="n">
        <v>1</v>
      </c>
      <c r="L601" s="84" t="n">
        <f aca="false">IFERROR(INDEX(p_Price,MATCH($F601,p_ID,0)),0)</f>
        <v>90</v>
      </c>
      <c r="M601" s="85" t="n">
        <v>0</v>
      </c>
      <c r="N601" s="81" t="s">
        <v>644</v>
      </c>
      <c r="O601" s="84" t="n">
        <f aca="false">IF($N601="مرتجع",0,K601*L601*(1-M601))</f>
        <v>90</v>
      </c>
      <c r="P601" s="84" t="n">
        <f aca="false">IF($N601="مرتجع",0,K601*IFERROR(INDEX(p_Cost,MATCH($F601,p_ID,0)),0))</f>
        <v>45</v>
      </c>
      <c r="Q601" s="84" t="n">
        <f aca="false">O601-P601</f>
        <v>45</v>
      </c>
      <c r="R601" s="86" t="n">
        <f aca="false">DATE(YEAR(B601),MONTH(B601),1)</f>
        <v>46054</v>
      </c>
      <c r="S601" s="83" t="str">
        <f aca="false">YEAR(B601)&amp;"-Q"&amp;ROUNDUP(MONTH(B601)/3,0)</f>
        <v>2026-Q1</v>
      </c>
      <c r="T601" s="87" t="n">
        <f aca="false">IF(O601&gt;0,Q601/O601,"")</f>
        <v>0.5</v>
      </c>
      <c r="U601" s="84" t="n">
        <f aca="false">IF(O601&gt;0,O601,"")</f>
        <v>90</v>
      </c>
    </row>
    <row r="602" customFormat="false" ht="15" hidden="false" customHeight="false" outlineLevel="0" collapsed="false">
      <c r="A602" s="81" t="s">
        <v>1245</v>
      </c>
      <c r="B602" s="82" t="n">
        <v>46063</v>
      </c>
      <c r="C602" s="81" t="s">
        <v>264</v>
      </c>
      <c r="D602" s="83" t="str">
        <f aca="false">IFERROR(INDEX(c_Name,MATCH($C602,c_ID,0)),"غير معرّف")</f>
        <v>عبدالله التميمي</v>
      </c>
      <c r="E602" s="83" t="str">
        <f aca="false">IFERROR(INDEX(c_Region,MATCH($C602,c_ID,0)),"غير معرّف")</f>
        <v>الوسطى</v>
      </c>
      <c r="F602" s="81" t="s">
        <v>179</v>
      </c>
      <c r="G602" s="83" t="str">
        <f aca="false">IFERROR(INDEX(p_Name,MATCH($F602,p_ID,0)),"غير معرّف")</f>
        <v>طقم أدوات مكتبية</v>
      </c>
      <c r="H602" s="83" t="str">
        <f aca="false">IFERROR(INDEX(p_Cat,MATCH($F602,p_ID,0)),"غير معرّف")</f>
        <v>مستلزمات مكتبية</v>
      </c>
      <c r="I602" s="81" t="s">
        <v>446</v>
      </c>
      <c r="J602" s="81" t="s">
        <v>91</v>
      </c>
      <c r="K602" s="81" t="n">
        <v>3</v>
      </c>
      <c r="L602" s="84" t="n">
        <f aca="false">IFERROR(INDEX(p_Price,MATCH($F602,p_ID,0)),0)</f>
        <v>90</v>
      </c>
      <c r="M602" s="85" t="n">
        <v>0.1</v>
      </c>
      <c r="N602" s="81" t="s">
        <v>644</v>
      </c>
      <c r="O602" s="84" t="n">
        <f aca="false">IF($N602="مرتجع",0,K602*L602*(1-M602))</f>
        <v>243</v>
      </c>
      <c r="P602" s="84" t="n">
        <f aca="false">IF($N602="مرتجع",0,K602*IFERROR(INDEX(p_Cost,MATCH($F602,p_ID,0)),0))</f>
        <v>135</v>
      </c>
      <c r="Q602" s="84" t="n">
        <f aca="false">O602-P602</f>
        <v>108</v>
      </c>
      <c r="R602" s="86" t="n">
        <f aca="false">DATE(YEAR(B602),MONTH(B602),1)</f>
        <v>46054</v>
      </c>
      <c r="S602" s="83" t="str">
        <f aca="false">YEAR(B602)&amp;"-Q"&amp;ROUNDUP(MONTH(B602)/3,0)</f>
        <v>2026-Q1</v>
      </c>
      <c r="T602" s="87" t="n">
        <f aca="false">IF(O602&gt;0,Q602/O602,"")</f>
        <v>0.444444444444444</v>
      </c>
      <c r="U602" s="84" t="n">
        <f aca="false">IF(O602&gt;0,O602,"")</f>
        <v>243</v>
      </c>
    </row>
    <row r="603" customFormat="false" ht="15" hidden="false" customHeight="false" outlineLevel="0" collapsed="false">
      <c r="A603" s="81" t="s">
        <v>1246</v>
      </c>
      <c r="B603" s="82" t="n">
        <v>46063</v>
      </c>
      <c r="C603" s="81" t="s">
        <v>357</v>
      </c>
      <c r="D603" s="83" t="str">
        <f aca="false">IFERROR(INDEX(c_Name,MATCH($C603,c_ID,0)),"غير معرّف")</f>
        <v>منى الحربي</v>
      </c>
      <c r="E603" s="83" t="str">
        <f aca="false">IFERROR(INDEX(c_Region,MATCH($C603,c_ID,0)),"غير معرّف")</f>
        <v>الوسطى</v>
      </c>
      <c r="F603" s="81" t="s">
        <v>186</v>
      </c>
      <c r="G603" s="83" t="str">
        <f aca="false">IFERROR(INDEX(p_Name,MATCH($F603,p_ID,0)),"غير معرّف")</f>
        <v>مجفف شعر</v>
      </c>
      <c r="H603" s="83" t="str">
        <f aca="false">IFERROR(INDEX(p_Cat,MATCH($F603,p_ID,0)),"غير معرّف")</f>
        <v>عناية شخصية</v>
      </c>
      <c r="I603" s="81" t="s">
        <v>443</v>
      </c>
      <c r="J603" s="81" t="s">
        <v>91</v>
      </c>
      <c r="K603" s="81" t="n">
        <v>1</v>
      </c>
      <c r="L603" s="84" t="n">
        <f aca="false">IFERROR(INDEX(p_Price,MATCH($F603,p_ID,0)),0)</f>
        <v>280</v>
      </c>
      <c r="M603" s="85" t="n">
        <v>0.1</v>
      </c>
      <c r="N603" s="81" t="s">
        <v>644</v>
      </c>
      <c r="O603" s="84" t="n">
        <f aca="false">IF($N603="مرتجع",0,K603*L603*(1-M603))</f>
        <v>252</v>
      </c>
      <c r="P603" s="84" t="n">
        <f aca="false">IF($N603="مرتجع",0,K603*IFERROR(INDEX(p_Cost,MATCH($F603,p_ID,0)),0))</f>
        <v>140</v>
      </c>
      <c r="Q603" s="84" t="n">
        <f aca="false">O603-P603</f>
        <v>112</v>
      </c>
      <c r="R603" s="86" t="n">
        <f aca="false">DATE(YEAR(B603),MONTH(B603),1)</f>
        <v>46054</v>
      </c>
      <c r="S603" s="83" t="str">
        <f aca="false">YEAR(B603)&amp;"-Q"&amp;ROUNDUP(MONTH(B603)/3,0)</f>
        <v>2026-Q1</v>
      </c>
      <c r="T603" s="87" t="n">
        <f aca="false">IF(O603&gt;0,Q603/O603,"")</f>
        <v>0.444444444444444</v>
      </c>
      <c r="U603" s="84" t="n">
        <f aca="false">IF(O603&gt;0,O603,"")</f>
        <v>252</v>
      </c>
    </row>
    <row r="604" customFormat="false" ht="15" hidden="false" customHeight="false" outlineLevel="0" collapsed="false">
      <c r="A604" s="81" t="s">
        <v>1247</v>
      </c>
      <c r="B604" s="82" t="n">
        <v>46063</v>
      </c>
      <c r="C604" s="81" t="s">
        <v>249</v>
      </c>
      <c r="D604" s="83" t="str">
        <f aca="false">IFERROR(INDEX(c_Name,MATCH($C604,c_ID,0)),"غير معرّف")</f>
        <v>ريم الحسيني</v>
      </c>
      <c r="E604" s="83" t="str">
        <f aca="false">IFERROR(INDEX(c_Region,MATCH($C604,c_ID,0)),"غير معرّف")</f>
        <v>الوسطى</v>
      </c>
      <c r="F604" s="81" t="s">
        <v>186</v>
      </c>
      <c r="G604" s="83" t="str">
        <f aca="false">IFERROR(INDEX(p_Name,MATCH($F604,p_ID,0)),"غير معرّف")</f>
        <v>مجفف شعر</v>
      </c>
      <c r="H604" s="83" t="str">
        <f aca="false">IFERROR(INDEX(p_Cat,MATCH($F604,p_ID,0)),"غير معرّف")</f>
        <v>عناية شخصية</v>
      </c>
      <c r="I604" s="81" t="s">
        <v>443</v>
      </c>
      <c r="J604" s="81" t="s">
        <v>91</v>
      </c>
      <c r="K604" s="81" t="n">
        <v>1</v>
      </c>
      <c r="L604" s="84" t="n">
        <f aca="false">IFERROR(INDEX(p_Price,MATCH($F604,p_ID,0)),0)</f>
        <v>280</v>
      </c>
      <c r="M604" s="85" t="n">
        <v>0.1</v>
      </c>
      <c r="N604" s="81" t="s">
        <v>644</v>
      </c>
      <c r="O604" s="84" t="n">
        <f aca="false">IF($N604="مرتجع",0,K604*L604*(1-M604))</f>
        <v>252</v>
      </c>
      <c r="P604" s="84" t="n">
        <f aca="false">IF($N604="مرتجع",0,K604*IFERROR(INDEX(p_Cost,MATCH($F604,p_ID,0)),0))</f>
        <v>140</v>
      </c>
      <c r="Q604" s="84" t="n">
        <f aca="false">O604-P604</f>
        <v>112</v>
      </c>
      <c r="R604" s="86" t="n">
        <f aca="false">DATE(YEAR(B604),MONTH(B604),1)</f>
        <v>46054</v>
      </c>
      <c r="S604" s="83" t="str">
        <f aca="false">YEAR(B604)&amp;"-Q"&amp;ROUNDUP(MONTH(B604)/3,0)</f>
        <v>2026-Q1</v>
      </c>
      <c r="T604" s="87" t="n">
        <f aca="false">IF(O604&gt;0,Q604/O604,"")</f>
        <v>0.444444444444444</v>
      </c>
      <c r="U604" s="84" t="n">
        <f aca="false">IF(O604&gt;0,O604,"")</f>
        <v>252</v>
      </c>
    </row>
    <row r="605" customFormat="false" ht="15" hidden="false" customHeight="false" outlineLevel="0" collapsed="false">
      <c r="A605" s="81" t="s">
        <v>1248</v>
      </c>
      <c r="B605" s="82" t="n">
        <v>46064</v>
      </c>
      <c r="C605" s="81" t="s">
        <v>323</v>
      </c>
      <c r="D605" s="83" t="str">
        <f aca="false">IFERROR(INDEX(c_Name,MATCH($C605,c_ID,0)),"غير معرّف")</f>
        <v>ليلى الدوسري</v>
      </c>
      <c r="E605" s="83" t="str">
        <f aca="false">IFERROR(INDEX(c_Region,MATCH($C605,c_ID,0)),"غير معرّف")</f>
        <v>الشرقية</v>
      </c>
      <c r="F605" s="81" t="s">
        <v>168</v>
      </c>
      <c r="G605" s="83" t="str">
        <f aca="false">IFERROR(INDEX(p_Name,MATCH($F605,p_ID,0)),"غير معرّف")</f>
        <v>مكنسة كهربائية</v>
      </c>
      <c r="H605" s="83" t="str">
        <f aca="false">IFERROR(INDEX(p_Cat,MATCH($F605,p_ID,0)),"غير معرّف")</f>
        <v>أجهزة منزلية</v>
      </c>
      <c r="I605" s="81" t="s">
        <v>463</v>
      </c>
      <c r="J605" s="81" t="s">
        <v>91</v>
      </c>
      <c r="K605" s="81" t="n">
        <v>1</v>
      </c>
      <c r="L605" s="84" t="n">
        <f aca="false">IFERROR(INDEX(p_Price,MATCH($F605,p_ID,0)),0)</f>
        <v>650</v>
      </c>
      <c r="M605" s="85" t="n">
        <v>0</v>
      </c>
      <c r="N605" s="81" t="s">
        <v>644</v>
      </c>
      <c r="O605" s="84" t="n">
        <f aca="false">IF($N605="مرتجع",0,K605*L605*(1-M605))</f>
        <v>650</v>
      </c>
      <c r="P605" s="84" t="n">
        <f aca="false">IF($N605="مرتجع",0,K605*IFERROR(INDEX(p_Cost,MATCH($F605,p_ID,0)),0))</f>
        <v>420</v>
      </c>
      <c r="Q605" s="84" t="n">
        <f aca="false">O605-P605</f>
        <v>230</v>
      </c>
      <c r="R605" s="86" t="n">
        <f aca="false">DATE(YEAR(B605),MONTH(B605),1)</f>
        <v>46054</v>
      </c>
      <c r="S605" s="83" t="str">
        <f aca="false">YEAR(B605)&amp;"-Q"&amp;ROUNDUP(MONTH(B605)/3,0)</f>
        <v>2026-Q1</v>
      </c>
      <c r="T605" s="87" t="n">
        <f aca="false">IF(O605&gt;0,Q605/O605,"")</f>
        <v>0.353846153846154</v>
      </c>
      <c r="U605" s="84" t="n">
        <f aca="false">IF(O605&gt;0,O605,"")</f>
        <v>650</v>
      </c>
    </row>
    <row r="606" customFormat="false" ht="15" hidden="false" customHeight="false" outlineLevel="0" collapsed="false">
      <c r="A606" s="81" t="s">
        <v>1249</v>
      </c>
      <c r="B606" s="82" t="n">
        <v>46064</v>
      </c>
      <c r="C606" s="81" t="s">
        <v>345</v>
      </c>
      <c r="D606" s="83" t="str">
        <f aca="false">IFERROR(INDEX(c_Name,MATCH($C606,c_ID,0)),"غير معرّف")</f>
        <v>عبدالله العنزي</v>
      </c>
      <c r="E606" s="83" t="str">
        <f aca="false">IFERROR(INDEX(c_Region,MATCH($C606,c_ID,0)),"غير معرّف")</f>
        <v>الغربية</v>
      </c>
      <c r="F606" s="81" t="s">
        <v>171</v>
      </c>
      <c r="G606" s="83" t="str">
        <f aca="false">IFERROR(INDEX(p_Name,MATCH($F606,p_ID,0)),"غير معرّف")</f>
        <v>قلاية هوائية</v>
      </c>
      <c r="H606" s="83" t="str">
        <f aca="false">IFERROR(INDEX(p_Cat,MATCH($F606,p_ID,0)),"غير معرّف")</f>
        <v>أجهزة منزلية</v>
      </c>
      <c r="I606" s="81" t="s">
        <v>458</v>
      </c>
      <c r="J606" s="81" t="s">
        <v>91</v>
      </c>
      <c r="K606" s="81" t="n">
        <v>2</v>
      </c>
      <c r="L606" s="84" t="n">
        <f aca="false">IFERROR(INDEX(p_Price,MATCH($F606,p_ID,0)),0)</f>
        <v>520</v>
      </c>
      <c r="M606" s="85" t="n">
        <v>0.05</v>
      </c>
      <c r="N606" s="81" t="s">
        <v>644</v>
      </c>
      <c r="O606" s="84" t="n">
        <f aca="false">IF($N606="مرتجع",0,K606*L606*(1-M606))</f>
        <v>988</v>
      </c>
      <c r="P606" s="84" t="n">
        <f aca="false">IF($N606="مرتجع",0,K606*IFERROR(INDEX(p_Cost,MATCH($F606,p_ID,0)),0))</f>
        <v>600</v>
      </c>
      <c r="Q606" s="84" t="n">
        <f aca="false">O606-P606</f>
        <v>388</v>
      </c>
      <c r="R606" s="86" t="n">
        <f aca="false">DATE(YEAR(B606),MONTH(B606),1)</f>
        <v>46054</v>
      </c>
      <c r="S606" s="83" t="str">
        <f aca="false">YEAR(B606)&amp;"-Q"&amp;ROUNDUP(MONTH(B606)/3,0)</f>
        <v>2026-Q1</v>
      </c>
      <c r="T606" s="87" t="n">
        <f aca="false">IF(O606&gt;0,Q606/O606,"")</f>
        <v>0.392712550607287</v>
      </c>
      <c r="U606" s="84" t="n">
        <f aca="false">IF(O606&gt;0,O606,"")</f>
        <v>988</v>
      </c>
    </row>
    <row r="607" customFormat="false" ht="15" hidden="false" customHeight="false" outlineLevel="0" collapsed="false">
      <c r="A607" s="81" t="s">
        <v>1250</v>
      </c>
      <c r="B607" s="82" t="n">
        <v>46064</v>
      </c>
      <c r="C607" s="81" t="s">
        <v>237</v>
      </c>
      <c r="D607" s="83" t="str">
        <f aca="false">IFERROR(INDEX(c_Name,MATCH($C607,c_ID,0)),"غير معرّف")</f>
        <v>محمد البلوي</v>
      </c>
      <c r="E607" s="83" t="str">
        <f aca="false">IFERROR(INDEX(c_Region,MATCH($C607,c_ID,0)),"غير معرّف")</f>
        <v>الوسطى</v>
      </c>
      <c r="F607" s="81" t="s">
        <v>168</v>
      </c>
      <c r="G607" s="83" t="str">
        <f aca="false">IFERROR(INDEX(p_Name,MATCH($F607,p_ID,0)),"غير معرّف")</f>
        <v>مكنسة كهربائية</v>
      </c>
      <c r="H607" s="83" t="str">
        <f aca="false">IFERROR(INDEX(p_Cat,MATCH($F607,p_ID,0)),"غير معرّف")</f>
        <v>أجهزة منزلية</v>
      </c>
      <c r="I607" s="81" t="s">
        <v>449</v>
      </c>
      <c r="J607" s="81" t="s">
        <v>91</v>
      </c>
      <c r="K607" s="81" t="n">
        <v>1</v>
      </c>
      <c r="L607" s="84" t="n">
        <f aca="false">IFERROR(INDEX(p_Price,MATCH($F607,p_ID,0)),0)</f>
        <v>650</v>
      </c>
      <c r="M607" s="85" t="n">
        <v>0.15</v>
      </c>
      <c r="N607" s="81" t="s">
        <v>644</v>
      </c>
      <c r="O607" s="84" t="n">
        <f aca="false">IF($N607="مرتجع",0,K607*L607*(1-M607))</f>
        <v>552.5</v>
      </c>
      <c r="P607" s="84" t="n">
        <f aca="false">IF($N607="مرتجع",0,K607*IFERROR(INDEX(p_Cost,MATCH($F607,p_ID,0)),0))</f>
        <v>420</v>
      </c>
      <c r="Q607" s="84" t="n">
        <f aca="false">O607-P607</f>
        <v>132.5</v>
      </c>
      <c r="R607" s="86" t="n">
        <f aca="false">DATE(YEAR(B607),MONTH(B607),1)</f>
        <v>46054</v>
      </c>
      <c r="S607" s="83" t="str">
        <f aca="false">YEAR(B607)&amp;"-Q"&amp;ROUNDUP(MONTH(B607)/3,0)</f>
        <v>2026-Q1</v>
      </c>
      <c r="T607" s="87" t="n">
        <f aca="false">IF(O607&gt;0,Q607/O607,"")</f>
        <v>0.239819004524887</v>
      </c>
      <c r="U607" s="84" t="n">
        <f aca="false">IF(O607&gt;0,O607,"")</f>
        <v>552.5</v>
      </c>
    </row>
    <row r="608" customFormat="false" ht="15" hidden="false" customHeight="false" outlineLevel="0" collapsed="false">
      <c r="A608" s="81" t="s">
        <v>1251</v>
      </c>
      <c r="B608" s="82" t="n">
        <v>46064</v>
      </c>
      <c r="C608" s="81" t="s">
        <v>389</v>
      </c>
      <c r="D608" s="83" t="str">
        <f aca="false">IFERROR(INDEX(c_Name,MATCH($C608,c_ID,0)),"غير معرّف")</f>
        <v>ليلى القحطاني</v>
      </c>
      <c r="E608" s="83" t="str">
        <f aca="false">IFERROR(INDEX(c_Region,MATCH($C608,c_ID,0)),"غير معرّف")</f>
        <v>الشرقية</v>
      </c>
      <c r="F608" s="81" t="s">
        <v>164</v>
      </c>
      <c r="G608" s="83" t="str">
        <f aca="false">IFERROR(INDEX(p_Name,MATCH($F608,p_ID,0)),"غير معرّف")</f>
        <v>هاتف ذكي</v>
      </c>
      <c r="H608" s="83" t="str">
        <f aca="false">IFERROR(INDEX(p_Cat,MATCH($F608,p_ID,0)),"غير معرّف")</f>
        <v>إلكترونيات</v>
      </c>
      <c r="I608" s="81" t="s">
        <v>463</v>
      </c>
      <c r="J608" s="81" t="s">
        <v>91</v>
      </c>
      <c r="K608" s="81" t="n">
        <v>1</v>
      </c>
      <c r="L608" s="84" t="n">
        <f aca="false">IFERROR(INDEX(p_Price,MATCH($F608,p_ID,0)),0)</f>
        <v>2400</v>
      </c>
      <c r="M608" s="85" t="n">
        <v>0</v>
      </c>
      <c r="N608" s="81" t="s">
        <v>644</v>
      </c>
      <c r="O608" s="84" t="n">
        <f aca="false">IF($N608="مرتجع",0,K608*L608*(1-M608))</f>
        <v>2400</v>
      </c>
      <c r="P608" s="84" t="n">
        <f aca="false">IF($N608="مرتجع",0,K608*IFERROR(INDEX(p_Cost,MATCH($F608,p_ID,0)),0))</f>
        <v>1750</v>
      </c>
      <c r="Q608" s="84" t="n">
        <f aca="false">O608-P608</f>
        <v>650</v>
      </c>
      <c r="R608" s="86" t="n">
        <f aca="false">DATE(YEAR(B608),MONTH(B608),1)</f>
        <v>46054</v>
      </c>
      <c r="S608" s="83" t="str">
        <f aca="false">YEAR(B608)&amp;"-Q"&amp;ROUNDUP(MONTH(B608)/3,0)</f>
        <v>2026-Q1</v>
      </c>
      <c r="T608" s="87" t="n">
        <f aca="false">IF(O608&gt;0,Q608/O608,"")</f>
        <v>0.270833333333333</v>
      </c>
      <c r="U608" s="84" t="n">
        <f aca="false">IF(O608&gt;0,O608,"")</f>
        <v>2400</v>
      </c>
    </row>
    <row r="609" customFormat="false" ht="15" hidden="false" customHeight="false" outlineLevel="0" collapsed="false">
      <c r="A609" s="81" t="s">
        <v>1252</v>
      </c>
      <c r="B609" s="82" t="n">
        <v>46064</v>
      </c>
      <c r="C609" s="81" t="s">
        <v>281</v>
      </c>
      <c r="D609" s="83" t="str">
        <f aca="false">IFERROR(INDEX(c_Name,MATCH($C609,c_ID,0)),"غير معرّف")</f>
        <v>ريم الخالدي</v>
      </c>
      <c r="E609" s="83" t="str">
        <f aca="false">IFERROR(INDEX(c_Region,MATCH($C609,c_ID,0)),"غير معرّف")</f>
        <v>الوسطى</v>
      </c>
      <c r="F609" s="81" t="s">
        <v>174</v>
      </c>
      <c r="G609" s="83" t="str">
        <f aca="false">IFERROR(INDEX(p_Name,MATCH($F609,p_ID,0)),"غير معرّف")</f>
        <v>خزانة ملفات</v>
      </c>
      <c r="H609" s="83" t="str">
        <f aca="false">IFERROR(INDEX(p_Cat,MATCH($F609,p_ID,0)),"غير معرّف")</f>
        <v>أثاث</v>
      </c>
      <c r="I609" s="81" t="s">
        <v>446</v>
      </c>
      <c r="J609" s="81" t="s">
        <v>91</v>
      </c>
      <c r="K609" s="81" t="n">
        <v>1</v>
      </c>
      <c r="L609" s="84" t="n">
        <f aca="false">IFERROR(INDEX(p_Price,MATCH($F609,p_ID,0)),0)</f>
        <v>700</v>
      </c>
      <c r="M609" s="85" t="n">
        <v>0.1</v>
      </c>
      <c r="N609" s="81" t="s">
        <v>644</v>
      </c>
      <c r="O609" s="84" t="n">
        <f aca="false">IF($N609="مرتجع",0,K609*L609*(1-M609))</f>
        <v>630</v>
      </c>
      <c r="P609" s="84" t="n">
        <f aca="false">IF($N609="مرتجع",0,K609*IFERROR(INDEX(p_Cost,MATCH($F609,p_ID,0)),0))</f>
        <v>410</v>
      </c>
      <c r="Q609" s="84" t="n">
        <f aca="false">O609-P609</f>
        <v>220</v>
      </c>
      <c r="R609" s="86" t="n">
        <f aca="false">DATE(YEAR(B609),MONTH(B609),1)</f>
        <v>46054</v>
      </c>
      <c r="S609" s="83" t="str">
        <f aca="false">YEAR(B609)&amp;"-Q"&amp;ROUNDUP(MONTH(B609)/3,0)</f>
        <v>2026-Q1</v>
      </c>
      <c r="T609" s="87" t="n">
        <f aca="false">IF(O609&gt;0,Q609/O609,"")</f>
        <v>0.349206349206349</v>
      </c>
      <c r="U609" s="84" t="n">
        <f aca="false">IF(O609&gt;0,O609,"")</f>
        <v>630</v>
      </c>
    </row>
    <row r="610" customFormat="false" ht="15" hidden="false" customHeight="false" outlineLevel="0" collapsed="false">
      <c r="A610" s="81" t="s">
        <v>1253</v>
      </c>
      <c r="B610" s="82" t="n">
        <v>46064</v>
      </c>
      <c r="C610" s="81" t="s">
        <v>294</v>
      </c>
      <c r="D610" s="83" t="str">
        <f aca="false">IFERROR(INDEX(c_Name,MATCH($C610,c_ID,0)),"غير معرّف")</f>
        <v>خالد البلوي</v>
      </c>
      <c r="E610" s="83" t="str">
        <f aca="false">IFERROR(INDEX(c_Region,MATCH($C610,c_ID,0)),"غير معرّف")</f>
        <v>الوسطى</v>
      </c>
      <c r="F610" s="81" t="s">
        <v>172</v>
      </c>
      <c r="G610" s="83" t="str">
        <f aca="false">IFERROR(INDEX(p_Name,MATCH($F610,p_ID,0)),"غير معرّف")</f>
        <v>مكتب عمل</v>
      </c>
      <c r="H610" s="83" t="str">
        <f aca="false">IFERROR(INDEX(p_Cat,MATCH($F610,p_ID,0)),"غير معرّف")</f>
        <v>أثاث</v>
      </c>
      <c r="I610" s="81" t="s">
        <v>443</v>
      </c>
      <c r="J610" s="81" t="s">
        <v>95</v>
      </c>
      <c r="K610" s="81" t="n">
        <v>16</v>
      </c>
      <c r="L610" s="84" t="n">
        <f aca="false">IFERROR(INDEX(p_Price,MATCH($F610,p_ID,0)),0)</f>
        <v>1200</v>
      </c>
      <c r="M610" s="85" t="n">
        <v>0.1</v>
      </c>
      <c r="N610" s="81" t="s">
        <v>644</v>
      </c>
      <c r="O610" s="84" t="n">
        <f aca="false">IF($N610="مرتجع",0,K610*L610*(1-M610))</f>
        <v>17280</v>
      </c>
      <c r="P610" s="84" t="n">
        <f aca="false">IF($N610="مرتجع",0,K610*IFERROR(INDEX(p_Cost,MATCH($F610,p_ID,0)),0))</f>
        <v>11200</v>
      </c>
      <c r="Q610" s="84" t="n">
        <f aca="false">O610-P610</f>
        <v>6080</v>
      </c>
      <c r="R610" s="86" t="n">
        <f aca="false">DATE(YEAR(B610),MONTH(B610),1)</f>
        <v>46054</v>
      </c>
      <c r="S610" s="83" t="str">
        <f aca="false">YEAR(B610)&amp;"-Q"&amp;ROUNDUP(MONTH(B610)/3,0)</f>
        <v>2026-Q1</v>
      </c>
      <c r="T610" s="87" t="n">
        <f aca="false">IF(O610&gt;0,Q610/O610,"")</f>
        <v>0.351851851851852</v>
      </c>
      <c r="U610" s="84" t="n">
        <f aca="false">IF(O610&gt;0,O610,"")</f>
        <v>17280</v>
      </c>
    </row>
    <row r="611" customFormat="false" ht="15" hidden="false" customHeight="false" outlineLevel="0" collapsed="false">
      <c r="A611" s="81" t="s">
        <v>1254</v>
      </c>
      <c r="B611" s="82" t="n">
        <v>46064</v>
      </c>
      <c r="C611" s="81" t="s">
        <v>430</v>
      </c>
      <c r="D611" s="83" t="str">
        <f aca="false">IFERROR(INDEX(c_Name,MATCH($C611,c_ID,0)),"غير معرّف")</f>
        <v>ليلى الحربي</v>
      </c>
      <c r="E611" s="83" t="str">
        <f aca="false">IFERROR(INDEX(c_Region,MATCH($C611,c_ID,0)),"غير معرّف")</f>
        <v>الجنوبية</v>
      </c>
      <c r="F611" s="81" t="s">
        <v>174</v>
      </c>
      <c r="G611" s="83" t="str">
        <f aca="false">IFERROR(INDEX(p_Name,MATCH($F611,p_ID,0)),"غير معرّف")</f>
        <v>خزانة ملفات</v>
      </c>
      <c r="H611" s="83" t="str">
        <f aca="false">IFERROR(INDEX(p_Cat,MATCH($F611,p_ID,0)),"غير معرّف")</f>
        <v>أثاث</v>
      </c>
      <c r="I611" s="81" t="s">
        <v>467</v>
      </c>
      <c r="J611" s="81" t="s">
        <v>93</v>
      </c>
      <c r="K611" s="81" t="n">
        <v>7</v>
      </c>
      <c r="L611" s="84" t="n">
        <f aca="false">IFERROR(INDEX(p_Price,MATCH($F611,p_ID,0)),0)</f>
        <v>700</v>
      </c>
      <c r="M611" s="85" t="n">
        <v>0.05</v>
      </c>
      <c r="N611" s="81" t="s">
        <v>644</v>
      </c>
      <c r="O611" s="84" t="n">
        <f aca="false">IF($N611="مرتجع",0,K611*L611*(1-M611))</f>
        <v>4655</v>
      </c>
      <c r="P611" s="84" t="n">
        <f aca="false">IF($N611="مرتجع",0,K611*IFERROR(INDEX(p_Cost,MATCH($F611,p_ID,0)),0))</f>
        <v>2870</v>
      </c>
      <c r="Q611" s="84" t="n">
        <f aca="false">O611-P611</f>
        <v>1785</v>
      </c>
      <c r="R611" s="86" t="n">
        <f aca="false">DATE(YEAR(B611),MONTH(B611),1)</f>
        <v>46054</v>
      </c>
      <c r="S611" s="83" t="str">
        <f aca="false">YEAR(B611)&amp;"-Q"&amp;ROUNDUP(MONTH(B611)/3,0)</f>
        <v>2026-Q1</v>
      </c>
      <c r="T611" s="87" t="n">
        <f aca="false">IF(O611&gt;0,Q611/O611,"")</f>
        <v>0.383458646616541</v>
      </c>
      <c r="U611" s="84" t="n">
        <f aca="false">IF(O611&gt;0,O611,"")</f>
        <v>4655</v>
      </c>
    </row>
    <row r="612" customFormat="false" ht="15" hidden="false" customHeight="false" outlineLevel="0" collapsed="false">
      <c r="A612" s="81" t="s">
        <v>1255</v>
      </c>
      <c r="B612" s="82" t="n">
        <v>46064</v>
      </c>
      <c r="C612" s="81" t="s">
        <v>301</v>
      </c>
      <c r="D612" s="83" t="str">
        <f aca="false">IFERROR(INDEX(c_Name,MATCH($C612,c_ID,0)),"غير معرّف")</f>
        <v>أحمد الغامدي</v>
      </c>
      <c r="E612" s="83" t="str">
        <f aca="false">IFERROR(INDEX(c_Region,MATCH($C612,c_ID,0)),"غير معرّف")</f>
        <v>الشرقية</v>
      </c>
      <c r="F612" s="81" t="s">
        <v>181</v>
      </c>
      <c r="G612" s="83" t="str">
        <f aca="false">IFERROR(INDEX(p_Name,MATCH($F612,p_ID,0)),"غير معرّف")</f>
        <v>دراجة ثابتة</v>
      </c>
      <c r="H612" s="83" t="str">
        <f aca="false">IFERROR(INDEX(p_Cat,MATCH($F612,p_ID,0)),"غير معرّف")</f>
        <v>رياضة</v>
      </c>
      <c r="I612" s="81" t="s">
        <v>463</v>
      </c>
      <c r="J612" s="81" t="s">
        <v>93</v>
      </c>
      <c r="K612" s="81" t="n">
        <v>1</v>
      </c>
      <c r="L612" s="84" t="n">
        <f aca="false">IFERROR(INDEX(p_Price,MATCH($F612,p_ID,0)),0)</f>
        <v>1800</v>
      </c>
      <c r="M612" s="85" t="n">
        <v>0</v>
      </c>
      <c r="N612" s="81" t="s">
        <v>644</v>
      </c>
      <c r="O612" s="84" t="n">
        <f aca="false">IF($N612="مرتجع",0,K612*L612*(1-M612))</f>
        <v>1800</v>
      </c>
      <c r="P612" s="84" t="n">
        <f aca="false">IF($N612="مرتجع",0,K612*IFERROR(INDEX(p_Cost,MATCH($F612,p_ID,0)),0))</f>
        <v>1200</v>
      </c>
      <c r="Q612" s="84" t="n">
        <f aca="false">O612-P612</f>
        <v>600</v>
      </c>
      <c r="R612" s="86" t="n">
        <f aca="false">DATE(YEAR(B612),MONTH(B612),1)</f>
        <v>46054</v>
      </c>
      <c r="S612" s="83" t="str">
        <f aca="false">YEAR(B612)&amp;"-Q"&amp;ROUNDUP(MONTH(B612)/3,0)</f>
        <v>2026-Q1</v>
      </c>
      <c r="T612" s="87" t="n">
        <f aca="false">IF(O612&gt;0,Q612/O612,"")</f>
        <v>0.333333333333333</v>
      </c>
      <c r="U612" s="84" t="n">
        <f aca="false">IF(O612&gt;0,O612,"")</f>
        <v>1800</v>
      </c>
    </row>
    <row r="613" customFormat="false" ht="15" hidden="false" customHeight="false" outlineLevel="0" collapsed="false">
      <c r="A613" s="81" t="s">
        <v>1256</v>
      </c>
      <c r="B613" s="82" t="n">
        <v>46065</v>
      </c>
      <c r="C613" s="81" t="s">
        <v>253</v>
      </c>
      <c r="D613" s="83" t="str">
        <f aca="false">IFERROR(INDEX(c_Name,MATCH($C613,c_ID,0)),"غير معرّف")</f>
        <v>هند القحطاني</v>
      </c>
      <c r="E613" s="83" t="str">
        <f aca="false">IFERROR(INDEX(c_Region,MATCH($C613,c_ID,0)),"غير معرّف")</f>
        <v>الشرقية</v>
      </c>
      <c r="F613" s="81" t="s">
        <v>179</v>
      </c>
      <c r="G613" s="83" t="str">
        <f aca="false">IFERROR(INDEX(p_Name,MATCH($F613,p_ID,0)),"غير معرّف")</f>
        <v>طقم أدوات مكتبية</v>
      </c>
      <c r="H613" s="83" t="str">
        <f aca="false">IFERROR(INDEX(p_Cat,MATCH($F613,p_ID,0)),"غير معرّف")</f>
        <v>مستلزمات مكتبية</v>
      </c>
      <c r="I613" s="81" t="s">
        <v>461</v>
      </c>
      <c r="J613" s="81" t="s">
        <v>91</v>
      </c>
      <c r="K613" s="81" t="n">
        <v>1</v>
      </c>
      <c r="L613" s="84" t="n">
        <f aca="false">IFERROR(INDEX(p_Price,MATCH($F613,p_ID,0)),0)</f>
        <v>90</v>
      </c>
      <c r="M613" s="85" t="n">
        <v>0</v>
      </c>
      <c r="N613" s="81" t="s">
        <v>644</v>
      </c>
      <c r="O613" s="84" t="n">
        <f aca="false">IF($N613="مرتجع",0,K613*L613*(1-M613))</f>
        <v>90</v>
      </c>
      <c r="P613" s="84" t="n">
        <f aca="false">IF($N613="مرتجع",0,K613*IFERROR(INDEX(p_Cost,MATCH($F613,p_ID,0)),0))</f>
        <v>45</v>
      </c>
      <c r="Q613" s="84" t="n">
        <f aca="false">O613-P613</f>
        <v>45</v>
      </c>
      <c r="R613" s="86" t="n">
        <f aca="false">DATE(YEAR(B613),MONTH(B613),1)</f>
        <v>46054</v>
      </c>
      <c r="S613" s="83" t="str">
        <f aca="false">YEAR(B613)&amp;"-Q"&amp;ROUNDUP(MONTH(B613)/3,0)</f>
        <v>2026-Q1</v>
      </c>
      <c r="T613" s="87" t="n">
        <f aca="false">IF(O613&gt;0,Q613/O613,"")</f>
        <v>0.5</v>
      </c>
      <c r="U613" s="84" t="n">
        <f aca="false">IF(O613&gt;0,O613,"")</f>
        <v>90</v>
      </c>
    </row>
    <row r="614" customFormat="false" ht="15" hidden="false" customHeight="false" outlineLevel="0" collapsed="false">
      <c r="A614" s="81" t="s">
        <v>1257</v>
      </c>
      <c r="B614" s="82" t="n">
        <v>46065</v>
      </c>
      <c r="C614" s="81" t="s">
        <v>392</v>
      </c>
      <c r="D614" s="83" t="str">
        <f aca="false">IFERROR(INDEX(c_Name,MATCH($C614,c_ID,0)),"غير معرّف")</f>
        <v>ريم الزهراني</v>
      </c>
      <c r="E614" s="83" t="str">
        <f aca="false">IFERROR(INDEX(c_Region,MATCH($C614,c_ID,0)),"غير معرّف")</f>
        <v>الوسطى</v>
      </c>
      <c r="F614" s="81" t="s">
        <v>166</v>
      </c>
      <c r="G614" s="83" t="str">
        <f aca="false">IFERROR(INDEX(p_Name,MATCH($F614,p_ID,0)),"غير معرّف")</f>
        <v>سماعات لاسلكية</v>
      </c>
      <c r="H614" s="83" t="str">
        <f aca="false">IFERROR(INDEX(p_Cat,MATCH($F614,p_ID,0)),"غير معرّف")</f>
        <v>إلكترونيات</v>
      </c>
      <c r="I614" s="81" t="s">
        <v>443</v>
      </c>
      <c r="J614" s="81" t="s">
        <v>93</v>
      </c>
      <c r="K614" s="81" t="n">
        <v>1</v>
      </c>
      <c r="L614" s="84" t="n">
        <f aca="false">IFERROR(INDEX(p_Price,MATCH($F614,p_ID,0)),0)</f>
        <v>450</v>
      </c>
      <c r="M614" s="85" t="n">
        <v>0.05</v>
      </c>
      <c r="N614" s="81" t="s">
        <v>644</v>
      </c>
      <c r="O614" s="84" t="n">
        <f aca="false">IF($N614="مرتجع",0,K614*L614*(1-M614))</f>
        <v>427.5</v>
      </c>
      <c r="P614" s="84" t="n">
        <f aca="false">IF($N614="مرتجع",0,K614*IFERROR(INDEX(p_Cost,MATCH($F614,p_ID,0)),0))</f>
        <v>260</v>
      </c>
      <c r="Q614" s="84" t="n">
        <f aca="false">O614-P614</f>
        <v>167.5</v>
      </c>
      <c r="R614" s="86" t="n">
        <f aca="false">DATE(YEAR(B614),MONTH(B614),1)</f>
        <v>46054</v>
      </c>
      <c r="S614" s="83" t="str">
        <f aca="false">YEAR(B614)&amp;"-Q"&amp;ROUNDUP(MONTH(B614)/3,0)</f>
        <v>2026-Q1</v>
      </c>
      <c r="T614" s="87" t="n">
        <f aca="false">IF(O614&gt;0,Q614/O614,"")</f>
        <v>0.391812865497076</v>
      </c>
      <c r="U614" s="84" t="n">
        <f aca="false">IF(O614&gt;0,O614,"")</f>
        <v>427.5</v>
      </c>
    </row>
    <row r="615" customFormat="false" ht="15" hidden="false" customHeight="false" outlineLevel="0" collapsed="false">
      <c r="A615" s="81" t="s">
        <v>1258</v>
      </c>
      <c r="B615" s="82" t="n">
        <v>46065</v>
      </c>
      <c r="C615" s="81" t="s">
        <v>393</v>
      </c>
      <c r="D615" s="83" t="str">
        <f aca="false">IFERROR(INDEX(c_Name,MATCH($C615,c_ID,0)),"غير معرّف")</f>
        <v>عبير التميمي</v>
      </c>
      <c r="E615" s="83" t="str">
        <f aca="false">IFERROR(INDEX(c_Region,MATCH($C615,c_ID,0)),"غير معرّف")</f>
        <v>الغربية</v>
      </c>
      <c r="F615" s="81" t="s">
        <v>169</v>
      </c>
      <c r="G615" s="83" t="str">
        <f aca="false">IFERROR(INDEX(p_Name,MATCH($F615,p_ID,0)),"غير معرّف")</f>
        <v>خلاط</v>
      </c>
      <c r="H615" s="83" t="str">
        <f aca="false">IFERROR(INDEX(p_Cat,MATCH($F615,p_ID,0)),"غير معرّف")</f>
        <v>أجهزة منزلية</v>
      </c>
      <c r="I615" s="81" t="s">
        <v>458</v>
      </c>
      <c r="J615" s="81" t="s">
        <v>91</v>
      </c>
      <c r="K615" s="81" t="n">
        <v>1</v>
      </c>
      <c r="L615" s="84" t="n">
        <f aca="false">IFERROR(INDEX(p_Price,MATCH($F615,p_ID,0)),0)</f>
        <v>300</v>
      </c>
      <c r="M615" s="85" t="n">
        <v>0</v>
      </c>
      <c r="N615" s="81" t="s">
        <v>644</v>
      </c>
      <c r="O615" s="84" t="n">
        <f aca="false">IF($N615="مرتجع",0,K615*L615*(1-M615))</f>
        <v>300</v>
      </c>
      <c r="P615" s="84" t="n">
        <f aca="false">IF($N615="مرتجع",0,K615*IFERROR(INDEX(p_Cost,MATCH($F615,p_ID,0)),0))</f>
        <v>175</v>
      </c>
      <c r="Q615" s="84" t="n">
        <f aca="false">O615-P615</f>
        <v>125</v>
      </c>
      <c r="R615" s="86" t="n">
        <f aca="false">DATE(YEAR(B615),MONTH(B615),1)</f>
        <v>46054</v>
      </c>
      <c r="S615" s="83" t="str">
        <f aca="false">YEAR(B615)&amp;"-Q"&amp;ROUNDUP(MONTH(B615)/3,0)</f>
        <v>2026-Q1</v>
      </c>
      <c r="T615" s="87" t="n">
        <f aca="false">IF(O615&gt;0,Q615/O615,"")</f>
        <v>0.416666666666667</v>
      </c>
      <c r="U615" s="84" t="n">
        <f aca="false">IF(O615&gt;0,O615,"")</f>
        <v>300</v>
      </c>
    </row>
    <row r="616" customFormat="false" ht="15" hidden="false" customHeight="false" outlineLevel="0" collapsed="false">
      <c r="A616" s="81" t="s">
        <v>1259</v>
      </c>
      <c r="B616" s="82" t="n">
        <v>46065</v>
      </c>
      <c r="C616" s="81" t="s">
        <v>361</v>
      </c>
      <c r="D616" s="83" t="str">
        <f aca="false">IFERROR(INDEX(c_Name,MATCH($C616,c_ID,0)),"غير معرّف")</f>
        <v>دانة المطيري</v>
      </c>
      <c r="E616" s="83" t="str">
        <f aca="false">IFERROR(INDEX(c_Region,MATCH($C616,c_ID,0)),"غير معرّف")</f>
        <v>الشرقية</v>
      </c>
      <c r="F616" s="81" t="s">
        <v>172</v>
      </c>
      <c r="G616" s="83" t="str">
        <f aca="false">IFERROR(INDEX(p_Name,MATCH($F616,p_ID,0)),"غير معرّف")</f>
        <v>مكتب عمل</v>
      </c>
      <c r="H616" s="83" t="str">
        <f aca="false">IFERROR(INDEX(p_Cat,MATCH($F616,p_ID,0)),"غير معرّف")</f>
        <v>أثاث</v>
      </c>
      <c r="I616" s="81" t="s">
        <v>461</v>
      </c>
      <c r="J616" s="81" t="s">
        <v>93</v>
      </c>
      <c r="K616" s="81" t="n">
        <v>3</v>
      </c>
      <c r="L616" s="84" t="n">
        <f aca="false">IFERROR(INDEX(p_Price,MATCH($F616,p_ID,0)),0)</f>
        <v>1200</v>
      </c>
      <c r="M616" s="85" t="n">
        <v>0</v>
      </c>
      <c r="N616" s="81" t="s">
        <v>644</v>
      </c>
      <c r="O616" s="84" t="n">
        <f aca="false">IF($N616="مرتجع",0,K616*L616*(1-M616))</f>
        <v>3600</v>
      </c>
      <c r="P616" s="84" t="n">
        <f aca="false">IF($N616="مرتجع",0,K616*IFERROR(INDEX(p_Cost,MATCH($F616,p_ID,0)),0))</f>
        <v>2100</v>
      </c>
      <c r="Q616" s="84" t="n">
        <f aca="false">O616-P616</f>
        <v>1500</v>
      </c>
      <c r="R616" s="86" t="n">
        <f aca="false">DATE(YEAR(B616),MONTH(B616),1)</f>
        <v>46054</v>
      </c>
      <c r="S616" s="83" t="str">
        <f aca="false">YEAR(B616)&amp;"-Q"&amp;ROUNDUP(MONTH(B616)/3,0)</f>
        <v>2026-Q1</v>
      </c>
      <c r="T616" s="87" t="n">
        <f aca="false">IF(O616&gt;0,Q616/O616,"")</f>
        <v>0.416666666666667</v>
      </c>
      <c r="U616" s="84" t="n">
        <f aca="false">IF(O616&gt;0,O616,"")</f>
        <v>3600</v>
      </c>
    </row>
    <row r="617" customFormat="false" ht="15" hidden="false" customHeight="false" outlineLevel="0" collapsed="false">
      <c r="A617" s="81" t="s">
        <v>1260</v>
      </c>
      <c r="B617" s="82" t="n">
        <v>46065</v>
      </c>
      <c r="C617" s="81" t="s">
        <v>233</v>
      </c>
      <c r="D617" s="83" t="str">
        <f aca="false">IFERROR(INDEX(c_Name,MATCH($C617,c_ID,0)),"غير معرّف")</f>
        <v>سلمان الخالدي</v>
      </c>
      <c r="E617" s="83" t="str">
        <f aca="false">IFERROR(INDEX(c_Region,MATCH($C617,c_ID,0)),"غير معرّف")</f>
        <v>الشرقية</v>
      </c>
      <c r="F617" s="81" t="s">
        <v>179</v>
      </c>
      <c r="G617" s="83" t="str">
        <f aca="false">IFERROR(INDEX(p_Name,MATCH($F617,p_ID,0)),"غير معرّف")</f>
        <v>طقم أدوات مكتبية</v>
      </c>
      <c r="H617" s="83" t="str">
        <f aca="false">IFERROR(INDEX(p_Cat,MATCH($F617,p_ID,0)),"غير معرّف")</f>
        <v>مستلزمات مكتبية</v>
      </c>
      <c r="I617" s="81" t="s">
        <v>463</v>
      </c>
      <c r="J617" s="81" t="s">
        <v>93</v>
      </c>
      <c r="K617" s="81" t="n">
        <v>5</v>
      </c>
      <c r="L617" s="84" t="n">
        <f aca="false">IFERROR(INDEX(p_Price,MATCH($F617,p_ID,0)),0)</f>
        <v>90</v>
      </c>
      <c r="M617" s="85" t="n">
        <v>0.1</v>
      </c>
      <c r="N617" s="81" t="s">
        <v>644</v>
      </c>
      <c r="O617" s="84" t="n">
        <f aca="false">IF($N617="مرتجع",0,K617*L617*(1-M617))</f>
        <v>405</v>
      </c>
      <c r="P617" s="84" t="n">
        <f aca="false">IF($N617="مرتجع",0,K617*IFERROR(INDEX(p_Cost,MATCH($F617,p_ID,0)),0))</f>
        <v>225</v>
      </c>
      <c r="Q617" s="84" t="n">
        <f aca="false">O617-P617</f>
        <v>180</v>
      </c>
      <c r="R617" s="86" t="n">
        <f aca="false">DATE(YEAR(B617),MONTH(B617),1)</f>
        <v>46054</v>
      </c>
      <c r="S617" s="83" t="str">
        <f aca="false">YEAR(B617)&amp;"-Q"&amp;ROUNDUP(MONTH(B617)/3,0)</f>
        <v>2026-Q1</v>
      </c>
      <c r="T617" s="87" t="n">
        <f aca="false">IF(O617&gt;0,Q617/O617,"")</f>
        <v>0.444444444444444</v>
      </c>
      <c r="U617" s="84" t="n">
        <f aca="false">IF(O617&gt;0,O617,"")</f>
        <v>405</v>
      </c>
    </row>
    <row r="618" customFormat="false" ht="15" hidden="false" customHeight="false" outlineLevel="0" collapsed="false">
      <c r="A618" s="81" t="s">
        <v>1261</v>
      </c>
      <c r="B618" s="82" t="n">
        <v>46065</v>
      </c>
      <c r="C618" s="81" t="s">
        <v>266</v>
      </c>
      <c r="D618" s="83" t="str">
        <f aca="false">IFERROR(INDEX(c_Name,MATCH($C618,c_ID,0)),"غير معرّف")</f>
        <v>ياسر الشهري</v>
      </c>
      <c r="E618" s="83" t="str">
        <f aca="false">IFERROR(INDEX(c_Region,MATCH($C618,c_ID,0)),"غير معرّف")</f>
        <v>الوسطى</v>
      </c>
      <c r="F618" s="81" t="s">
        <v>167</v>
      </c>
      <c r="G618" s="83" t="str">
        <f aca="false">IFERROR(INDEX(p_Name,MATCH($F618,p_ID,0)),"غير معرّف")</f>
        <v>شاشة 27 بوصة</v>
      </c>
      <c r="H618" s="83" t="str">
        <f aca="false">IFERROR(INDEX(p_Cat,MATCH($F618,p_ID,0)),"غير معرّف")</f>
        <v>إلكترونيات</v>
      </c>
      <c r="I618" s="81" t="s">
        <v>449</v>
      </c>
      <c r="J618" s="81" t="s">
        <v>91</v>
      </c>
      <c r="K618" s="81" t="n">
        <v>1</v>
      </c>
      <c r="L618" s="84" t="n">
        <f aca="false">IFERROR(INDEX(p_Price,MATCH($F618,p_ID,0)),0)</f>
        <v>1100</v>
      </c>
      <c r="M618" s="85" t="n">
        <v>0.05</v>
      </c>
      <c r="N618" s="81" t="s">
        <v>644</v>
      </c>
      <c r="O618" s="84" t="n">
        <f aca="false">IF($N618="مرتجع",0,K618*L618*(1-M618))</f>
        <v>1045</v>
      </c>
      <c r="P618" s="84" t="n">
        <f aca="false">IF($N618="مرتجع",0,K618*IFERROR(INDEX(p_Cost,MATCH($F618,p_ID,0)),0))</f>
        <v>780</v>
      </c>
      <c r="Q618" s="84" t="n">
        <f aca="false">O618-P618</f>
        <v>265</v>
      </c>
      <c r="R618" s="86" t="n">
        <f aca="false">DATE(YEAR(B618),MONTH(B618),1)</f>
        <v>46054</v>
      </c>
      <c r="S618" s="83" t="str">
        <f aca="false">YEAR(B618)&amp;"-Q"&amp;ROUNDUP(MONTH(B618)/3,0)</f>
        <v>2026-Q1</v>
      </c>
      <c r="T618" s="87" t="n">
        <f aca="false">IF(O618&gt;0,Q618/O618,"")</f>
        <v>0.253588516746412</v>
      </c>
      <c r="U618" s="84" t="n">
        <f aca="false">IF(O618&gt;0,O618,"")</f>
        <v>1045</v>
      </c>
    </row>
    <row r="619" customFormat="false" ht="15" hidden="false" customHeight="false" outlineLevel="0" collapsed="false">
      <c r="A619" s="81" t="s">
        <v>1262</v>
      </c>
      <c r="B619" s="82" t="n">
        <v>46066</v>
      </c>
      <c r="C619" s="81" t="s">
        <v>301</v>
      </c>
      <c r="D619" s="83" t="str">
        <f aca="false">IFERROR(INDEX(c_Name,MATCH($C619,c_ID,0)),"غير معرّف")</f>
        <v>أحمد الغامدي</v>
      </c>
      <c r="E619" s="83" t="str">
        <f aca="false">IFERROR(INDEX(c_Region,MATCH($C619,c_ID,0)),"غير معرّف")</f>
        <v>الشرقية</v>
      </c>
      <c r="F619" s="81" t="s">
        <v>166</v>
      </c>
      <c r="G619" s="83" t="str">
        <f aca="false">IFERROR(INDEX(p_Name,MATCH($F619,p_ID,0)),"غير معرّف")</f>
        <v>سماعات لاسلكية</v>
      </c>
      <c r="H619" s="83" t="str">
        <f aca="false">IFERROR(INDEX(p_Cat,MATCH($F619,p_ID,0)),"غير معرّف")</f>
        <v>إلكترونيات</v>
      </c>
      <c r="I619" s="81" t="s">
        <v>463</v>
      </c>
      <c r="J619" s="81" t="s">
        <v>93</v>
      </c>
      <c r="K619" s="81" t="n">
        <v>1</v>
      </c>
      <c r="L619" s="84" t="n">
        <f aca="false">IFERROR(INDEX(p_Price,MATCH($F619,p_ID,0)),0)</f>
        <v>450</v>
      </c>
      <c r="M619" s="85" t="n">
        <v>0</v>
      </c>
      <c r="N619" s="81" t="s">
        <v>644</v>
      </c>
      <c r="O619" s="84" t="n">
        <f aca="false">IF($N619="مرتجع",0,K619*L619*(1-M619))</f>
        <v>450</v>
      </c>
      <c r="P619" s="84" t="n">
        <f aca="false">IF($N619="مرتجع",0,K619*IFERROR(INDEX(p_Cost,MATCH($F619,p_ID,0)),0))</f>
        <v>260</v>
      </c>
      <c r="Q619" s="84" t="n">
        <f aca="false">O619-P619</f>
        <v>190</v>
      </c>
      <c r="R619" s="86" t="n">
        <f aca="false">DATE(YEAR(B619),MONTH(B619),1)</f>
        <v>46054</v>
      </c>
      <c r="S619" s="83" t="str">
        <f aca="false">YEAR(B619)&amp;"-Q"&amp;ROUNDUP(MONTH(B619)/3,0)</f>
        <v>2026-Q1</v>
      </c>
      <c r="T619" s="87" t="n">
        <f aca="false">IF(O619&gt;0,Q619/O619,"")</f>
        <v>0.422222222222222</v>
      </c>
      <c r="U619" s="84" t="n">
        <f aca="false">IF(O619&gt;0,O619,"")</f>
        <v>450</v>
      </c>
    </row>
    <row r="620" customFormat="false" ht="15" hidden="false" customHeight="false" outlineLevel="0" collapsed="false">
      <c r="A620" s="81" t="s">
        <v>1263</v>
      </c>
      <c r="B620" s="82" t="n">
        <v>46066</v>
      </c>
      <c r="C620" s="81" t="s">
        <v>293</v>
      </c>
      <c r="D620" s="83" t="str">
        <f aca="false">IFERROR(INDEX(c_Name,MATCH($C620,c_ID,0)),"غير معرّف")</f>
        <v>سارة الغامدي</v>
      </c>
      <c r="E620" s="83" t="str">
        <f aca="false">IFERROR(INDEX(c_Region,MATCH($C620,c_ID,0)),"غير معرّف")</f>
        <v>الوسطى</v>
      </c>
      <c r="F620" s="81" t="s">
        <v>173</v>
      </c>
      <c r="G620" s="83" t="str">
        <f aca="false">IFERROR(INDEX(p_Name,MATCH($F620,p_ID,0)),"غير معرّف")</f>
        <v>كرسي مريح</v>
      </c>
      <c r="H620" s="83" t="str">
        <f aca="false">IFERROR(INDEX(p_Cat,MATCH($F620,p_ID,0)),"غير معرّف")</f>
        <v>أثاث</v>
      </c>
      <c r="I620" s="81" t="s">
        <v>449</v>
      </c>
      <c r="J620" s="81" t="s">
        <v>91</v>
      </c>
      <c r="K620" s="81" t="n">
        <v>4</v>
      </c>
      <c r="L620" s="84" t="n">
        <f aca="false">IFERROR(INDEX(p_Price,MATCH($F620,p_ID,0)),0)</f>
        <v>850</v>
      </c>
      <c r="M620" s="85" t="n">
        <v>0.1</v>
      </c>
      <c r="N620" s="81" t="s">
        <v>644</v>
      </c>
      <c r="O620" s="84" t="n">
        <f aca="false">IF($N620="مرتجع",0,K620*L620*(1-M620))</f>
        <v>3060</v>
      </c>
      <c r="P620" s="84" t="n">
        <f aca="false">IF($N620="مرتجع",0,K620*IFERROR(INDEX(p_Cost,MATCH($F620,p_ID,0)),0))</f>
        <v>1920</v>
      </c>
      <c r="Q620" s="84" t="n">
        <f aca="false">O620-P620</f>
        <v>1140</v>
      </c>
      <c r="R620" s="86" t="n">
        <f aca="false">DATE(YEAR(B620),MONTH(B620),1)</f>
        <v>46054</v>
      </c>
      <c r="S620" s="83" t="str">
        <f aca="false">YEAR(B620)&amp;"-Q"&amp;ROUNDUP(MONTH(B620)/3,0)</f>
        <v>2026-Q1</v>
      </c>
      <c r="T620" s="87" t="n">
        <f aca="false">IF(O620&gt;0,Q620/O620,"")</f>
        <v>0.372549019607843</v>
      </c>
      <c r="U620" s="84" t="n">
        <f aca="false">IF(O620&gt;0,O620,"")</f>
        <v>3060</v>
      </c>
    </row>
    <row r="621" customFormat="false" ht="15" hidden="false" customHeight="false" outlineLevel="0" collapsed="false">
      <c r="A621" s="81" t="s">
        <v>1264</v>
      </c>
      <c r="B621" s="82" t="n">
        <v>46066</v>
      </c>
      <c r="C621" s="81" t="s">
        <v>349</v>
      </c>
      <c r="D621" s="83" t="str">
        <f aca="false">IFERROR(INDEX(c_Name,MATCH($C621,c_ID,0)),"غير معرّف")</f>
        <v>خالد الزهراني</v>
      </c>
      <c r="E621" s="83" t="str">
        <f aca="false">IFERROR(INDEX(c_Region,MATCH($C621,c_ID,0)),"غير معرّف")</f>
        <v>الوسطى</v>
      </c>
      <c r="F621" s="81" t="s">
        <v>164</v>
      </c>
      <c r="G621" s="83" t="str">
        <f aca="false">IFERROR(INDEX(p_Name,MATCH($F621,p_ID,0)),"غير معرّف")</f>
        <v>هاتف ذكي</v>
      </c>
      <c r="H621" s="83" t="str">
        <f aca="false">IFERROR(INDEX(p_Cat,MATCH($F621,p_ID,0)),"غير معرّف")</f>
        <v>إلكترونيات</v>
      </c>
      <c r="I621" s="81" t="s">
        <v>449</v>
      </c>
      <c r="J621" s="81" t="s">
        <v>91</v>
      </c>
      <c r="K621" s="81" t="n">
        <v>1</v>
      </c>
      <c r="L621" s="84" t="n">
        <f aca="false">IFERROR(INDEX(p_Price,MATCH($F621,p_ID,0)),0)</f>
        <v>2400</v>
      </c>
      <c r="M621" s="85" t="n">
        <v>0.1</v>
      </c>
      <c r="N621" s="81" t="s">
        <v>644</v>
      </c>
      <c r="O621" s="84" t="n">
        <f aca="false">IF($N621="مرتجع",0,K621*L621*(1-M621))</f>
        <v>2160</v>
      </c>
      <c r="P621" s="84" t="n">
        <f aca="false">IF($N621="مرتجع",0,K621*IFERROR(INDEX(p_Cost,MATCH($F621,p_ID,0)),0))</f>
        <v>1750</v>
      </c>
      <c r="Q621" s="84" t="n">
        <f aca="false">O621-P621</f>
        <v>410</v>
      </c>
      <c r="R621" s="86" t="n">
        <f aca="false">DATE(YEAR(B621),MONTH(B621),1)</f>
        <v>46054</v>
      </c>
      <c r="S621" s="83" t="str">
        <f aca="false">YEAR(B621)&amp;"-Q"&amp;ROUNDUP(MONTH(B621)/3,0)</f>
        <v>2026-Q1</v>
      </c>
      <c r="T621" s="87" t="n">
        <f aca="false">IF(O621&gt;0,Q621/O621,"")</f>
        <v>0.189814814814815</v>
      </c>
      <c r="U621" s="84" t="n">
        <f aca="false">IF(O621&gt;0,O621,"")</f>
        <v>2160</v>
      </c>
    </row>
    <row r="622" customFormat="false" ht="15" hidden="false" customHeight="false" outlineLevel="0" collapsed="false">
      <c r="A622" s="81" t="s">
        <v>1265</v>
      </c>
      <c r="B622" s="82" t="n">
        <v>46066</v>
      </c>
      <c r="C622" s="81" t="s">
        <v>345</v>
      </c>
      <c r="D622" s="83" t="str">
        <f aca="false">IFERROR(INDEX(c_Name,MATCH($C622,c_ID,0)),"غير معرّف")</f>
        <v>عبدالله العنزي</v>
      </c>
      <c r="E622" s="83" t="str">
        <f aca="false">IFERROR(INDEX(c_Region,MATCH($C622,c_ID,0)),"غير معرّف")</f>
        <v>الغربية</v>
      </c>
      <c r="F622" s="81" t="s">
        <v>186</v>
      </c>
      <c r="G622" s="83" t="str">
        <f aca="false">IFERROR(INDEX(p_Name,MATCH($F622,p_ID,0)),"غير معرّف")</f>
        <v>مجفف شعر</v>
      </c>
      <c r="H622" s="83" t="str">
        <f aca="false">IFERROR(INDEX(p_Cat,MATCH($F622,p_ID,0)),"غير معرّف")</f>
        <v>عناية شخصية</v>
      </c>
      <c r="I622" s="81" t="s">
        <v>458</v>
      </c>
      <c r="J622" s="81" t="s">
        <v>91</v>
      </c>
      <c r="K622" s="81" t="n">
        <v>1</v>
      </c>
      <c r="L622" s="84" t="n">
        <f aca="false">IFERROR(INDEX(p_Price,MATCH($F622,p_ID,0)),0)</f>
        <v>280</v>
      </c>
      <c r="M622" s="85" t="n">
        <v>0</v>
      </c>
      <c r="N622" s="81" t="s">
        <v>644</v>
      </c>
      <c r="O622" s="84" t="n">
        <f aca="false">IF($N622="مرتجع",0,K622*L622*(1-M622))</f>
        <v>280</v>
      </c>
      <c r="P622" s="84" t="n">
        <f aca="false">IF($N622="مرتجع",0,K622*IFERROR(INDEX(p_Cost,MATCH($F622,p_ID,0)),0))</f>
        <v>140</v>
      </c>
      <c r="Q622" s="84" t="n">
        <f aca="false">O622-P622</f>
        <v>140</v>
      </c>
      <c r="R622" s="86" t="n">
        <f aca="false">DATE(YEAR(B622),MONTH(B622),1)</f>
        <v>46054</v>
      </c>
      <c r="S622" s="83" t="str">
        <f aca="false">YEAR(B622)&amp;"-Q"&amp;ROUNDUP(MONTH(B622)/3,0)</f>
        <v>2026-Q1</v>
      </c>
      <c r="T622" s="87" t="n">
        <f aca="false">IF(O622&gt;0,Q622/O622,"")</f>
        <v>0.5</v>
      </c>
      <c r="U622" s="84" t="n">
        <f aca="false">IF(O622&gt;0,O622,"")</f>
        <v>280</v>
      </c>
    </row>
    <row r="623" customFormat="false" ht="15" hidden="false" customHeight="false" outlineLevel="0" collapsed="false">
      <c r="A623" s="81" t="s">
        <v>1266</v>
      </c>
      <c r="B623" s="82" t="n">
        <v>46066</v>
      </c>
      <c r="C623" s="81" t="s">
        <v>280</v>
      </c>
      <c r="D623" s="83" t="str">
        <f aca="false">IFERROR(INDEX(c_Name,MATCH($C623,c_ID,0)),"غير معرّف")</f>
        <v>سلمان المطيري</v>
      </c>
      <c r="E623" s="83" t="str">
        <f aca="false">IFERROR(INDEX(c_Region,MATCH($C623,c_ID,0)),"غير معرّف")</f>
        <v>الشرقية</v>
      </c>
      <c r="F623" s="81" t="s">
        <v>178</v>
      </c>
      <c r="G623" s="83" t="str">
        <f aca="false">IFERROR(INDEX(p_Name,MATCH($F623,p_ID,0)),"غير معرّف")</f>
        <v>حقيبة لابتوب</v>
      </c>
      <c r="H623" s="83" t="str">
        <f aca="false">IFERROR(INDEX(p_Cat,MATCH($F623,p_ID,0)),"غير معرّف")</f>
        <v>مستلزمات مكتبية</v>
      </c>
      <c r="I623" s="81" t="s">
        <v>461</v>
      </c>
      <c r="J623" s="81" t="s">
        <v>93</v>
      </c>
      <c r="K623" s="81" t="n">
        <v>1</v>
      </c>
      <c r="L623" s="84" t="n">
        <f aca="false">IFERROR(INDEX(p_Price,MATCH($F623,p_ID,0)),0)</f>
        <v>260</v>
      </c>
      <c r="M623" s="85" t="n">
        <v>0.1</v>
      </c>
      <c r="N623" s="81" t="s">
        <v>644</v>
      </c>
      <c r="O623" s="84" t="n">
        <f aca="false">IF($N623="مرتجع",0,K623*L623*(1-M623))</f>
        <v>234</v>
      </c>
      <c r="P623" s="84" t="n">
        <f aca="false">IF($N623="مرتجع",0,K623*IFERROR(INDEX(p_Cost,MATCH($F623,p_ID,0)),0))</f>
        <v>120</v>
      </c>
      <c r="Q623" s="84" t="n">
        <f aca="false">O623-P623</f>
        <v>114</v>
      </c>
      <c r="R623" s="86" t="n">
        <f aca="false">DATE(YEAR(B623),MONTH(B623),1)</f>
        <v>46054</v>
      </c>
      <c r="S623" s="83" t="str">
        <f aca="false">YEAR(B623)&amp;"-Q"&amp;ROUNDUP(MONTH(B623)/3,0)</f>
        <v>2026-Q1</v>
      </c>
      <c r="T623" s="87" t="n">
        <f aca="false">IF(O623&gt;0,Q623/O623,"")</f>
        <v>0.487179487179487</v>
      </c>
      <c r="U623" s="84" t="n">
        <f aca="false">IF(O623&gt;0,O623,"")</f>
        <v>234</v>
      </c>
    </row>
    <row r="624" customFormat="false" ht="15" hidden="false" customHeight="false" outlineLevel="0" collapsed="false">
      <c r="A624" s="81" t="s">
        <v>1267</v>
      </c>
      <c r="B624" s="82" t="n">
        <v>46067</v>
      </c>
      <c r="C624" s="81" t="s">
        <v>420</v>
      </c>
      <c r="D624" s="83" t="str">
        <f aca="false">IFERROR(INDEX(c_Name,MATCH($C624,c_ID,0)),"غير معرّف")</f>
        <v>عبدالله الدوسري</v>
      </c>
      <c r="E624" s="83" t="str">
        <f aca="false">IFERROR(INDEX(c_Region,MATCH($C624,c_ID,0)),"غير معرّف")</f>
        <v>الجنوبية</v>
      </c>
      <c r="F624" s="81" t="s">
        <v>170</v>
      </c>
      <c r="G624" s="83" t="str">
        <f aca="false">IFERROR(INDEX(p_Name,MATCH($F624,p_ID,0)),"غير معرّف")</f>
        <v>مكيف نقال</v>
      </c>
      <c r="H624" s="83" t="str">
        <f aca="false">IFERROR(INDEX(p_Cat,MATCH($F624,p_ID,0)),"غير معرّف")</f>
        <v>أجهزة منزلية</v>
      </c>
      <c r="I624" s="81" t="s">
        <v>467</v>
      </c>
      <c r="J624" s="81" t="s">
        <v>91</v>
      </c>
      <c r="K624" s="81" t="n">
        <v>1</v>
      </c>
      <c r="L624" s="84" t="n">
        <f aca="false">IFERROR(INDEX(p_Price,MATCH($F624,p_ID,0)),0)</f>
        <v>1900</v>
      </c>
      <c r="M624" s="85" t="n">
        <v>0.05</v>
      </c>
      <c r="N624" s="81" t="s">
        <v>644</v>
      </c>
      <c r="O624" s="84" t="n">
        <f aca="false">IF($N624="مرتجع",0,K624*L624*(1-M624))</f>
        <v>1805</v>
      </c>
      <c r="P624" s="84" t="n">
        <f aca="false">IF($N624="مرتجع",0,K624*IFERROR(INDEX(p_Cost,MATCH($F624,p_ID,0)),0))</f>
        <v>1350</v>
      </c>
      <c r="Q624" s="84" t="n">
        <f aca="false">O624-P624</f>
        <v>455</v>
      </c>
      <c r="R624" s="86" t="n">
        <f aca="false">DATE(YEAR(B624),MONTH(B624),1)</f>
        <v>46054</v>
      </c>
      <c r="S624" s="83" t="str">
        <f aca="false">YEAR(B624)&amp;"-Q"&amp;ROUNDUP(MONTH(B624)/3,0)</f>
        <v>2026-Q1</v>
      </c>
      <c r="T624" s="87" t="n">
        <f aca="false">IF(O624&gt;0,Q624/O624,"")</f>
        <v>0.25207756232687</v>
      </c>
      <c r="U624" s="84" t="n">
        <f aca="false">IF(O624&gt;0,O624,"")</f>
        <v>1805</v>
      </c>
    </row>
    <row r="625" customFormat="false" ht="15" hidden="false" customHeight="false" outlineLevel="0" collapsed="false">
      <c r="A625" s="81" t="s">
        <v>1268</v>
      </c>
      <c r="B625" s="82" t="n">
        <v>46068</v>
      </c>
      <c r="C625" s="81" t="s">
        <v>339</v>
      </c>
      <c r="D625" s="83" t="str">
        <f aca="false">IFERROR(INDEX(c_Name,MATCH($C625,c_ID,0)),"غير معرّف")</f>
        <v>خالد السبيعي</v>
      </c>
      <c r="E625" s="83" t="str">
        <f aca="false">IFERROR(INDEX(c_Region,MATCH($C625,c_ID,0)),"غير معرّف")</f>
        <v>الجنوبية</v>
      </c>
      <c r="F625" s="81" t="s">
        <v>175</v>
      </c>
      <c r="G625" s="83" t="str">
        <f aca="false">IFERROR(INDEX(p_Name,MATCH($F625,p_ID,0)),"غير معرّف")</f>
        <v>رف كتب</v>
      </c>
      <c r="H625" s="83" t="str">
        <f aca="false">IFERROR(INDEX(p_Cat,MATCH($F625,p_ID,0)),"غير معرّف")</f>
        <v>أثاث</v>
      </c>
      <c r="I625" s="81" t="s">
        <v>465</v>
      </c>
      <c r="J625" s="81" t="s">
        <v>95</v>
      </c>
      <c r="K625" s="81" t="n">
        <v>25</v>
      </c>
      <c r="L625" s="84" t="n">
        <f aca="false">IFERROR(INDEX(p_Price,MATCH($F625,p_ID,0)),0)</f>
        <v>400</v>
      </c>
      <c r="M625" s="85" t="n">
        <v>0.1</v>
      </c>
      <c r="N625" s="81" t="s">
        <v>644</v>
      </c>
      <c r="O625" s="84" t="n">
        <f aca="false">IF($N625="مرتجع",0,K625*L625*(1-M625))</f>
        <v>9000</v>
      </c>
      <c r="P625" s="84" t="n">
        <f aca="false">IF($N625="مرتجع",0,K625*IFERROR(INDEX(p_Cost,MATCH($F625,p_ID,0)),0))</f>
        <v>5500</v>
      </c>
      <c r="Q625" s="84" t="n">
        <f aca="false">O625-P625</f>
        <v>3500</v>
      </c>
      <c r="R625" s="86" t="n">
        <f aca="false">DATE(YEAR(B625),MONTH(B625),1)</f>
        <v>46054</v>
      </c>
      <c r="S625" s="83" t="str">
        <f aca="false">YEAR(B625)&amp;"-Q"&amp;ROUNDUP(MONTH(B625)/3,0)</f>
        <v>2026-Q1</v>
      </c>
      <c r="T625" s="87" t="n">
        <f aca="false">IF(O625&gt;0,Q625/O625,"")</f>
        <v>0.388888888888889</v>
      </c>
      <c r="U625" s="84" t="n">
        <f aca="false">IF(O625&gt;0,O625,"")</f>
        <v>9000</v>
      </c>
    </row>
    <row r="626" customFormat="false" ht="15" hidden="false" customHeight="false" outlineLevel="0" collapsed="false">
      <c r="A626" s="81" t="s">
        <v>1269</v>
      </c>
      <c r="B626" s="82" t="n">
        <v>46068</v>
      </c>
      <c r="C626" s="81" t="s">
        <v>356</v>
      </c>
      <c r="D626" s="83" t="str">
        <f aca="false">IFERROR(INDEX(c_Name,MATCH($C626,c_ID,0)),"غير معرّف")</f>
        <v>هند البلوي</v>
      </c>
      <c r="E626" s="83" t="str">
        <f aca="false">IFERROR(INDEX(c_Region,MATCH($C626,c_ID,0)),"غير معرّف")</f>
        <v>الغربية</v>
      </c>
      <c r="F626" s="81" t="s">
        <v>166</v>
      </c>
      <c r="G626" s="83" t="str">
        <f aca="false">IFERROR(INDEX(p_Name,MATCH($F626,p_ID,0)),"غير معرّف")</f>
        <v>سماعات لاسلكية</v>
      </c>
      <c r="H626" s="83" t="str">
        <f aca="false">IFERROR(INDEX(p_Cat,MATCH($F626,p_ID,0)),"غير معرّف")</f>
        <v>إلكترونيات</v>
      </c>
      <c r="I626" s="81" t="s">
        <v>452</v>
      </c>
      <c r="J626" s="81" t="s">
        <v>93</v>
      </c>
      <c r="K626" s="81" t="n">
        <v>2</v>
      </c>
      <c r="L626" s="84" t="n">
        <f aca="false">IFERROR(INDEX(p_Price,MATCH($F626,p_ID,0)),0)</f>
        <v>450</v>
      </c>
      <c r="M626" s="85" t="n">
        <v>0</v>
      </c>
      <c r="N626" s="81" t="s">
        <v>644</v>
      </c>
      <c r="O626" s="84" t="n">
        <f aca="false">IF($N626="مرتجع",0,K626*L626*(1-M626))</f>
        <v>900</v>
      </c>
      <c r="P626" s="84" t="n">
        <f aca="false">IF($N626="مرتجع",0,K626*IFERROR(INDEX(p_Cost,MATCH($F626,p_ID,0)),0))</f>
        <v>520</v>
      </c>
      <c r="Q626" s="84" t="n">
        <f aca="false">O626-P626</f>
        <v>380</v>
      </c>
      <c r="R626" s="86" t="n">
        <f aca="false">DATE(YEAR(B626),MONTH(B626),1)</f>
        <v>46054</v>
      </c>
      <c r="S626" s="83" t="str">
        <f aca="false">YEAR(B626)&amp;"-Q"&amp;ROUNDUP(MONTH(B626)/3,0)</f>
        <v>2026-Q1</v>
      </c>
      <c r="T626" s="87" t="n">
        <f aca="false">IF(O626&gt;0,Q626/O626,"")</f>
        <v>0.422222222222222</v>
      </c>
      <c r="U626" s="84" t="n">
        <f aca="false">IF(O626&gt;0,O626,"")</f>
        <v>900</v>
      </c>
    </row>
    <row r="627" customFormat="false" ht="15" hidden="false" customHeight="false" outlineLevel="0" collapsed="false">
      <c r="A627" s="81" t="s">
        <v>1270</v>
      </c>
      <c r="B627" s="82" t="n">
        <v>46068</v>
      </c>
      <c r="C627" s="81" t="s">
        <v>428</v>
      </c>
      <c r="D627" s="83" t="str">
        <f aca="false">IFERROR(INDEX(c_Name,MATCH($C627,c_ID,0)),"غير معرّف")</f>
        <v>عبدالله القحطاني</v>
      </c>
      <c r="E627" s="83" t="str">
        <f aca="false">IFERROR(INDEX(c_Region,MATCH($C627,c_ID,0)),"غير معرّف")</f>
        <v>الوسطى</v>
      </c>
      <c r="F627" s="81" t="s">
        <v>167</v>
      </c>
      <c r="G627" s="83" t="str">
        <f aca="false">IFERROR(INDEX(p_Name,MATCH($F627,p_ID,0)),"غير معرّف")</f>
        <v>شاشة 27 بوصة</v>
      </c>
      <c r="H627" s="83" t="str">
        <f aca="false">IFERROR(INDEX(p_Cat,MATCH($F627,p_ID,0)),"غير معرّف")</f>
        <v>إلكترونيات</v>
      </c>
      <c r="I627" s="81" t="s">
        <v>446</v>
      </c>
      <c r="J627" s="81" t="s">
        <v>93</v>
      </c>
      <c r="K627" s="81" t="n">
        <v>1</v>
      </c>
      <c r="L627" s="84" t="n">
        <f aca="false">IFERROR(INDEX(p_Price,MATCH($F627,p_ID,0)),0)</f>
        <v>1100</v>
      </c>
      <c r="M627" s="85" t="n">
        <v>0</v>
      </c>
      <c r="N627" s="81" t="s">
        <v>644</v>
      </c>
      <c r="O627" s="84" t="n">
        <f aca="false">IF($N627="مرتجع",0,K627*L627*(1-M627))</f>
        <v>1100</v>
      </c>
      <c r="P627" s="84" t="n">
        <f aca="false">IF($N627="مرتجع",0,K627*IFERROR(INDEX(p_Cost,MATCH($F627,p_ID,0)),0))</f>
        <v>780</v>
      </c>
      <c r="Q627" s="84" t="n">
        <f aca="false">O627-P627</f>
        <v>320</v>
      </c>
      <c r="R627" s="86" t="n">
        <f aca="false">DATE(YEAR(B627),MONTH(B627),1)</f>
        <v>46054</v>
      </c>
      <c r="S627" s="83" t="str">
        <f aca="false">YEAR(B627)&amp;"-Q"&amp;ROUNDUP(MONTH(B627)/3,0)</f>
        <v>2026-Q1</v>
      </c>
      <c r="T627" s="87" t="n">
        <f aca="false">IF(O627&gt;0,Q627/O627,"")</f>
        <v>0.290909090909091</v>
      </c>
      <c r="U627" s="84" t="n">
        <f aca="false">IF(O627&gt;0,O627,"")</f>
        <v>1100</v>
      </c>
    </row>
    <row r="628" customFormat="false" ht="15" hidden="false" customHeight="false" outlineLevel="0" collapsed="false">
      <c r="A628" s="81" t="s">
        <v>1271</v>
      </c>
      <c r="B628" s="82" t="n">
        <v>46069</v>
      </c>
      <c r="C628" s="81" t="s">
        <v>414</v>
      </c>
      <c r="D628" s="83" t="str">
        <f aca="false">IFERROR(INDEX(c_Name,MATCH($C628,c_ID,0)),"غير معرّف")</f>
        <v>هند المطيري</v>
      </c>
      <c r="E628" s="83" t="str">
        <f aca="false">IFERROR(INDEX(c_Region,MATCH($C628,c_ID,0)),"غير معرّف")</f>
        <v>الشرقية</v>
      </c>
      <c r="F628" s="81" t="s">
        <v>181</v>
      </c>
      <c r="G628" s="83" t="str">
        <f aca="false">IFERROR(INDEX(p_Name,MATCH($F628,p_ID,0)),"غير معرّف")</f>
        <v>دراجة ثابتة</v>
      </c>
      <c r="H628" s="83" t="str">
        <f aca="false">IFERROR(INDEX(p_Cat,MATCH($F628,p_ID,0)),"غير معرّف")</f>
        <v>رياضة</v>
      </c>
      <c r="I628" s="81" t="s">
        <v>463</v>
      </c>
      <c r="J628" s="81" t="s">
        <v>91</v>
      </c>
      <c r="K628" s="81" t="n">
        <v>1</v>
      </c>
      <c r="L628" s="84" t="n">
        <f aca="false">IFERROR(INDEX(p_Price,MATCH($F628,p_ID,0)),0)</f>
        <v>1800</v>
      </c>
      <c r="M628" s="85" t="n">
        <v>0</v>
      </c>
      <c r="N628" s="81" t="s">
        <v>644</v>
      </c>
      <c r="O628" s="84" t="n">
        <f aca="false">IF($N628="مرتجع",0,K628*L628*(1-M628))</f>
        <v>1800</v>
      </c>
      <c r="P628" s="84" t="n">
        <f aca="false">IF($N628="مرتجع",0,K628*IFERROR(INDEX(p_Cost,MATCH($F628,p_ID,0)),0))</f>
        <v>1200</v>
      </c>
      <c r="Q628" s="84" t="n">
        <f aca="false">O628-P628</f>
        <v>600</v>
      </c>
      <c r="R628" s="86" t="n">
        <f aca="false">DATE(YEAR(B628),MONTH(B628),1)</f>
        <v>46054</v>
      </c>
      <c r="S628" s="83" t="str">
        <f aca="false">YEAR(B628)&amp;"-Q"&amp;ROUNDUP(MONTH(B628)/3,0)</f>
        <v>2026-Q1</v>
      </c>
      <c r="T628" s="87" t="n">
        <f aca="false">IF(O628&gt;0,Q628/O628,"")</f>
        <v>0.333333333333333</v>
      </c>
      <c r="U628" s="84" t="n">
        <f aca="false">IF(O628&gt;0,O628,"")</f>
        <v>1800</v>
      </c>
    </row>
    <row r="629" customFormat="false" ht="15" hidden="false" customHeight="false" outlineLevel="0" collapsed="false">
      <c r="A629" s="81" t="s">
        <v>1272</v>
      </c>
      <c r="B629" s="82" t="n">
        <v>46069</v>
      </c>
      <c r="C629" s="81" t="s">
        <v>356</v>
      </c>
      <c r="D629" s="83" t="str">
        <f aca="false">IFERROR(INDEX(c_Name,MATCH($C629,c_ID,0)),"غير معرّف")</f>
        <v>هند البلوي</v>
      </c>
      <c r="E629" s="83" t="str">
        <f aca="false">IFERROR(INDEX(c_Region,MATCH($C629,c_ID,0)),"غير معرّف")</f>
        <v>الغربية</v>
      </c>
      <c r="F629" s="81" t="s">
        <v>164</v>
      </c>
      <c r="G629" s="83" t="str">
        <f aca="false">IFERROR(INDEX(p_Name,MATCH($F629,p_ID,0)),"غير معرّف")</f>
        <v>هاتف ذكي</v>
      </c>
      <c r="H629" s="83" t="str">
        <f aca="false">IFERROR(INDEX(p_Cat,MATCH($F629,p_ID,0)),"غير معرّف")</f>
        <v>إلكترونيات</v>
      </c>
      <c r="I629" s="81" t="s">
        <v>452</v>
      </c>
      <c r="J629" s="81" t="s">
        <v>93</v>
      </c>
      <c r="K629" s="81" t="n">
        <v>1</v>
      </c>
      <c r="L629" s="84" t="n">
        <f aca="false">IFERROR(INDEX(p_Price,MATCH($F629,p_ID,0)),0)</f>
        <v>2400</v>
      </c>
      <c r="M629" s="85" t="n">
        <v>0.1</v>
      </c>
      <c r="N629" s="81" t="s">
        <v>644</v>
      </c>
      <c r="O629" s="84" t="n">
        <f aca="false">IF($N629="مرتجع",0,K629*L629*(1-M629))</f>
        <v>2160</v>
      </c>
      <c r="P629" s="84" t="n">
        <f aca="false">IF($N629="مرتجع",0,K629*IFERROR(INDEX(p_Cost,MATCH($F629,p_ID,0)),0))</f>
        <v>1750</v>
      </c>
      <c r="Q629" s="84" t="n">
        <f aca="false">O629-P629</f>
        <v>410</v>
      </c>
      <c r="R629" s="86" t="n">
        <f aca="false">DATE(YEAR(B629),MONTH(B629),1)</f>
        <v>46054</v>
      </c>
      <c r="S629" s="83" t="str">
        <f aca="false">YEAR(B629)&amp;"-Q"&amp;ROUNDUP(MONTH(B629)/3,0)</f>
        <v>2026-Q1</v>
      </c>
      <c r="T629" s="87" t="n">
        <f aca="false">IF(O629&gt;0,Q629/O629,"")</f>
        <v>0.189814814814815</v>
      </c>
      <c r="U629" s="84" t="n">
        <f aca="false">IF(O629&gt;0,O629,"")</f>
        <v>2160</v>
      </c>
    </row>
    <row r="630" customFormat="false" ht="15" hidden="false" customHeight="false" outlineLevel="0" collapsed="false">
      <c r="A630" s="81" t="s">
        <v>1273</v>
      </c>
      <c r="B630" s="82" t="n">
        <v>46069</v>
      </c>
      <c r="C630" s="81" t="s">
        <v>420</v>
      </c>
      <c r="D630" s="83" t="str">
        <f aca="false">IFERROR(INDEX(c_Name,MATCH($C630,c_ID,0)),"غير معرّف")</f>
        <v>عبدالله الدوسري</v>
      </c>
      <c r="E630" s="83" t="str">
        <f aca="false">IFERROR(INDEX(c_Region,MATCH($C630,c_ID,0)),"غير معرّف")</f>
        <v>الجنوبية</v>
      </c>
      <c r="F630" s="81" t="s">
        <v>169</v>
      </c>
      <c r="G630" s="83" t="str">
        <f aca="false">IFERROR(INDEX(p_Name,MATCH($F630,p_ID,0)),"غير معرّف")</f>
        <v>خلاط</v>
      </c>
      <c r="H630" s="83" t="str">
        <f aca="false">IFERROR(INDEX(p_Cat,MATCH($F630,p_ID,0)),"غير معرّف")</f>
        <v>أجهزة منزلية</v>
      </c>
      <c r="I630" s="81" t="s">
        <v>467</v>
      </c>
      <c r="J630" s="81" t="s">
        <v>91</v>
      </c>
      <c r="K630" s="81" t="n">
        <v>2</v>
      </c>
      <c r="L630" s="84" t="n">
        <f aca="false">IFERROR(INDEX(p_Price,MATCH($F630,p_ID,0)),0)</f>
        <v>300</v>
      </c>
      <c r="M630" s="85" t="n">
        <v>0</v>
      </c>
      <c r="N630" s="81" t="s">
        <v>644</v>
      </c>
      <c r="O630" s="84" t="n">
        <f aca="false">IF($N630="مرتجع",0,K630*L630*(1-M630))</f>
        <v>600</v>
      </c>
      <c r="P630" s="84" t="n">
        <f aca="false">IF($N630="مرتجع",0,K630*IFERROR(INDEX(p_Cost,MATCH($F630,p_ID,0)),0))</f>
        <v>350</v>
      </c>
      <c r="Q630" s="84" t="n">
        <f aca="false">O630-P630</f>
        <v>250</v>
      </c>
      <c r="R630" s="86" t="n">
        <f aca="false">DATE(YEAR(B630),MONTH(B630),1)</f>
        <v>46054</v>
      </c>
      <c r="S630" s="83" t="str">
        <f aca="false">YEAR(B630)&amp;"-Q"&amp;ROUNDUP(MONTH(B630)/3,0)</f>
        <v>2026-Q1</v>
      </c>
      <c r="T630" s="87" t="n">
        <f aca="false">IF(O630&gt;0,Q630/O630,"")</f>
        <v>0.416666666666667</v>
      </c>
      <c r="U630" s="84" t="n">
        <f aca="false">IF(O630&gt;0,O630,"")</f>
        <v>600</v>
      </c>
    </row>
    <row r="631" customFormat="false" ht="15" hidden="false" customHeight="false" outlineLevel="0" collapsed="false">
      <c r="A631" s="81" t="s">
        <v>1274</v>
      </c>
      <c r="B631" s="82" t="n">
        <v>46069</v>
      </c>
      <c r="C631" s="81" t="s">
        <v>369</v>
      </c>
      <c r="D631" s="83" t="str">
        <f aca="false">IFERROR(INDEX(c_Name,MATCH($C631,c_ID,0)),"غير معرّف")</f>
        <v>منى الغامدي</v>
      </c>
      <c r="E631" s="83" t="str">
        <f aca="false">IFERROR(INDEX(c_Region,MATCH($C631,c_ID,0)),"غير معرّف")</f>
        <v>الوسطى</v>
      </c>
      <c r="F631" s="81" t="s">
        <v>178</v>
      </c>
      <c r="G631" s="83" t="str">
        <f aca="false">IFERROR(INDEX(p_Name,MATCH($F631,p_ID,0)),"غير معرّف")</f>
        <v>حقيبة لابتوب</v>
      </c>
      <c r="H631" s="83" t="str">
        <f aca="false">IFERROR(INDEX(p_Cat,MATCH($F631,p_ID,0)),"غير معرّف")</f>
        <v>مستلزمات مكتبية</v>
      </c>
      <c r="I631" s="81" t="s">
        <v>446</v>
      </c>
      <c r="J631" s="81" t="s">
        <v>95</v>
      </c>
      <c r="K631" s="81" t="n">
        <v>7</v>
      </c>
      <c r="L631" s="84" t="n">
        <f aca="false">IFERROR(INDEX(p_Price,MATCH($F631,p_ID,0)),0)</f>
        <v>260</v>
      </c>
      <c r="M631" s="85" t="n">
        <v>0.2</v>
      </c>
      <c r="N631" s="81" t="s">
        <v>644</v>
      </c>
      <c r="O631" s="84" t="n">
        <f aca="false">IF($N631="مرتجع",0,K631*L631*(1-M631))</f>
        <v>1456</v>
      </c>
      <c r="P631" s="84" t="n">
        <f aca="false">IF($N631="مرتجع",0,K631*IFERROR(INDEX(p_Cost,MATCH($F631,p_ID,0)),0))</f>
        <v>840</v>
      </c>
      <c r="Q631" s="84" t="n">
        <f aca="false">O631-P631</f>
        <v>616</v>
      </c>
      <c r="R631" s="86" t="n">
        <f aca="false">DATE(YEAR(B631),MONTH(B631),1)</f>
        <v>46054</v>
      </c>
      <c r="S631" s="83" t="str">
        <f aca="false">YEAR(B631)&amp;"-Q"&amp;ROUNDUP(MONTH(B631)/3,0)</f>
        <v>2026-Q1</v>
      </c>
      <c r="T631" s="87" t="n">
        <f aca="false">IF(O631&gt;0,Q631/O631,"")</f>
        <v>0.423076923076923</v>
      </c>
      <c r="U631" s="84" t="n">
        <f aca="false">IF(O631&gt;0,O631,"")</f>
        <v>1456</v>
      </c>
    </row>
    <row r="632" customFormat="false" ht="15" hidden="false" customHeight="false" outlineLevel="0" collapsed="false">
      <c r="A632" s="81" t="s">
        <v>1275</v>
      </c>
      <c r="B632" s="82" t="n">
        <v>46070</v>
      </c>
      <c r="C632" s="81" t="s">
        <v>246</v>
      </c>
      <c r="D632" s="83" t="str">
        <f aca="false">IFERROR(INDEX(c_Name,MATCH($C632,c_ID,0)),"غير معرّف")</f>
        <v>ياسر العتيبي</v>
      </c>
      <c r="E632" s="83" t="str">
        <f aca="false">IFERROR(INDEX(c_Region,MATCH($C632,c_ID,0)),"غير معرّف")</f>
        <v>الجنوبية</v>
      </c>
      <c r="F632" s="81" t="s">
        <v>185</v>
      </c>
      <c r="G632" s="83" t="str">
        <f aca="false">IFERROR(INDEX(p_Name,MATCH($F632,p_ID,0)),"غير معرّف")</f>
        <v>ماكينة حلاقة</v>
      </c>
      <c r="H632" s="83" t="str">
        <f aca="false">IFERROR(INDEX(p_Cat,MATCH($F632,p_ID,0)),"غير معرّف")</f>
        <v>عناية شخصية</v>
      </c>
      <c r="I632" s="81" t="s">
        <v>467</v>
      </c>
      <c r="J632" s="81" t="s">
        <v>91</v>
      </c>
      <c r="K632" s="81" t="n">
        <v>1</v>
      </c>
      <c r="L632" s="84" t="n">
        <f aca="false">IFERROR(INDEX(p_Price,MATCH($F632,p_ID,0)),0)</f>
        <v>340</v>
      </c>
      <c r="M632" s="85" t="n">
        <v>0</v>
      </c>
      <c r="N632" s="81" t="s">
        <v>644</v>
      </c>
      <c r="O632" s="84" t="n">
        <f aca="false">IF($N632="مرتجع",0,K632*L632*(1-M632))</f>
        <v>340</v>
      </c>
      <c r="P632" s="84" t="n">
        <f aca="false">IF($N632="مرتجع",0,K632*IFERROR(INDEX(p_Cost,MATCH($F632,p_ID,0)),0))</f>
        <v>170</v>
      </c>
      <c r="Q632" s="84" t="n">
        <f aca="false">O632-P632</f>
        <v>170</v>
      </c>
      <c r="R632" s="86" t="n">
        <f aca="false">DATE(YEAR(B632),MONTH(B632),1)</f>
        <v>46054</v>
      </c>
      <c r="S632" s="83" t="str">
        <f aca="false">YEAR(B632)&amp;"-Q"&amp;ROUNDUP(MONTH(B632)/3,0)</f>
        <v>2026-Q1</v>
      </c>
      <c r="T632" s="87" t="n">
        <f aca="false">IF(O632&gt;0,Q632/O632,"")</f>
        <v>0.5</v>
      </c>
      <c r="U632" s="84" t="n">
        <f aca="false">IF(O632&gt;0,O632,"")</f>
        <v>340</v>
      </c>
    </row>
    <row r="633" customFormat="false" ht="15" hidden="false" customHeight="false" outlineLevel="0" collapsed="false">
      <c r="A633" s="81" t="s">
        <v>1276</v>
      </c>
      <c r="B633" s="82" t="n">
        <v>46070</v>
      </c>
      <c r="C633" s="81" t="s">
        <v>394</v>
      </c>
      <c r="D633" s="83" t="str">
        <f aca="false">IFERROR(INDEX(c_Name,MATCH($C633,c_ID,0)),"غير معرّف")</f>
        <v>طارق الغامدي</v>
      </c>
      <c r="E633" s="83" t="str">
        <f aca="false">IFERROR(INDEX(c_Region,MATCH($C633,c_ID,0)),"غير معرّف")</f>
        <v>الشرقية</v>
      </c>
      <c r="F633" s="81" t="s">
        <v>171</v>
      </c>
      <c r="G633" s="83" t="str">
        <f aca="false">IFERROR(INDEX(p_Name,MATCH($F633,p_ID,0)),"غير معرّف")</f>
        <v>قلاية هوائية</v>
      </c>
      <c r="H633" s="83" t="str">
        <f aca="false">IFERROR(INDEX(p_Cat,MATCH($F633,p_ID,0)),"غير معرّف")</f>
        <v>أجهزة منزلية</v>
      </c>
      <c r="I633" s="81" t="s">
        <v>463</v>
      </c>
      <c r="J633" s="81" t="s">
        <v>91</v>
      </c>
      <c r="K633" s="81" t="n">
        <v>1</v>
      </c>
      <c r="L633" s="84" t="n">
        <f aca="false">IFERROR(INDEX(p_Price,MATCH($F633,p_ID,0)),0)</f>
        <v>520</v>
      </c>
      <c r="M633" s="85" t="n">
        <v>0.05</v>
      </c>
      <c r="N633" s="81" t="s">
        <v>644</v>
      </c>
      <c r="O633" s="84" t="n">
        <f aca="false">IF($N633="مرتجع",0,K633*L633*(1-M633))</f>
        <v>494</v>
      </c>
      <c r="P633" s="84" t="n">
        <f aca="false">IF($N633="مرتجع",0,K633*IFERROR(INDEX(p_Cost,MATCH($F633,p_ID,0)),0))</f>
        <v>300</v>
      </c>
      <c r="Q633" s="84" t="n">
        <f aca="false">O633-P633</f>
        <v>194</v>
      </c>
      <c r="R633" s="86" t="n">
        <f aca="false">DATE(YEAR(B633),MONTH(B633),1)</f>
        <v>46054</v>
      </c>
      <c r="S633" s="83" t="str">
        <f aca="false">YEAR(B633)&amp;"-Q"&amp;ROUNDUP(MONTH(B633)/3,0)</f>
        <v>2026-Q1</v>
      </c>
      <c r="T633" s="87" t="n">
        <f aca="false">IF(O633&gt;0,Q633/O633,"")</f>
        <v>0.392712550607287</v>
      </c>
      <c r="U633" s="84" t="n">
        <f aca="false">IF(O633&gt;0,O633,"")</f>
        <v>494</v>
      </c>
    </row>
    <row r="634" customFormat="false" ht="15" hidden="false" customHeight="false" outlineLevel="0" collapsed="false">
      <c r="A634" s="81" t="s">
        <v>1277</v>
      </c>
      <c r="B634" s="82" t="n">
        <v>46070</v>
      </c>
      <c r="C634" s="81" t="s">
        <v>314</v>
      </c>
      <c r="D634" s="83" t="str">
        <f aca="false">IFERROR(INDEX(c_Name,MATCH($C634,c_ID,0)),"غير معرّف")</f>
        <v>عبير الغامدي</v>
      </c>
      <c r="E634" s="83" t="str">
        <f aca="false">IFERROR(INDEX(c_Region,MATCH($C634,c_ID,0)),"غير معرّف")</f>
        <v>الشرقية</v>
      </c>
      <c r="F634" s="81" t="s">
        <v>185</v>
      </c>
      <c r="G634" s="83" t="str">
        <f aca="false">IFERROR(INDEX(p_Name,MATCH($F634,p_ID,0)),"غير معرّف")</f>
        <v>ماكينة حلاقة</v>
      </c>
      <c r="H634" s="83" t="str">
        <f aca="false">IFERROR(INDEX(p_Cat,MATCH($F634,p_ID,0)),"غير معرّف")</f>
        <v>عناية شخصية</v>
      </c>
      <c r="I634" s="81" t="s">
        <v>461</v>
      </c>
      <c r="J634" s="81" t="s">
        <v>93</v>
      </c>
      <c r="K634" s="81" t="n">
        <v>3</v>
      </c>
      <c r="L634" s="84" t="n">
        <f aca="false">IFERROR(INDEX(p_Price,MATCH($F634,p_ID,0)),0)</f>
        <v>340</v>
      </c>
      <c r="M634" s="85" t="n">
        <v>0.1</v>
      </c>
      <c r="N634" s="81" t="s">
        <v>644</v>
      </c>
      <c r="O634" s="84" t="n">
        <f aca="false">IF($N634="مرتجع",0,K634*L634*(1-M634))</f>
        <v>918</v>
      </c>
      <c r="P634" s="84" t="n">
        <f aca="false">IF($N634="مرتجع",0,K634*IFERROR(INDEX(p_Cost,MATCH($F634,p_ID,0)),0))</f>
        <v>510</v>
      </c>
      <c r="Q634" s="84" t="n">
        <f aca="false">O634-P634</f>
        <v>408</v>
      </c>
      <c r="R634" s="86" t="n">
        <f aca="false">DATE(YEAR(B634),MONTH(B634),1)</f>
        <v>46054</v>
      </c>
      <c r="S634" s="83" t="str">
        <f aca="false">YEAR(B634)&amp;"-Q"&amp;ROUNDUP(MONTH(B634)/3,0)</f>
        <v>2026-Q1</v>
      </c>
      <c r="T634" s="87" t="n">
        <f aca="false">IF(O634&gt;0,Q634/O634,"")</f>
        <v>0.444444444444444</v>
      </c>
      <c r="U634" s="84" t="n">
        <f aca="false">IF(O634&gt;0,O634,"")</f>
        <v>918</v>
      </c>
    </row>
    <row r="635" customFormat="false" ht="15" hidden="false" customHeight="false" outlineLevel="0" collapsed="false">
      <c r="A635" s="81" t="s">
        <v>1278</v>
      </c>
      <c r="B635" s="82" t="n">
        <v>46071</v>
      </c>
      <c r="C635" s="81" t="s">
        <v>404</v>
      </c>
      <c r="D635" s="83" t="str">
        <f aca="false">IFERROR(INDEX(c_Name,MATCH($C635,c_ID,0)),"غير معرّف")</f>
        <v>عبدالله الحسيني</v>
      </c>
      <c r="E635" s="83" t="str">
        <f aca="false">IFERROR(INDEX(c_Region,MATCH($C635,c_ID,0)),"غير معرّف")</f>
        <v>الشرقية</v>
      </c>
      <c r="F635" s="81" t="s">
        <v>176</v>
      </c>
      <c r="G635" s="83" t="str">
        <f aca="false">IFERROR(INDEX(p_Name,MATCH($F635,p_ID,0)),"غير معرّف")</f>
        <v>طابعة ليزر</v>
      </c>
      <c r="H635" s="83" t="str">
        <f aca="false">IFERROR(INDEX(p_Cat,MATCH($F635,p_ID,0)),"غير معرّف")</f>
        <v>مستلزمات مكتبية</v>
      </c>
      <c r="I635" s="81" t="s">
        <v>461</v>
      </c>
      <c r="J635" s="81" t="s">
        <v>91</v>
      </c>
      <c r="K635" s="81" t="n">
        <v>1</v>
      </c>
      <c r="L635" s="84" t="n">
        <f aca="false">IFERROR(INDEX(p_Price,MATCH($F635,p_ID,0)),0)</f>
        <v>1300</v>
      </c>
      <c r="M635" s="85" t="n">
        <v>0.05</v>
      </c>
      <c r="N635" s="81" t="s">
        <v>644</v>
      </c>
      <c r="O635" s="84" t="n">
        <f aca="false">IF($N635="مرتجع",0,K635*L635*(1-M635))</f>
        <v>1235</v>
      </c>
      <c r="P635" s="84" t="n">
        <f aca="false">IF($N635="مرتجع",0,K635*IFERROR(INDEX(p_Cost,MATCH($F635,p_ID,0)),0))</f>
        <v>950</v>
      </c>
      <c r="Q635" s="84" t="n">
        <f aca="false">O635-P635</f>
        <v>285</v>
      </c>
      <c r="R635" s="86" t="n">
        <f aca="false">DATE(YEAR(B635),MONTH(B635),1)</f>
        <v>46054</v>
      </c>
      <c r="S635" s="83" t="str">
        <f aca="false">YEAR(B635)&amp;"-Q"&amp;ROUNDUP(MONTH(B635)/3,0)</f>
        <v>2026-Q1</v>
      </c>
      <c r="T635" s="87" t="n">
        <f aca="false">IF(O635&gt;0,Q635/O635,"")</f>
        <v>0.230769230769231</v>
      </c>
      <c r="U635" s="84" t="n">
        <f aca="false">IF(O635&gt;0,O635,"")</f>
        <v>1235</v>
      </c>
    </row>
    <row r="636" customFormat="false" ht="15" hidden="false" customHeight="false" outlineLevel="0" collapsed="false">
      <c r="A636" s="81" t="s">
        <v>1279</v>
      </c>
      <c r="B636" s="82" t="n">
        <v>46071</v>
      </c>
      <c r="C636" s="81" t="s">
        <v>389</v>
      </c>
      <c r="D636" s="83" t="str">
        <f aca="false">IFERROR(INDEX(c_Name,MATCH($C636,c_ID,0)),"غير معرّف")</f>
        <v>ليلى القحطاني</v>
      </c>
      <c r="E636" s="83" t="str">
        <f aca="false">IFERROR(INDEX(c_Region,MATCH($C636,c_ID,0)),"غير معرّف")</f>
        <v>الشرقية</v>
      </c>
      <c r="F636" s="81" t="s">
        <v>187</v>
      </c>
      <c r="G636" s="83" t="str">
        <f aca="false">IFERROR(INDEX(p_Name,MATCH($F636,p_ID,0)),"غير معرّف")</f>
        <v>جهاز تدليك</v>
      </c>
      <c r="H636" s="83" t="str">
        <f aca="false">IFERROR(INDEX(p_Cat,MATCH($F636,p_ID,0)),"غير معرّف")</f>
        <v>عناية شخصية</v>
      </c>
      <c r="I636" s="81" t="s">
        <v>463</v>
      </c>
      <c r="J636" s="81" t="s">
        <v>93</v>
      </c>
      <c r="K636" s="81" t="n">
        <v>5</v>
      </c>
      <c r="L636" s="84" t="n">
        <f aca="false">IFERROR(INDEX(p_Price,MATCH($F636,p_ID,0)),0)</f>
        <v>600</v>
      </c>
      <c r="M636" s="85" t="n">
        <v>0</v>
      </c>
      <c r="N636" s="81" t="s">
        <v>644</v>
      </c>
      <c r="O636" s="84" t="n">
        <f aca="false">IF($N636="مرتجع",0,K636*L636*(1-M636))</f>
        <v>3000</v>
      </c>
      <c r="P636" s="84" t="n">
        <f aca="false">IF($N636="مرتجع",0,K636*IFERROR(INDEX(p_Cost,MATCH($F636,p_ID,0)),0))</f>
        <v>1650</v>
      </c>
      <c r="Q636" s="84" t="n">
        <f aca="false">O636-P636</f>
        <v>1350</v>
      </c>
      <c r="R636" s="86" t="n">
        <f aca="false">DATE(YEAR(B636),MONTH(B636),1)</f>
        <v>46054</v>
      </c>
      <c r="S636" s="83" t="str">
        <f aca="false">YEAR(B636)&amp;"-Q"&amp;ROUNDUP(MONTH(B636)/3,0)</f>
        <v>2026-Q1</v>
      </c>
      <c r="T636" s="87" t="n">
        <f aca="false">IF(O636&gt;0,Q636/O636,"")</f>
        <v>0.45</v>
      </c>
      <c r="U636" s="84" t="n">
        <f aca="false">IF(O636&gt;0,O636,"")</f>
        <v>3000</v>
      </c>
    </row>
    <row r="637" customFormat="false" ht="15" hidden="false" customHeight="false" outlineLevel="0" collapsed="false">
      <c r="A637" s="81" t="s">
        <v>1280</v>
      </c>
      <c r="B637" s="82" t="n">
        <v>46071</v>
      </c>
      <c r="C637" s="81" t="s">
        <v>269</v>
      </c>
      <c r="D637" s="83" t="str">
        <f aca="false">IFERROR(INDEX(c_Name,MATCH($C637,c_ID,0)),"غير معرّف")</f>
        <v>أحمد السبيعي</v>
      </c>
      <c r="E637" s="83" t="str">
        <f aca="false">IFERROR(INDEX(c_Region,MATCH($C637,c_ID,0)),"غير معرّف")</f>
        <v>الشرقية</v>
      </c>
      <c r="F637" s="81" t="s">
        <v>177</v>
      </c>
      <c r="G637" s="83" t="str">
        <f aca="false">IFERROR(INDEX(p_Name,MATCH($F637,p_ID,0)),"غير معرّف")</f>
        <v>ورق A4 (صندوق)</v>
      </c>
      <c r="H637" s="83" t="str">
        <f aca="false">IFERROR(INDEX(p_Cat,MATCH($F637,p_ID,0)),"غير معرّف")</f>
        <v>مستلزمات مكتبية</v>
      </c>
      <c r="I637" s="81" t="s">
        <v>461</v>
      </c>
      <c r="J637" s="81" t="s">
        <v>91</v>
      </c>
      <c r="K637" s="81" t="n">
        <v>1</v>
      </c>
      <c r="L637" s="84" t="n">
        <f aca="false">IFERROR(INDEX(p_Price,MATCH($F637,p_ID,0)),0)</f>
        <v>140</v>
      </c>
      <c r="M637" s="85" t="n">
        <v>0</v>
      </c>
      <c r="N637" s="81" t="s">
        <v>644</v>
      </c>
      <c r="O637" s="84" t="n">
        <f aca="false">IF($N637="مرتجع",0,K637*L637*(1-M637))</f>
        <v>140</v>
      </c>
      <c r="P637" s="84" t="n">
        <f aca="false">IF($N637="مرتجع",0,K637*IFERROR(INDEX(p_Cost,MATCH($F637,p_ID,0)),0))</f>
        <v>95</v>
      </c>
      <c r="Q637" s="84" t="n">
        <f aca="false">O637-P637</f>
        <v>45</v>
      </c>
      <c r="R637" s="86" t="n">
        <f aca="false">DATE(YEAR(B637),MONTH(B637),1)</f>
        <v>46054</v>
      </c>
      <c r="S637" s="83" t="str">
        <f aca="false">YEAR(B637)&amp;"-Q"&amp;ROUNDUP(MONTH(B637)/3,0)</f>
        <v>2026-Q1</v>
      </c>
      <c r="T637" s="87" t="n">
        <f aca="false">IF(O637&gt;0,Q637/O637,"")</f>
        <v>0.321428571428571</v>
      </c>
      <c r="U637" s="84" t="n">
        <f aca="false">IF(O637&gt;0,O637,"")</f>
        <v>140</v>
      </c>
    </row>
    <row r="638" customFormat="false" ht="15" hidden="false" customHeight="false" outlineLevel="0" collapsed="false">
      <c r="A638" s="81" t="s">
        <v>1281</v>
      </c>
      <c r="B638" s="82" t="n">
        <v>46071</v>
      </c>
      <c r="C638" s="81" t="s">
        <v>395</v>
      </c>
      <c r="D638" s="83" t="str">
        <f aca="false">IFERROR(INDEX(c_Name,MATCH($C638,c_ID,0)),"غير معرّف")</f>
        <v>فهد الخالدي</v>
      </c>
      <c r="E638" s="83" t="str">
        <f aca="false">IFERROR(INDEX(c_Region,MATCH($C638,c_ID,0)),"غير معرّف")</f>
        <v>الجنوبية</v>
      </c>
      <c r="F638" s="81" t="s">
        <v>182</v>
      </c>
      <c r="G638" s="83" t="str">
        <f aca="false">IFERROR(INDEX(p_Name,MATCH($F638,p_ID,0)),"غير معرّف")</f>
        <v>طقم أوزان</v>
      </c>
      <c r="H638" s="83" t="str">
        <f aca="false">IFERROR(INDEX(p_Cat,MATCH($F638,p_ID,0)),"غير معرّف")</f>
        <v>رياضة</v>
      </c>
      <c r="I638" s="81" t="s">
        <v>465</v>
      </c>
      <c r="J638" s="81" t="s">
        <v>93</v>
      </c>
      <c r="K638" s="81" t="n">
        <v>1</v>
      </c>
      <c r="L638" s="84" t="n">
        <f aca="false">IFERROR(INDEX(p_Price,MATCH($F638,p_ID,0)),0)</f>
        <v>380</v>
      </c>
      <c r="M638" s="85" t="n">
        <v>0.05</v>
      </c>
      <c r="N638" s="81" t="s">
        <v>644</v>
      </c>
      <c r="O638" s="84" t="n">
        <f aca="false">IF($N638="مرتجع",0,K638*L638*(1-M638))</f>
        <v>361</v>
      </c>
      <c r="P638" s="84" t="n">
        <f aca="false">IF($N638="مرتجع",0,K638*IFERROR(INDEX(p_Cost,MATCH($F638,p_ID,0)),0))</f>
        <v>210</v>
      </c>
      <c r="Q638" s="84" t="n">
        <f aca="false">O638-P638</f>
        <v>151</v>
      </c>
      <c r="R638" s="86" t="n">
        <f aca="false">DATE(YEAR(B638),MONTH(B638),1)</f>
        <v>46054</v>
      </c>
      <c r="S638" s="83" t="str">
        <f aca="false">YEAR(B638)&amp;"-Q"&amp;ROUNDUP(MONTH(B638)/3,0)</f>
        <v>2026-Q1</v>
      </c>
      <c r="T638" s="87" t="n">
        <f aca="false">IF(O638&gt;0,Q638/O638,"")</f>
        <v>0.418282548476454</v>
      </c>
      <c r="U638" s="84" t="n">
        <f aca="false">IF(O638&gt;0,O638,"")</f>
        <v>361</v>
      </c>
    </row>
    <row r="639" customFormat="false" ht="15" hidden="false" customHeight="false" outlineLevel="0" collapsed="false">
      <c r="A639" s="81" t="s">
        <v>1282</v>
      </c>
      <c r="B639" s="82" t="n">
        <v>46071</v>
      </c>
      <c r="C639" s="81" t="s">
        <v>285</v>
      </c>
      <c r="D639" s="83" t="str">
        <f aca="false">IFERROR(INDEX(c_Name,MATCH($C639,c_ID,0)),"غير معرّف")</f>
        <v>ياسر التميمي</v>
      </c>
      <c r="E639" s="83" t="str">
        <f aca="false">IFERROR(INDEX(c_Region,MATCH($C639,c_ID,0)),"غير معرّف")</f>
        <v>الغربية</v>
      </c>
      <c r="F639" s="81" t="s">
        <v>186</v>
      </c>
      <c r="G639" s="83" t="str">
        <f aca="false">IFERROR(INDEX(p_Name,MATCH($F639,p_ID,0)),"غير معرّف")</f>
        <v>مجفف شعر</v>
      </c>
      <c r="H639" s="83" t="str">
        <f aca="false">IFERROR(INDEX(p_Cat,MATCH($F639,p_ID,0)),"غير معرّف")</f>
        <v>عناية شخصية</v>
      </c>
      <c r="I639" s="81" t="s">
        <v>455</v>
      </c>
      <c r="J639" s="81" t="s">
        <v>91</v>
      </c>
      <c r="K639" s="81" t="n">
        <v>2</v>
      </c>
      <c r="L639" s="84" t="n">
        <f aca="false">IFERROR(INDEX(p_Price,MATCH($F639,p_ID,0)),0)</f>
        <v>280</v>
      </c>
      <c r="M639" s="85" t="n">
        <v>0.05</v>
      </c>
      <c r="N639" s="81" t="s">
        <v>644</v>
      </c>
      <c r="O639" s="84" t="n">
        <f aca="false">IF($N639="مرتجع",0,K639*L639*(1-M639))</f>
        <v>532</v>
      </c>
      <c r="P639" s="84" t="n">
        <f aca="false">IF($N639="مرتجع",0,K639*IFERROR(INDEX(p_Cost,MATCH($F639,p_ID,0)),0))</f>
        <v>280</v>
      </c>
      <c r="Q639" s="84" t="n">
        <f aca="false">O639-P639</f>
        <v>252</v>
      </c>
      <c r="R639" s="86" t="n">
        <f aca="false">DATE(YEAR(B639),MONTH(B639),1)</f>
        <v>46054</v>
      </c>
      <c r="S639" s="83" t="str">
        <f aca="false">YEAR(B639)&amp;"-Q"&amp;ROUNDUP(MONTH(B639)/3,0)</f>
        <v>2026-Q1</v>
      </c>
      <c r="T639" s="87" t="n">
        <f aca="false">IF(O639&gt;0,Q639/O639,"")</f>
        <v>0.473684210526316</v>
      </c>
      <c r="U639" s="84" t="n">
        <f aca="false">IF(O639&gt;0,O639,"")</f>
        <v>532</v>
      </c>
    </row>
    <row r="640" customFormat="false" ht="15" hidden="false" customHeight="false" outlineLevel="0" collapsed="false">
      <c r="A640" s="81" t="s">
        <v>1283</v>
      </c>
      <c r="B640" s="82" t="n">
        <v>46072</v>
      </c>
      <c r="C640" s="81" t="s">
        <v>385</v>
      </c>
      <c r="D640" s="83" t="str">
        <f aca="false">IFERROR(INDEX(c_Name,MATCH($C640,c_ID,0)),"غير معرّف")</f>
        <v>سارة الشهري</v>
      </c>
      <c r="E640" s="83" t="str">
        <f aca="false">IFERROR(INDEX(c_Region,MATCH($C640,c_ID,0)),"غير معرّف")</f>
        <v>الشرقية</v>
      </c>
      <c r="F640" s="81" t="s">
        <v>179</v>
      </c>
      <c r="G640" s="83" t="str">
        <f aca="false">IFERROR(INDEX(p_Name,MATCH($F640,p_ID,0)),"غير معرّف")</f>
        <v>طقم أدوات مكتبية</v>
      </c>
      <c r="H640" s="83" t="str">
        <f aca="false">IFERROR(INDEX(p_Cat,MATCH($F640,p_ID,0)),"غير معرّف")</f>
        <v>مستلزمات مكتبية</v>
      </c>
      <c r="I640" s="81" t="s">
        <v>461</v>
      </c>
      <c r="J640" s="81" t="s">
        <v>93</v>
      </c>
      <c r="K640" s="81" t="n">
        <v>4</v>
      </c>
      <c r="L640" s="84" t="n">
        <f aca="false">IFERROR(INDEX(p_Price,MATCH($F640,p_ID,0)),0)</f>
        <v>90</v>
      </c>
      <c r="M640" s="85" t="n">
        <v>0.05</v>
      </c>
      <c r="N640" s="81" t="s">
        <v>644</v>
      </c>
      <c r="O640" s="84" t="n">
        <f aca="false">IF($N640="مرتجع",0,K640*L640*(1-M640))</f>
        <v>342</v>
      </c>
      <c r="P640" s="84" t="n">
        <f aca="false">IF($N640="مرتجع",0,K640*IFERROR(INDEX(p_Cost,MATCH($F640,p_ID,0)),0))</f>
        <v>180</v>
      </c>
      <c r="Q640" s="84" t="n">
        <f aca="false">O640-P640</f>
        <v>162</v>
      </c>
      <c r="R640" s="86" t="n">
        <f aca="false">DATE(YEAR(B640),MONTH(B640),1)</f>
        <v>46054</v>
      </c>
      <c r="S640" s="83" t="str">
        <f aca="false">YEAR(B640)&amp;"-Q"&amp;ROUNDUP(MONTH(B640)/3,0)</f>
        <v>2026-Q1</v>
      </c>
      <c r="T640" s="87" t="n">
        <f aca="false">IF(O640&gt;0,Q640/O640,"")</f>
        <v>0.473684210526316</v>
      </c>
      <c r="U640" s="84" t="n">
        <f aca="false">IF(O640&gt;0,O640,"")</f>
        <v>342</v>
      </c>
    </row>
    <row r="641" customFormat="false" ht="15" hidden="false" customHeight="false" outlineLevel="0" collapsed="false">
      <c r="A641" s="81" t="s">
        <v>1284</v>
      </c>
      <c r="B641" s="82" t="n">
        <v>46072</v>
      </c>
      <c r="C641" s="81" t="s">
        <v>263</v>
      </c>
      <c r="D641" s="83" t="str">
        <f aca="false">IFERROR(INDEX(c_Name,MATCH($C641,c_ID,0)),"غير معرّف")</f>
        <v>سارة الخالدي</v>
      </c>
      <c r="E641" s="83" t="str">
        <f aca="false">IFERROR(INDEX(c_Region,MATCH($C641,c_ID,0)),"غير معرّف")</f>
        <v>الغربية</v>
      </c>
      <c r="F641" s="81" t="s">
        <v>178</v>
      </c>
      <c r="G641" s="83" t="str">
        <f aca="false">IFERROR(INDEX(p_Name,MATCH($F641,p_ID,0)),"غير معرّف")</f>
        <v>حقيبة لابتوب</v>
      </c>
      <c r="H641" s="83" t="str">
        <f aca="false">IFERROR(INDEX(p_Cat,MATCH($F641,p_ID,0)),"غير معرّف")</f>
        <v>مستلزمات مكتبية</v>
      </c>
      <c r="I641" s="81" t="s">
        <v>458</v>
      </c>
      <c r="J641" s="81" t="s">
        <v>91</v>
      </c>
      <c r="K641" s="81" t="n">
        <v>6</v>
      </c>
      <c r="L641" s="84" t="n">
        <f aca="false">IFERROR(INDEX(p_Price,MATCH($F641,p_ID,0)),0)</f>
        <v>260</v>
      </c>
      <c r="M641" s="85" t="n">
        <v>0</v>
      </c>
      <c r="N641" s="81" t="s">
        <v>644</v>
      </c>
      <c r="O641" s="84" t="n">
        <f aca="false">IF($N641="مرتجع",0,K641*L641*(1-M641))</f>
        <v>1560</v>
      </c>
      <c r="P641" s="84" t="n">
        <f aca="false">IF($N641="مرتجع",0,K641*IFERROR(INDEX(p_Cost,MATCH($F641,p_ID,0)),0))</f>
        <v>720</v>
      </c>
      <c r="Q641" s="84" t="n">
        <f aca="false">O641-P641</f>
        <v>840</v>
      </c>
      <c r="R641" s="86" t="n">
        <f aca="false">DATE(YEAR(B641),MONTH(B641),1)</f>
        <v>46054</v>
      </c>
      <c r="S641" s="83" t="str">
        <f aca="false">YEAR(B641)&amp;"-Q"&amp;ROUNDUP(MONTH(B641)/3,0)</f>
        <v>2026-Q1</v>
      </c>
      <c r="T641" s="87" t="n">
        <f aca="false">IF(O641&gt;0,Q641/O641,"")</f>
        <v>0.538461538461538</v>
      </c>
      <c r="U641" s="84" t="n">
        <f aca="false">IF(O641&gt;0,O641,"")</f>
        <v>1560</v>
      </c>
    </row>
    <row r="642" customFormat="false" ht="15" hidden="false" customHeight="false" outlineLevel="0" collapsed="false">
      <c r="A642" s="81" t="s">
        <v>1285</v>
      </c>
      <c r="B642" s="82" t="n">
        <v>46072</v>
      </c>
      <c r="C642" s="81" t="s">
        <v>401</v>
      </c>
      <c r="D642" s="83" t="str">
        <f aca="false">IFERROR(INDEX(c_Name,MATCH($C642,c_ID,0)),"غير معرّف")</f>
        <v>فهد المطيري</v>
      </c>
      <c r="E642" s="83" t="str">
        <f aca="false">IFERROR(INDEX(c_Region,MATCH($C642,c_ID,0)),"غير معرّف")</f>
        <v>الغربية</v>
      </c>
      <c r="F642" s="81" t="s">
        <v>169</v>
      </c>
      <c r="G642" s="83" t="str">
        <f aca="false">IFERROR(INDEX(p_Name,MATCH($F642,p_ID,0)),"غير معرّف")</f>
        <v>خلاط</v>
      </c>
      <c r="H642" s="83" t="str">
        <f aca="false">IFERROR(INDEX(p_Cat,MATCH($F642,p_ID,0)),"غير معرّف")</f>
        <v>أجهزة منزلية</v>
      </c>
      <c r="I642" s="81" t="s">
        <v>458</v>
      </c>
      <c r="J642" s="81" t="s">
        <v>93</v>
      </c>
      <c r="K642" s="81" t="n">
        <v>2</v>
      </c>
      <c r="L642" s="84" t="n">
        <f aca="false">IFERROR(INDEX(p_Price,MATCH($F642,p_ID,0)),0)</f>
        <v>300</v>
      </c>
      <c r="M642" s="85" t="n">
        <v>0.1</v>
      </c>
      <c r="N642" s="81" t="s">
        <v>644</v>
      </c>
      <c r="O642" s="84" t="n">
        <f aca="false">IF($N642="مرتجع",0,K642*L642*(1-M642))</f>
        <v>540</v>
      </c>
      <c r="P642" s="84" t="n">
        <f aca="false">IF($N642="مرتجع",0,K642*IFERROR(INDEX(p_Cost,MATCH($F642,p_ID,0)),0))</f>
        <v>350</v>
      </c>
      <c r="Q642" s="84" t="n">
        <f aca="false">O642-P642</f>
        <v>190</v>
      </c>
      <c r="R642" s="86" t="n">
        <f aca="false">DATE(YEAR(B642),MONTH(B642),1)</f>
        <v>46054</v>
      </c>
      <c r="S642" s="83" t="str">
        <f aca="false">YEAR(B642)&amp;"-Q"&amp;ROUNDUP(MONTH(B642)/3,0)</f>
        <v>2026-Q1</v>
      </c>
      <c r="T642" s="87" t="n">
        <f aca="false">IF(O642&gt;0,Q642/O642,"")</f>
        <v>0.351851851851852</v>
      </c>
      <c r="U642" s="84" t="n">
        <f aca="false">IF(O642&gt;0,O642,"")</f>
        <v>540</v>
      </c>
    </row>
    <row r="643" customFormat="false" ht="15" hidden="false" customHeight="false" outlineLevel="0" collapsed="false">
      <c r="A643" s="81" t="s">
        <v>1286</v>
      </c>
      <c r="B643" s="82" t="n">
        <v>46072</v>
      </c>
      <c r="C643" s="81" t="s">
        <v>418</v>
      </c>
      <c r="D643" s="83" t="str">
        <f aca="false">IFERROR(INDEX(c_Name,MATCH($C643,c_ID,0)),"غير معرّف")</f>
        <v>ياسر الزهراني</v>
      </c>
      <c r="E643" s="83" t="str">
        <f aca="false">IFERROR(INDEX(c_Region,MATCH($C643,c_ID,0)),"غير معرّف")</f>
        <v>الشرقية</v>
      </c>
      <c r="F643" s="81" t="s">
        <v>175</v>
      </c>
      <c r="G643" s="83" t="str">
        <f aca="false">IFERROR(INDEX(p_Name,MATCH($F643,p_ID,0)),"غير معرّف")</f>
        <v>رف كتب</v>
      </c>
      <c r="H643" s="83" t="str">
        <f aca="false">IFERROR(INDEX(p_Cat,MATCH($F643,p_ID,0)),"غير معرّف")</f>
        <v>أثاث</v>
      </c>
      <c r="I643" s="81" t="s">
        <v>463</v>
      </c>
      <c r="J643" s="81" t="s">
        <v>91</v>
      </c>
      <c r="K643" s="81" t="n">
        <v>3</v>
      </c>
      <c r="L643" s="84" t="n">
        <f aca="false">IFERROR(INDEX(p_Price,MATCH($F643,p_ID,0)),0)</f>
        <v>400</v>
      </c>
      <c r="M643" s="85" t="n">
        <v>0.05</v>
      </c>
      <c r="N643" s="81" t="s">
        <v>644</v>
      </c>
      <c r="O643" s="84" t="n">
        <f aca="false">IF($N643="مرتجع",0,K643*L643*(1-M643))</f>
        <v>1140</v>
      </c>
      <c r="P643" s="84" t="n">
        <f aca="false">IF($N643="مرتجع",0,K643*IFERROR(INDEX(p_Cost,MATCH($F643,p_ID,0)),0))</f>
        <v>660</v>
      </c>
      <c r="Q643" s="84" t="n">
        <f aca="false">O643-P643</f>
        <v>480</v>
      </c>
      <c r="R643" s="86" t="n">
        <f aca="false">DATE(YEAR(B643),MONTH(B643),1)</f>
        <v>46054</v>
      </c>
      <c r="S643" s="83" t="str">
        <f aca="false">YEAR(B643)&amp;"-Q"&amp;ROUNDUP(MONTH(B643)/3,0)</f>
        <v>2026-Q1</v>
      </c>
      <c r="T643" s="87" t="n">
        <f aca="false">IF(O643&gt;0,Q643/O643,"")</f>
        <v>0.421052631578947</v>
      </c>
      <c r="U643" s="84" t="n">
        <f aca="false">IF(O643&gt;0,O643,"")</f>
        <v>1140</v>
      </c>
    </row>
    <row r="644" customFormat="false" ht="15" hidden="false" customHeight="false" outlineLevel="0" collapsed="false">
      <c r="A644" s="81" t="s">
        <v>1287</v>
      </c>
      <c r="B644" s="82" t="n">
        <v>46072</v>
      </c>
      <c r="C644" s="81" t="s">
        <v>430</v>
      </c>
      <c r="D644" s="83" t="str">
        <f aca="false">IFERROR(INDEX(c_Name,MATCH($C644,c_ID,0)),"غير معرّف")</f>
        <v>ليلى الحربي</v>
      </c>
      <c r="E644" s="83" t="str">
        <f aca="false">IFERROR(INDEX(c_Region,MATCH($C644,c_ID,0)),"غير معرّف")</f>
        <v>الجنوبية</v>
      </c>
      <c r="F644" s="81" t="s">
        <v>164</v>
      </c>
      <c r="G644" s="83" t="str">
        <f aca="false">IFERROR(INDEX(p_Name,MATCH($F644,p_ID,0)),"غير معرّف")</f>
        <v>هاتف ذكي</v>
      </c>
      <c r="H644" s="83" t="str">
        <f aca="false">IFERROR(INDEX(p_Cat,MATCH($F644,p_ID,0)),"غير معرّف")</f>
        <v>إلكترونيات</v>
      </c>
      <c r="I644" s="81" t="s">
        <v>467</v>
      </c>
      <c r="J644" s="81" t="s">
        <v>91</v>
      </c>
      <c r="K644" s="81" t="n">
        <v>2</v>
      </c>
      <c r="L644" s="84" t="n">
        <f aca="false">IFERROR(INDEX(p_Price,MATCH($F644,p_ID,0)),0)</f>
        <v>2400</v>
      </c>
      <c r="M644" s="85" t="n">
        <v>0.1</v>
      </c>
      <c r="N644" s="81" t="s">
        <v>644</v>
      </c>
      <c r="O644" s="84" t="n">
        <f aca="false">IF($N644="مرتجع",0,K644*L644*(1-M644))</f>
        <v>4320</v>
      </c>
      <c r="P644" s="84" t="n">
        <f aca="false">IF($N644="مرتجع",0,K644*IFERROR(INDEX(p_Cost,MATCH($F644,p_ID,0)),0))</f>
        <v>3500</v>
      </c>
      <c r="Q644" s="84" t="n">
        <f aca="false">O644-P644</f>
        <v>820</v>
      </c>
      <c r="R644" s="86" t="n">
        <f aca="false">DATE(YEAR(B644),MONTH(B644),1)</f>
        <v>46054</v>
      </c>
      <c r="S644" s="83" t="str">
        <f aca="false">YEAR(B644)&amp;"-Q"&amp;ROUNDUP(MONTH(B644)/3,0)</f>
        <v>2026-Q1</v>
      </c>
      <c r="T644" s="87" t="n">
        <f aca="false">IF(O644&gt;0,Q644/O644,"")</f>
        <v>0.189814814814815</v>
      </c>
      <c r="U644" s="84" t="n">
        <f aca="false">IF(O644&gt;0,O644,"")</f>
        <v>4320</v>
      </c>
    </row>
    <row r="645" customFormat="false" ht="15" hidden="false" customHeight="false" outlineLevel="0" collapsed="false">
      <c r="A645" s="81" t="s">
        <v>1288</v>
      </c>
      <c r="B645" s="82" t="n">
        <v>46072</v>
      </c>
      <c r="C645" s="81" t="s">
        <v>334</v>
      </c>
      <c r="D645" s="83" t="str">
        <f aca="false">IFERROR(INDEX(c_Name,MATCH($C645,c_ID,0)),"غير معرّف")</f>
        <v>ناصر الغامدي</v>
      </c>
      <c r="E645" s="83" t="str">
        <f aca="false">IFERROR(INDEX(c_Region,MATCH($C645,c_ID,0)),"غير معرّف")</f>
        <v>الغربية</v>
      </c>
      <c r="F645" s="81" t="s">
        <v>180</v>
      </c>
      <c r="G645" s="83" t="str">
        <f aca="false">IFERROR(INDEX(p_Name,MATCH($F645,p_ID,0)),"غير معرّف")</f>
        <v>جهاز مشي</v>
      </c>
      <c r="H645" s="83" t="str">
        <f aca="false">IFERROR(INDEX(p_Cat,MATCH($F645,p_ID,0)),"غير معرّف")</f>
        <v>رياضة</v>
      </c>
      <c r="I645" s="81" t="s">
        <v>458</v>
      </c>
      <c r="J645" s="81" t="s">
        <v>93</v>
      </c>
      <c r="K645" s="81" t="n">
        <v>1</v>
      </c>
      <c r="L645" s="84" t="n">
        <f aca="false">IFERROR(INDEX(p_Price,MATCH($F645,p_ID,0)),0)</f>
        <v>3200</v>
      </c>
      <c r="M645" s="85" t="n">
        <v>0.05</v>
      </c>
      <c r="N645" s="81" t="s">
        <v>644</v>
      </c>
      <c r="O645" s="84" t="n">
        <f aca="false">IF($N645="مرتجع",0,K645*L645*(1-M645))</f>
        <v>3040</v>
      </c>
      <c r="P645" s="84" t="n">
        <f aca="false">IF($N645="مرتجع",0,K645*IFERROR(INDEX(p_Cost,MATCH($F645,p_ID,0)),0))</f>
        <v>2200</v>
      </c>
      <c r="Q645" s="84" t="n">
        <f aca="false">O645-P645</f>
        <v>840</v>
      </c>
      <c r="R645" s="86" t="n">
        <f aca="false">DATE(YEAR(B645),MONTH(B645),1)</f>
        <v>46054</v>
      </c>
      <c r="S645" s="83" t="str">
        <f aca="false">YEAR(B645)&amp;"-Q"&amp;ROUNDUP(MONTH(B645)/3,0)</f>
        <v>2026-Q1</v>
      </c>
      <c r="T645" s="87" t="n">
        <f aca="false">IF(O645&gt;0,Q645/O645,"")</f>
        <v>0.276315789473684</v>
      </c>
      <c r="U645" s="84" t="n">
        <f aca="false">IF(O645&gt;0,O645,"")</f>
        <v>3040</v>
      </c>
    </row>
    <row r="646" customFormat="false" ht="15" hidden="false" customHeight="false" outlineLevel="0" collapsed="false">
      <c r="A646" s="81" t="s">
        <v>1289</v>
      </c>
      <c r="B646" s="82" t="n">
        <v>46072</v>
      </c>
      <c r="C646" s="81" t="s">
        <v>418</v>
      </c>
      <c r="D646" s="83" t="str">
        <f aca="false">IFERROR(INDEX(c_Name,MATCH($C646,c_ID,0)),"غير معرّف")</f>
        <v>ياسر الزهراني</v>
      </c>
      <c r="E646" s="83" t="str">
        <f aca="false">IFERROR(INDEX(c_Region,MATCH($C646,c_ID,0)),"غير معرّف")</f>
        <v>الشرقية</v>
      </c>
      <c r="F646" s="81" t="s">
        <v>178</v>
      </c>
      <c r="G646" s="83" t="str">
        <f aca="false">IFERROR(INDEX(p_Name,MATCH($F646,p_ID,0)),"غير معرّف")</f>
        <v>حقيبة لابتوب</v>
      </c>
      <c r="H646" s="83" t="str">
        <f aca="false">IFERROR(INDEX(p_Cat,MATCH($F646,p_ID,0)),"غير معرّف")</f>
        <v>مستلزمات مكتبية</v>
      </c>
      <c r="I646" s="81" t="s">
        <v>461</v>
      </c>
      <c r="J646" s="81" t="s">
        <v>93</v>
      </c>
      <c r="K646" s="81" t="n">
        <v>3</v>
      </c>
      <c r="L646" s="84" t="n">
        <f aca="false">IFERROR(INDEX(p_Price,MATCH($F646,p_ID,0)),0)</f>
        <v>260</v>
      </c>
      <c r="M646" s="85" t="n">
        <v>0.05</v>
      </c>
      <c r="N646" s="81" t="s">
        <v>644</v>
      </c>
      <c r="O646" s="84" t="n">
        <f aca="false">IF($N646="مرتجع",0,K646*L646*(1-M646))</f>
        <v>741</v>
      </c>
      <c r="P646" s="84" t="n">
        <f aca="false">IF($N646="مرتجع",0,K646*IFERROR(INDEX(p_Cost,MATCH($F646,p_ID,0)),0))</f>
        <v>360</v>
      </c>
      <c r="Q646" s="84" t="n">
        <f aca="false">O646-P646</f>
        <v>381</v>
      </c>
      <c r="R646" s="86" t="n">
        <f aca="false">DATE(YEAR(B646),MONTH(B646),1)</f>
        <v>46054</v>
      </c>
      <c r="S646" s="83" t="str">
        <f aca="false">YEAR(B646)&amp;"-Q"&amp;ROUNDUP(MONTH(B646)/3,0)</f>
        <v>2026-Q1</v>
      </c>
      <c r="T646" s="87" t="n">
        <f aca="false">IF(O646&gt;0,Q646/O646,"")</f>
        <v>0.51417004048583</v>
      </c>
      <c r="U646" s="84" t="n">
        <f aca="false">IF(O646&gt;0,O646,"")</f>
        <v>741</v>
      </c>
    </row>
    <row r="647" customFormat="false" ht="15" hidden="false" customHeight="false" outlineLevel="0" collapsed="false">
      <c r="A647" s="81" t="s">
        <v>1290</v>
      </c>
      <c r="B647" s="82" t="n">
        <v>46072</v>
      </c>
      <c r="C647" s="81" t="s">
        <v>405</v>
      </c>
      <c r="D647" s="83" t="str">
        <f aca="false">IFERROR(INDEX(c_Name,MATCH($C647,c_ID,0)),"غير معرّف")</f>
        <v>طارق التميمي</v>
      </c>
      <c r="E647" s="83" t="str">
        <f aca="false">IFERROR(INDEX(c_Region,MATCH($C647,c_ID,0)),"غير معرّف")</f>
        <v>الوسطى</v>
      </c>
      <c r="F647" s="81" t="s">
        <v>178</v>
      </c>
      <c r="G647" s="83" t="str">
        <f aca="false">IFERROR(INDEX(p_Name,MATCH($F647,p_ID,0)),"غير معرّف")</f>
        <v>حقيبة لابتوب</v>
      </c>
      <c r="H647" s="83" t="str">
        <f aca="false">IFERROR(INDEX(p_Cat,MATCH($F647,p_ID,0)),"غير معرّف")</f>
        <v>مستلزمات مكتبية</v>
      </c>
      <c r="I647" s="81" t="s">
        <v>449</v>
      </c>
      <c r="J647" s="81" t="s">
        <v>91</v>
      </c>
      <c r="K647" s="81" t="n">
        <v>3</v>
      </c>
      <c r="L647" s="84" t="n">
        <f aca="false">IFERROR(INDEX(p_Price,MATCH($F647,p_ID,0)),0)</f>
        <v>260</v>
      </c>
      <c r="M647" s="85" t="n">
        <v>0.05</v>
      </c>
      <c r="N647" s="81" t="s">
        <v>644</v>
      </c>
      <c r="O647" s="84" t="n">
        <f aca="false">IF($N647="مرتجع",0,K647*L647*(1-M647))</f>
        <v>741</v>
      </c>
      <c r="P647" s="84" t="n">
        <f aca="false">IF($N647="مرتجع",0,K647*IFERROR(INDEX(p_Cost,MATCH($F647,p_ID,0)),0))</f>
        <v>360</v>
      </c>
      <c r="Q647" s="84" t="n">
        <f aca="false">O647-P647</f>
        <v>381</v>
      </c>
      <c r="R647" s="86" t="n">
        <f aca="false">DATE(YEAR(B647),MONTH(B647),1)</f>
        <v>46054</v>
      </c>
      <c r="S647" s="83" t="str">
        <f aca="false">YEAR(B647)&amp;"-Q"&amp;ROUNDUP(MONTH(B647)/3,0)</f>
        <v>2026-Q1</v>
      </c>
      <c r="T647" s="87" t="n">
        <f aca="false">IF(O647&gt;0,Q647/O647,"")</f>
        <v>0.51417004048583</v>
      </c>
      <c r="U647" s="84" t="n">
        <f aca="false">IF(O647&gt;0,O647,"")</f>
        <v>741</v>
      </c>
    </row>
    <row r="648" customFormat="false" ht="15" hidden="false" customHeight="false" outlineLevel="0" collapsed="false">
      <c r="A648" s="81" t="s">
        <v>1291</v>
      </c>
      <c r="B648" s="82" t="n">
        <v>46072</v>
      </c>
      <c r="C648" s="81" t="s">
        <v>246</v>
      </c>
      <c r="D648" s="83" t="str">
        <f aca="false">IFERROR(INDEX(c_Name,MATCH($C648,c_ID,0)),"غير معرّف")</f>
        <v>ياسر العتيبي</v>
      </c>
      <c r="E648" s="83" t="str">
        <f aca="false">IFERROR(INDEX(c_Region,MATCH($C648,c_ID,0)),"غير معرّف")</f>
        <v>الجنوبية</v>
      </c>
      <c r="F648" s="81" t="s">
        <v>187</v>
      </c>
      <c r="G648" s="83" t="str">
        <f aca="false">IFERROR(INDEX(p_Name,MATCH($F648,p_ID,0)),"غير معرّف")</f>
        <v>جهاز تدليك</v>
      </c>
      <c r="H648" s="83" t="str">
        <f aca="false">IFERROR(INDEX(p_Cat,MATCH($F648,p_ID,0)),"غير معرّف")</f>
        <v>عناية شخصية</v>
      </c>
      <c r="I648" s="81" t="s">
        <v>467</v>
      </c>
      <c r="J648" s="81" t="s">
        <v>91</v>
      </c>
      <c r="K648" s="81" t="n">
        <v>1</v>
      </c>
      <c r="L648" s="84" t="n">
        <f aca="false">IFERROR(INDEX(p_Price,MATCH($F648,p_ID,0)),0)</f>
        <v>600</v>
      </c>
      <c r="M648" s="85" t="n">
        <v>0</v>
      </c>
      <c r="N648" s="81" t="s">
        <v>644</v>
      </c>
      <c r="O648" s="84" t="n">
        <f aca="false">IF($N648="مرتجع",0,K648*L648*(1-M648))</f>
        <v>600</v>
      </c>
      <c r="P648" s="84" t="n">
        <f aca="false">IF($N648="مرتجع",0,K648*IFERROR(INDEX(p_Cost,MATCH($F648,p_ID,0)),0))</f>
        <v>330</v>
      </c>
      <c r="Q648" s="84" t="n">
        <f aca="false">O648-P648</f>
        <v>270</v>
      </c>
      <c r="R648" s="86" t="n">
        <f aca="false">DATE(YEAR(B648),MONTH(B648),1)</f>
        <v>46054</v>
      </c>
      <c r="S648" s="83" t="str">
        <f aca="false">YEAR(B648)&amp;"-Q"&amp;ROUNDUP(MONTH(B648)/3,0)</f>
        <v>2026-Q1</v>
      </c>
      <c r="T648" s="87" t="n">
        <f aca="false">IF(O648&gt;0,Q648/O648,"")</f>
        <v>0.45</v>
      </c>
      <c r="U648" s="84" t="n">
        <f aca="false">IF(O648&gt;0,O648,"")</f>
        <v>600</v>
      </c>
    </row>
    <row r="649" customFormat="false" ht="15" hidden="false" customHeight="false" outlineLevel="0" collapsed="false">
      <c r="A649" s="81" t="s">
        <v>1292</v>
      </c>
      <c r="B649" s="82" t="n">
        <v>46073</v>
      </c>
      <c r="C649" s="81" t="s">
        <v>430</v>
      </c>
      <c r="D649" s="83" t="str">
        <f aca="false">IFERROR(INDEX(c_Name,MATCH($C649,c_ID,0)),"غير معرّف")</f>
        <v>ليلى الحربي</v>
      </c>
      <c r="E649" s="83" t="str">
        <f aca="false">IFERROR(INDEX(c_Region,MATCH($C649,c_ID,0)),"غير معرّف")</f>
        <v>الجنوبية</v>
      </c>
      <c r="F649" s="81" t="s">
        <v>177</v>
      </c>
      <c r="G649" s="83" t="str">
        <f aca="false">IFERROR(INDEX(p_Name,MATCH($F649,p_ID,0)),"غير معرّف")</f>
        <v>ورق A4 (صندوق)</v>
      </c>
      <c r="H649" s="83" t="str">
        <f aca="false">IFERROR(INDEX(p_Cat,MATCH($F649,p_ID,0)),"غير معرّف")</f>
        <v>مستلزمات مكتبية</v>
      </c>
      <c r="I649" s="81" t="s">
        <v>467</v>
      </c>
      <c r="J649" s="81" t="s">
        <v>93</v>
      </c>
      <c r="K649" s="81" t="n">
        <v>5</v>
      </c>
      <c r="L649" s="84" t="n">
        <f aca="false">IFERROR(INDEX(p_Price,MATCH($F649,p_ID,0)),0)</f>
        <v>140</v>
      </c>
      <c r="M649" s="85" t="n">
        <v>0</v>
      </c>
      <c r="N649" s="81" t="s">
        <v>644</v>
      </c>
      <c r="O649" s="84" t="n">
        <f aca="false">IF($N649="مرتجع",0,K649*L649*(1-M649))</f>
        <v>700</v>
      </c>
      <c r="P649" s="84" t="n">
        <f aca="false">IF($N649="مرتجع",0,K649*IFERROR(INDEX(p_Cost,MATCH($F649,p_ID,0)),0))</f>
        <v>475</v>
      </c>
      <c r="Q649" s="84" t="n">
        <f aca="false">O649-P649</f>
        <v>225</v>
      </c>
      <c r="R649" s="86" t="n">
        <f aca="false">DATE(YEAR(B649),MONTH(B649),1)</f>
        <v>46054</v>
      </c>
      <c r="S649" s="83" t="str">
        <f aca="false">YEAR(B649)&amp;"-Q"&amp;ROUNDUP(MONTH(B649)/3,0)</f>
        <v>2026-Q1</v>
      </c>
      <c r="T649" s="87" t="n">
        <f aca="false">IF(O649&gt;0,Q649/O649,"")</f>
        <v>0.321428571428571</v>
      </c>
      <c r="U649" s="84" t="n">
        <f aca="false">IF(O649&gt;0,O649,"")</f>
        <v>700</v>
      </c>
    </row>
    <row r="650" customFormat="false" ht="15" hidden="false" customHeight="false" outlineLevel="0" collapsed="false">
      <c r="A650" s="81" t="s">
        <v>1293</v>
      </c>
      <c r="B650" s="82" t="n">
        <v>46073</v>
      </c>
      <c r="C650" s="81" t="s">
        <v>374</v>
      </c>
      <c r="D650" s="83" t="str">
        <f aca="false">IFERROR(INDEX(c_Name,MATCH($C650,c_ID,0)),"غير معرّف")</f>
        <v>منى التميمي</v>
      </c>
      <c r="E650" s="83" t="str">
        <f aca="false">IFERROR(INDEX(c_Region,MATCH($C650,c_ID,0)),"غير معرّف")</f>
        <v>الوسطى</v>
      </c>
      <c r="F650" s="81" t="s">
        <v>183</v>
      </c>
      <c r="G650" s="83" t="str">
        <f aca="false">IFERROR(INDEX(p_Name,MATCH($F650,p_ID,0)),"غير معرّف")</f>
        <v>سجادة يوغا</v>
      </c>
      <c r="H650" s="83" t="str">
        <f aca="false">IFERROR(INDEX(p_Cat,MATCH($F650,p_ID,0)),"غير معرّف")</f>
        <v>رياضة</v>
      </c>
      <c r="I650" s="81" t="s">
        <v>443</v>
      </c>
      <c r="J650" s="81" t="s">
        <v>93</v>
      </c>
      <c r="K650" s="81" t="n">
        <v>3</v>
      </c>
      <c r="L650" s="84" t="n">
        <f aca="false">IFERROR(INDEX(p_Price,MATCH($F650,p_ID,0)),0)</f>
        <v>120</v>
      </c>
      <c r="M650" s="85" t="n">
        <v>0.15</v>
      </c>
      <c r="N650" s="81" t="s">
        <v>644</v>
      </c>
      <c r="O650" s="84" t="n">
        <f aca="false">IF($N650="مرتجع",0,K650*L650*(1-M650))</f>
        <v>306</v>
      </c>
      <c r="P650" s="84" t="n">
        <f aca="false">IF($N650="مرتجع",0,K650*IFERROR(INDEX(p_Cost,MATCH($F650,p_ID,0)),0))</f>
        <v>150</v>
      </c>
      <c r="Q650" s="84" t="n">
        <f aca="false">O650-P650</f>
        <v>156</v>
      </c>
      <c r="R650" s="86" t="n">
        <f aca="false">DATE(YEAR(B650),MONTH(B650),1)</f>
        <v>46054</v>
      </c>
      <c r="S650" s="83" t="str">
        <f aca="false">YEAR(B650)&amp;"-Q"&amp;ROUNDUP(MONTH(B650)/3,0)</f>
        <v>2026-Q1</v>
      </c>
      <c r="T650" s="87" t="n">
        <f aca="false">IF(O650&gt;0,Q650/O650,"")</f>
        <v>0.509803921568627</v>
      </c>
      <c r="U650" s="84" t="n">
        <f aca="false">IF(O650&gt;0,O650,"")</f>
        <v>306</v>
      </c>
    </row>
    <row r="651" customFormat="false" ht="15" hidden="false" customHeight="false" outlineLevel="0" collapsed="false">
      <c r="A651" s="81" t="s">
        <v>1294</v>
      </c>
      <c r="B651" s="82" t="n">
        <v>46073</v>
      </c>
      <c r="C651" s="81" t="s">
        <v>278</v>
      </c>
      <c r="D651" s="83" t="str">
        <f aca="false">IFERROR(INDEX(c_Name,MATCH($C651,c_ID,0)),"غير معرّف")</f>
        <v>طارق الشمري</v>
      </c>
      <c r="E651" s="83" t="str">
        <f aca="false">IFERROR(INDEX(c_Region,MATCH($C651,c_ID,0)),"غير معرّف")</f>
        <v>الجنوبية</v>
      </c>
      <c r="F651" s="81" t="s">
        <v>168</v>
      </c>
      <c r="G651" s="83" t="str">
        <f aca="false">IFERROR(INDEX(p_Name,MATCH($F651,p_ID,0)),"غير معرّف")</f>
        <v>مكنسة كهربائية</v>
      </c>
      <c r="H651" s="83" t="str">
        <f aca="false">IFERROR(INDEX(p_Cat,MATCH($F651,p_ID,0)),"غير معرّف")</f>
        <v>أجهزة منزلية</v>
      </c>
      <c r="I651" s="81" t="s">
        <v>467</v>
      </c>
      <c r="J651" s="81" t="s">
        <v>95</v>
      </c>
      <c r="K651" s="81" t="n">
        <v>10</v>
      </c>
      <c r="L651" s="84" t="n">
        <f aca="false">IFERROR(INDEX(p_Price,MATCH($F651,p_ID,0)),0)</f>
        <v>650</v>
      </c>
      <c r="M651" s="85" t="n">
        <v>0.1</v>
      </c>
      <c r="N651" s="81" t="s">
        <v>644</v>
      </c>
      <c r="O651" s="84" t="n">
        <f aca="false">IF($N651="مرتجع",0,K651*L651*(1-M651))</f>
        <v>5850</v>
      </c>
      <c r="P651" s="84" t="n">
        <f aca="false">IF($N651="مرتجع",0,K651*IFERROR(INDEX(p_Cost,MATCH($F651,p_ID,0)),0))</f>
        <v>4200</v>
      </c>
      <c r="Q651" s="84" t="n">
        <f aca="false">O651-P651</f>
        <v>1650</v>
      </c>
      <c r="R651" s="86" t="n">
        <f aca="false">DATE(YEAR(B651),MONTH(B651),1)</f>
        <v>46054</v>
      </c>
      <c r="S651" s="83" t="str">
        <f aca="false">YEAR(B651)&amp;"-Q"&amp;ROUNDUP(MONTH(B651)/3,0)</f>
        <v>2026-Q1</v>
      </c>
      <c r="T651" s="87" t="n">
        <f aca="false">IF(O651&gt;0,Q651/O651,"")</f>
        <v>0.282051282051282</v>
      </c>
      <c r="U651" s="84" t="n">
        <f aca="false">IF(O651&gt;0,O651,"")</f>
        <v>5850</v>
      </c>
    </row>
    <row r="652" customFormat="false" ht="15" hidden="false" customHeight="false" outlineLevel="0" collapsed="false">
      <c r="A652" s="81" t="s">
        <v>1295</v>
      </c>
      <c r="B652" s="82" t="n">
        <v>46073</v>
      </c>
      <c r="C652" s="81" t="s">
        <v>262</v>
      </c>
      <c r="D652" s="83" t="str">
        <f aca="false">IFERROR(INDEX(c_Name,MATCH($C652,c_ID,0)),"غير معرّف")</f>
        <v>ناصر السبيعي</v>
      </c>
      <c r="E652" s="83" t="str">
        <f aca="false">IFERROR(INDEX(c_Region,MATCH($C652,c_ID,0)),"غير معرّف")</f>
        <v>الغربية</v>
      </c>
      <c r="F652" s="81" t="s">
        <v>176</v>
      </c>
      <c r="G652" s="83" t="str">
        <f aca="false">IFERROR(INDEX(p_Name,MATCH($F652,p_ID,0)),"غير معرّف")</f>
        <v>طابعة ليزر</v>
      </c>
      <c r="H652" s="83" t="str">
        <f aca="false">IFERROR(INDEX(p_Cat,MATCH($F652,p_ID,0)),"غير معرّف")</f>
        <v>مستلزمات مكتبية</v>
      </c>
      <c r="I652" s="81" t="s">
        <v>458</v>
      </c>
      <c r="J652" s="81" t="s">
        <v>93</v>
      </c>
      <c r="K652" s="81" t="n">
        <v>1</v>
      </c>
      <c r="L652" s="84" t="n">
        <f aca="false">IFERROR(INDEX(p_Price,MATCH($F652,p_ID,0)),0)</f>
        <v>1300</v>
      </c>
      <c r="M652" s="85" t="n">
        <v>0.1</v>
      </c>
      <c r="N652" s="81" t="s">
        <v>644</v>
      </c>
      <c r="O652" s="84" t="n">
        <f aca="false">IF($N652="مرتجع",0,K652*L652*(1-M652))</f>
        <v>1170</v>
      </c>
      <c r="P652" s="84" t="n">
        <f aca="false">IF($N652="مرتجع",0,K652*IFERROR(INDEX(p_Cost,MATCH($F652,p_ID,0)),0))</f>
        <v>950</v>
      </c>
      <c r="Q652" s="84" t="n">
        <f aca="false">O652-P652</f>
        <v>220</v>
      </c>
      <c r="R652" s="86" t="n">
        <f aca="false">DATE(YEAR(B652),MONTH(B652),1)</f>
        <v>46054</v>
      </c>
      <c r="S652" s="83" t="str">
        <f aca="false">YEAR(B652)&amp;"-Q"&amp;ROUNDUP(MONTH(B652)/3,0)</f>
        <v>2026-Q1</v>
      </c>
      <c r="T652" s="87" t="n">
        <f aca="false">IF(O652&gt;0,Q652/O652,"")</f>
        <v>0.188034188034188</v>
      </c>
      <c r="U652" s="84" t="n">
        <f aca="false">IF(O652&gt;0,O652,"")</f>
        <v>1170</v>
      </c>
    </row>
    <row r="653" customFormat="false" ht="15" hidden="false" customHeight="false" outlineLevel="0" collapsed="false">
      <c r="A653" s="81" t="s">
        <v>1296</v>
      </c>
      <c r="B653" s="82" t="n">
        <v>46074</v>
      </c>
      <c r="C653" s="81" t="s">
        <v>315</v>
      </c>
      <c r="D653" s="83" t="str">
        <f aca="false">IFERROR(INDEX(c_Name,MATCH($C653,c_ID,0)),"غير معرّف")</f>
        <v>أحمد الحربي</v>
      </c>
      <c r="E653" s="83" t="str">
        <f aca="false">IFERROR(INDEX(c_Region,MATCH($C653,c_ID,0)),"غير معرّف")</f>
        <v>الغربية</v>
      </c>
      <c r="F653" s="81" t="s">
        <v>172</v>
      </c>
      <c r="G653" s="83" t="str">
        <f aca="false">IFERROR(INDEX(p_Name,MATCH($F653,p_ID,0)),"غير معرّف")</f>
        <v>مكتب عمل</v>
      </c>
      <c r="H653" s="83" t="str">
        <f aca="false">IFERROR(INDEX(p_Cat,MATCH($F653,p_ID,0)),"غير معرّف")</f>
        <v>أثاث</v>
      </c>
      <c r="I653" s="81" t="s">
        <v>455</v>
      </c>
      <c r="J653" s="81" t="s">
        <v>93</v>
      </c>
      <c r="K653" s="81" t="n">
        <v>14</v>
      </c>
      <c r="L653" s="84" t="n">
        <f aca="false">IFERROR(INDEX(p_Price,MATCH($F653,p_ID,0)),0)</f>
        <v>1200</v>
      </c>
      <c r="M653" s="85" t="n">
        <v>0</v>
      </c>
      <c r="N653" s="81" t="s">
        <v>644</v>
      </c>
      <c r="O653" s="84" t="n">
        <f aca="false">IF($N653="مرتجع",0,K653*L653*(1-M653))</f>
        <v>16800</v>
      </c>
      <c r="P653" s="84" t="n">
        <f aca="false">IF($N653="مرتجع",0,K653*IFERROR(INDEX(p_Cost,MATCH($F653,p_ID,0)),0))</f>
        <v>9800</v>
      </c>
      <c r="Q653" s="84" t="n">
        <f aca="false">O653-P653</f>
        <v>7000</v>
      </c>
      <c r="R653" s="86" t="n">
        <f aca="false">DATE(YEAR(B653),MONTH(B653),1)</f>
        <v>46054</v>
      </c>
      <c r="S653" s="83" t="str">
        <f aca="false">YEAR(B653)&amp;"-Q"&amp;ROUNDUP(MONTH(B653)/3,0)</f>
        <v>2026-Q1</v>
      </c>
      <c r="T653" s="87" t="n">
        <f aca="false">IF(O653&gt;0,Q653/O653,"")</f>
        <v>0.416666666666667</v>
      </c>
      <c r="U653" s="84" t="n">
        <f aca="false">IF(O653&gt;0,O653,"")</f>
        <v>16800</v>
      </c>
    </row>
    <row r="654" customFormat="false" ht="15" hidden="false" customHeight="false" outlineLevel="0" collapsed="false">
      <c r="A654" s="81" t="s">
        <v>1297</v>
      </c>
      <c r="B654" s="82" t="n">
        <v>46074</v>
      </c>
      <c r="C654" s="81" t="s">
        <v>279</v>
      </c>
      <c r="D654" s="83" t="str">
        <f aca="false">IFERROR(INDEX(c_Name,MATCH($C654,c_ID,0)),"غير معرّف")</f>
        <v>لمى القحطاني</v>
      </c>
      <c r="E654" s="83" t="str">
        <f aca="false">IFERROR(INDEX(c_Region,MATCH($C654,c_ID,0)),"غير معرّف")</f>
        <v>الجنوبية</v>
      </c>
      <c r="F654" s="81" t="s">
        <v>183</v>
      </c>
      <c r="G654" s="83" t="str">
        <f aca="false">IFERROR(INDEX(p_Name,MATCH($F654,p_ID,0)),"غير معرّف")</f>
        <v>سجادة يوغا</v>
      </c>
      <c r="H654" s="83" t="str">
        <f aca="false">IFERROR(INDEX(p_Cat,MATCH($F654,p_ID,0)),"غير معرّف")</f>
        <v>رياضة</v>
      </c>
      <c r="I654" s="81" t="s">
        <v>467</v>
      </c>
      <c r="J654" s="81" t="s">
        <v>91</v>
      </c>
      <c r="K654" s="81" t="n">
        <v>1</v>
      </c>
      <c r="L654" s="84" t="n">
        <f aca="false">IFERROR(INDEX(p_Price,MATCH($F654,p_ID,0)),0)</f>
        <v>120</v>
      </c>
      <c r="M654" s="85" t="n">
        <v>0.1</v>
      </c>
      <c r="N654" s="81" t="s">
        <v>644</v>
      </c>
      <c r="O654" s="84" t="n">
        <f aca="false">IF($N654="مرتجع",0,K654*L654*(1-M654))</f>
        <v>108</v>
      </c>
      <c r="P654" s="84" t="n">
        <f aca="false">IF($N654="مرتجع",0,K654*IFERROR(INDEX(p_Cost,MATCH($F654,p_ID,0)),0))</f>
        <v>50</v>
      </c>
      <c r="Q654" s="84" t="n">
        <f aca="false">O654-P654</f>
        <v>58</v>
      </c>
      <c r="R654" s="86" t="n">
        <f aca="false">DATE(YEAR(B654),MONTH(B654),1)</f>
        <v>46054</v>
      </c>
      <c r="S654" s="83" t="str">
        <f aca="false">YEAR(B654)&amp;"-Q"&amp;ROUNDUP(MONTH(B654)/3,0)</f>
        <v>2026-Q1</v>
      </c>
      <c r="T654" s="87" t="n">
        <f aca="false">IF(O654&gt;0,Q654/O654,"")</f>
        <v>0.537037037037037</v>
      </c>
      <c r="U654" s="84" t="n">
        <f aca="false">IF(O654&gt;0,O654,"")</f>
        <v>108</v>
      </c>
    </row>
    <row r="655" customFormat="false" ht="15" hidden="false" customHeight="false" outlineLevel="0" collapsed="false">
      <c r="A655" s="81" t="s">
        <v>1298</v>
      </c>
      <c r="B655" s="82" t="n">
        <v>46074</v>
      </c>
      <c r="C655" s="81" t="s">
        <v>346</v>
      </c>
      <c r="D655" s="83" t="str">
        <f aca="false">IFERROR(INDEX(c_Name,MATCH($C655,c_ID,0)),"غير معرّف")</f>
        <v>لمى التميمي</v>
      </c>
      <c r="E655" s="83" t="str">
        <f aca="false">IFERROR(INDEX(c_Region,MATCH($C655,c_ID,0)),"غير معرّف")</f>
        <v>الشرقية</v>
      </c>
      <c r="F655" s="81" t="s">
        <v>185</v>
      </c>
      <c r="G655" s="83" t="str">
        <f aca="false">IFERROR(INDEX(p_Name,MATCH($F655,p_ID,0)),"غير معرّف")</f>
        <v>ماكينة حلاقة</v>
      </c>
      <c r="H655" s="83" t="str">
        <f aca="false">IFERROR(INDEX(p_Cat,MATCH($F655,p_ID,0)),"غير معرّف")</f>
        <v>عناية شخصية</v>
      </c>
      <c r="I655" s="81" t="s">
        <v>463</v>
      </c>
      <c r="J655" s="81" t="s">
        <v>93</v>
      </c>
      <c r="K655" s="81" t="n">
        <v>6</v>
      </c>
      <c r="L655" s="84" t="n">
        <f aca="false">IFERROR(INDEX(p_Price,MATCH($F655,p_ID,0)),0)</f>
        <v>340</v>
      </c>
      <c r="M655" s="85" t="n">
        <v>0.1</v>
      </c>
      <c r="N655" s="81" t="s">
        <v>644</v>
      </c>
      <c r="O655" s="84" t="n">
        <f aca="false">IF($N655="مرتجع",0,K655*L655*(1-M655))</f>
        <v>1836</v>
      </c>
      <c r="P655" s="84" t="n">
        <f aca="false">IF($N655="مرتجع",0,K655*IFERROR(INDEX(p_Cost,MATCH($F655,p_ID,0)),0))</f>
        <v>1020</v>
      </c>
      <c r="Q655" s="84" t="n">
        <f aca="false">O655-P655</f>
        <v>816</v>
      </c>
      <c r="R655" s="86" t="n">
        <f aca="false">DATE(YEAR(B655),MONTH(B655),1)</f>
        <v>46054</v>
      </c>
      <c r="S655" s="83" t="str">
        <f aca="false">YEAR(B655)&amp;"-Q"&amp;ROUNDUP(MONTH(B655)/3,0)</f>
        <v>2026-Q1</v>
      </c>
      <c r="T655" s="87" t="n">
        <f aca="false">IF(O655&gt;0,Q655/O655,"")</f>
        <v>0.444444444444444</v>
      </c>
      <c r="U655" s="84" t="n">
        <f aca="false">IF(O655&gt;0,O655,"")</f>
        <v>1836</v>
      </c>
    </row>
    <row r="656" customFormat="false" ht="15" hidden="false" customHeight="false" outlineLevel="0" collapsed="false">
      <c r="A656" s="81" t="s">
        <v>1299</v>
      </c>
      <c r="B656" s="82" t="n">
        <v>46074</v>
      </c>
      <c r="C656" s="81" t="s">
        <v>374</v>
      </c>
      <c r="D656" s="83" t="str">
        <f aca="false">IFERROR(INDEX(c_Name,MATCH($C656,c_ID,0)),"غير معرّف")</f>
        <v>منى التميمي</v>
      </c>
      <c r="E656" s="83" t="str">
        <f aca="false">IFERROR(INDEX(c_Region,MATCH($C656,c_ID,0)),"غير معرّف")</f>
        <v>الوسطى</v>
      </c>
      <c r="F656" s="81" t="s">
        <v>187</v>
      </c>
      <c r="G656" s="83" t="str">
        <f aca="false">IFERROR(INDEX(p_Name,MATCH($F656,p_ID,0)),"غير معرّف")</f>
        <v>جهاز تدليك</v>
      </c>
      <c r="H656" s="83" t="str">
        <f aca="false">IFERROR(INDEX(p_Cat,MATCH($F656,p_ID,0)),"غير معرّف")</f>
        <v>عناية شخصية</v>
      </c>
      <c r="I656" s="81" t="s">
        <v>449</v>
      </c>
      <c r="J656" s="81" t="s">
        <v>91</v>
      </c>
      <c r="K656" s="81" t="n">
        <v>4</v>
      </c>
      <c r="L656" s="84" t="n">
        <f aca="false">IFERROR(INDEX(p_Price,MATCH($F656,p_ID,0)),0)</f>
        <v>600</v>
      </c>
      <c r="M656" s="85" t="n">
        <v>0</v>
      </c>
      <c r="N656" s="81" t="s">
        <v>644</v>
      </c>
      <c r="O656" s="84" t="n">
        <f aca="false">IF($N656="مرتجع",0,K656*L656*(1-M656))</f>
        <v>2400</v>
      </c>
      <c r="P656" s="84" t="n">
        <f aca="false">IF($N656="مرتجع",0,K656*IFERROR(INDEX(p_Cost,MATCH($F656,p_ID,0)),0))</f>
        <v>1320</v>
      </c>
      <c r="Q656" s="84" t="n">
        <f aca="false">O656-P656</f>
        <v>1080</v>
      </c>
      <c r="R656" s="86" t="n">
        <f aca="false">DATE(YEAR(B656),MONTH(B656),1)</f>
        <v>46054</v>
      </c>
      <c r="S656" s="83" t="str">
        <f aca="false">YEAR(B656)&amp;"-Q"&amp;ROUNDUP(MONTH(B656)/3,0)</f>
        <v>2026-Q1</v>
      </c>
      <c r="T656" s="87" t="n">
        <f aca="false">IF(O656&gt;0,Q656/O656,"")</f>
        <v>0.45</v>
      </c>
      <c r="U656" s="84" t="n">
        <f aca="false">IF(O656&gt;0,O656,"")</f>
        <v>2400</v>
      </c>
    </row>
    <row r="657" customFormat="false" ht="15" hidden="false" customHeight="false" outlineLevel="0" collapsed="false">
      <c r="A657" s="81" t="s">
        <v>1300</v>
      </c>
      <c r="B657" s="82" t="n">
        <v>46075</v>
      </c>
      <c r="C657" s="81" t="s">
        <v>282</v>
      </c>
      <c r="D657" s="83" t="str">
        <f aca="false">IFERROR(INDEX(c_Name,MATCH($C657,c_ID,0)),"غير معرّف")</f>
        <v>لمى المطيري</v>
      </c>
      <c r="E657" s="83" t="str">
        <f aca="false">IFERROR(INDEX(c_Region,MATCH($C657,c_ID,0)),"غير معرّف")</f>
        <v>الوسطى</v>
      </c>
      <c r="F657" s="81" t="s">
        <v>165</v>
      </c>
      <c r="G657" s="83" t="str">
        <f aca="false">IFERROR(INDEX(p_Name,MATCH($F657,p_ID,0)),"غير معرّف")</f>
        <v>حاسوب محمول</v>
      </c>
      <c r="H657" s="83" t="str">
        <f aca="false">IFERROR(INDEX(p_Cat,MATCH($F657,p_ID,0)),"غير معرّف")</f>
        <v>إلكترونيات</v>
      </c>
      <c r="I657" s="81" t="s">
        <v>449</v>
      </c>
      <c r="J657" s="81" t="s">
        <v>91</v>
      </c>
      <c r="K657" s="81" t="n">
        <v>1</v>
      </c>
      <c r="L657" s="84" t="n">
        <f aca="false">IFERROR(INDEX(p_Price,MATCH($F657,p_ID,0)),0)</f>
        <v>3800</v>
      </c>
      <c r="M657" s="85" t="n">
        <v>0</v>
      </c>
      <c r="N657" s="81" t="s">
        <v>644</v>
      </c>
      <c r="O657" s="84" t="n">
        <f aca="false">IF($N657="مرتجع",0,K657*L657*(1-M657))</f>
        <v>3800</v>
      </c>
      <c r="P657" s="84" t="n">
        <f aca="false">IF($N657="مرتجع",0,K657*IFERROR(INDEX(p_Cost,MATCH($F657,p_ID,0)),0))</f>
        <v>2900</v>
      </c>
      <c r="Q657" s="84" t="n">
        <f aca="false">O657-P657</f>
        <v>900</v>
      </c>
      <c r="R657" s="86" t="n">
        <f aca="false">DATE(YEAR(B657),MONTH(B657),1)</f>
        <v>46054</v>
      </c>
      <c r="S657" s="83" t="str">
        <f aca="false">YEAR(B657)&amp;"-Q"&amp;ROUNDUP(MONTH(B657)/3,0)</f>
        <v>2026-Q1</v>
      </c>
      <c r="T657" s="87" t="n">
        <f aca="false">IF(O657&gt;0,Q657/O657,"")</f>
        <v>0.236842105263158</v>
      </c>
      <c r="U657" s="84" t="n">
        <f aca="false">IF(O657&gt;0,O657,"")</f>
        <v>3800</v>
      </c>
    </row>
    <row r="658" customFormat="false" ht="15" hidden="false" customHeight="false" outlineLevel="0" collapsed="false">
      <c r="A658" s="81" t="s">
        <v>1301</v>
      </c>
      <c r="B658" s="82" t="n">
        <v>46075</v>
      </c>
      <c r="C658" s="81" t="s">
        <v>237</v>
      </c>
      <c r="D658" s="83" t="str">
        <f aca="false">IFERROR(INDEX(c_Name,MATCH($C658,c_ID,0)),"غير معرّف")</f>
        <v>محمد البلوي</v>
      </c>
      <c r="E658" s="83" t="str">
        <f aca="false">IFERROR(INDEX(c_Region,MATCH($C658,c_ID,0)),"غير معرّف")</f>
        <v>الوسطى</v>
      </c>
      <c r="F658" s="81" t="s">
        <v>185</v>
      </c>
      <c r="G658" s="83" t="str">
        <f aca="false">IFERROR(INDEX(p_Name,MATCH($F658,p_ID,0)),"غير معرّف")</f>
        <v>ماكينة حلاقة</v>
      </c>
      <c r="H658" s="83" t="str">
        <f aca="false">IFERROR(INDEX(p_Cat,MATCH($F658,p_ID,0)),"غير معرّف")</f>
        <v>عناية شخصية</v>
      </c>
      <c r="I658" s="81" t="s">
        <v>443</v>
      </c>
      <c r="J658" s="81" t="s">
        <v>93</v>
      </c>
      <c r="K658" s="81" t="n">
        <v>3</v>
      </c>
      <c r="L658" s="84" t="n">
        <f aca="false">IFERROR(INDEX(p_Price,MATCH($F658,p_ID,0)),0)</f>
        <v>340</v>
      </c>
      <c r="M658" s="85" t="n">
        <v>0</v>
      </c>
      <c r="N658" s="81" t="s">
        <v>644</v>
      </c>
      <c r="O658" s="84" t="n">
        <f aca="false">IF($N658="مرتجع",0,K658*L658*(1-M658))</f>
        <v>1020</v>
      </c>
      <c r="P658" s="84" t="n">
        <f aca="false">IF($N658="مرتجع",0,K658*IFERROR(INDEX(p_Cost,MATCH($F658,p_ID,0)),0))</f>
        <v>510</v>
      </c>
      <c r="Q658" s="84" t="n">
        <f aca="false">O658-P658</f>
        <v>510</v>
      </c>
      <c r="R658" s="86" t="n">
        <f aca="false">DATE(YEAR(B658),MONTH(B658),1)</f>
        <v>46054</v>
      </c>
      <c r="S658" s="83" t="str">
        <f aca="false">YEAR(B658)&amp;"-Q"&amp;ROUNDUP(MONTH(B658)/3,0)</f>
        <v>2026-Q1</v>
      </c>
      <c r="T658" s="87" t="n">
        <f aca="false">IF(O658&gt;0,Q658/O658,"")</f>
        <v>0.5</v>
      </c>
      <c r="U658" s="84" t="n">
        <f aca="false">IF(O658&gt;0,O658,"")</f>
        <v>1020</v>
      </c>
    </row>
    <row r="659" customFormat="false" ht="15" hidden="false" customHeight="false" outlineLevel="0" collapsed="false">
      <c r="A659" s="81" t="s">
        <v>1302</v>
      </c>
      <c r="B659" s="82" t="n">
        <v>46076</v>
      </c>
      <c r="C659" s="81" t="s">
        <v>387</v>
      </c>
      <c r="D659" s="83" t="str">
        <f aca="false">IFERROR(INDEX(c_Name,MATCH($C659,c_ID,0)),"غير معرّف")</f>
        <v>لمى الشمري</v>
      </c>
      <c r="E659" s="83" t="str">
        <f aca="false">IFERROR(INDEX(c_Region,MATCH($C659,c_ID,0)),"غير معرّف")</f>
        <v>الوسطى</v>
      </c>
      <c r="F659" s="81" t="s">
        <v>182</v>
      </c>
      <c r="G659" s="83" t="str">
        <f aca="false">IFERROR(INDEX(p_Name,MATCH($F659,p_ID,0)),"غير معرّف")</f>
        <v>طقم أوزان</v>
      </c>
      <c r="H659" s="83" t="str">
        <f aca="false">IFERROR(INDEX(p_Cat,MATCH($F659,p_ID,0)),"غير معرّف")</f>
        <v>رياضة</v>
      </c>
      <c r="I659" s="81" t="s">
        <v>446</v>
      </c>
      <c r="J659" s="81" t="s">
        <v>91</v>
      </c>
      <c r="K659" s="81" t="n">
        <v>4</v>
      </c>
      <c r="L659" s="84" t="n">
        <f aca="false">IFERROR(INDEX(p_Price,MATCH($F659,p_ID,0)),0)</f>
        <v>380</v>
      </c>
      <c r="M659" s="85" t="n">
        <v>0.1</v>
      </c>
      <c r="N659" s="81" t="s">
        <v>644</v>
      </c>
      <c r="O659" s="84" t="n">
        <f aca="false">IF($N659="مرتجع",0,K659*L659*(1-M659))</f>
        <v>1368</v>
      </c>
      <c r="P659" s="84" t="n">
        <f aca="false">IF($N659="مرتجع",0,K659*IFERROR(INDEX(p_Cost,MATCH($F659,p_ID,0)),0))</f>
        <v>840</v>
      </c>
      <c r="Q659" s="84" t="n">
        <f aca="false">O659-P659</f>
        <v>528</v>
      </c>
      <c r="R659" s="86" t="n">
        <f aca="false">DATE(YEAR(B659),MONTH(B659),1)</f>
        <v>46054</v>
      </c>
      <c r="S659" s="83" t="str">
        <f aca="false">YEAR(B659)&amp;"-Q"&amp;ROUNDUP(MONTH(B659)/3,0)</f>
        <v>2026-Q1</v>
      </c>
      <c r="T659" s="87" t="n">
        <f aca="false">IF(O659&gt;0,Q659/O659,"")</f>
        <v>0.385964912280702</v>
      </c>
      <c r="U659" s="84" t="n">
        <f aca="false">IF(O659&gt;0,O659,"")</f>
        <v>1368</v>
      </c>
    </row>
    <row r="660" customFormat="false" ht="15" hidden="false" customHeight="false" outlineLevel="0" collapsed="false">
      <c r="A660" s="81" t="s">
        <v>1303</v>
      </c>
      <c r="B660" s="82" t="n">
        <v>46076</v>
      </c>
      <c r="C660" s="81" t="s">
        <v>371</v>
      </c>
      <c r="D660" s="83" t="str">
        <f aca="false">IFERROR(INDEX(c_Name,MATCH($C660,c_ID,0)),"غير معرّف")</f>
        <v>جود العنزي</v>
      </c>
      <c r="E660" s="83" t="str">
        <f aca="false">IFERROR(INDEX(c_Region,MATCH($C660,c_ID,0)),"غير معرّف")</f>
        <v>الشرقية</v>
      </c>
      <c r="F660" s="81" t="s">
        <v>166</v>
      </c>
      <c r="G660" s="83" t="str">
        <f aca="false">IFERROR(INDEX(p_Name,MATCH($F660,p_ID,0)),"غير معرّف")</f>
        <v>سماعات لاسلكية</v>
      </c>
      <c r="H660" s="83" t="str">
        <f aca="false">IFERROR(INDEX(p_Cat,MATCH($F660,p_ID,0)),"غير معرّف")</f>
        <v>إلكترونيات</v>
      </c>
      <c r="I660" s="81" t="s">
        <v>461</v>
      </c>
      <c r="J660" s="81" t="s">
        <v>91</v>
      </c>
      <c r="K660" s="81" t="n">
        <v>1</v>
      </c>
      <c r="L660" s="84" t="n">
        <f aca="false">IFERROR(INDEX(p_Price,MATCH($F660,p_ID,0)),0)</f>
        <v>450</v>
      </c>
      <c r="M660" s="85" t="n">
        <v>0.1</v>
      </c>
      <c r="N660" s="81" t="s">
        <v>644</v>
      </c>
      <c r="O660" s="84" t="n">
        <f aca="false">IF($N660="مرتجع",0,K660*L660*(1-M660))</f>
        <v>405</v>
      </c>
      <c r="P660" s="84" t="n">
        <f aca="false">IF($N660="مرتجع",0,K660*IFERROR(INDEX(p_Cost,MATCH($F660,p_ID,0)),0))</f>
        <v>260</v>
      </c>
      <c r="Q660" s="84" t="n">
        <f aca="false">O660-P660</f>
        <v>145</v>
      </c>
      <c r="R660" s="86" t="n">
        <f aca="false">DATE(YEAR(B660),MONTH(B660),1)</f>
        <v>46054</v>
      </c>
      <c r="S660" s="83" t="str">
        <f aca="false">YEAR(B660)&amp;"-Q"&amp;ROUNDUP(MONTH(B660)/3,0)</f>
        <v>2026-Q1</v>
      </c>
      <c r="T660" s="87" t="n">
        <f aca="false">IF(O660&gt;0,Q660/O660,"")</f>
        <v>0.358024691358025</v>
      </c>
      <c r="U660" s="84" t="n">
        <f aca="false">IF(O660&gt;0,O660,"")</f>
        <v>405</v>
      </c>
    </row>
    <row r="661" customFormat="false" ht="15" hidden="false" customHeight="false" outlineLevel="0" collapsed="false">
      <c r="A661" s="81" t="s">
        <v>1304</v>
      </c>
      <c r="B661" s="82" t="n">
        <v>46076</v>
      </c>
      <c r="C661" s="81" t="s">
        <v>268</v>
      </c>
      <c r="D661" s="83" t="str">
        <f aca="false">IFERROR(INDEX(c_Name,MATCH($C661,c_ID,0)),"غير معرّف")</f>
        <v>جود التميمي</v>
      </c>
      <c r="E661" s="83" t="str">
        <f aca="false">IFERROR(INDEX(c_Region,MATCH($C661,c_ID,0)),"غير معرّف")</f>
        <v>الغربية</v>
      </c>
      <c r="F661" s="81" t="s">
        <v>169</v>
      </c>
      <c r="G661" s="83" t="str">
        <f aca="false">IFERROR(INDEX(p_Name,MATCH($F661,p_ID,0)),"غير معرّف")</f>
        <v>خلاط</v>
      </c>
      <c r="H661" s="83" t="str">
        <f aca="false">IFERROR(INDEX(p_Cat,MATCH($F661,p_ID,0)),"غير معرّف")</f>
        <v>أجهزة منزلية</v>
      </c>
      <c r="I661" s="81" t="s">
        <v>452</v>
      </c>
      <c r="J661" s="81" t="s">
        <v>91</v>
      </c>
      <c r="K661" s="81" t="n">
        <v>1</v>
      </c>
      <c r="L661" s="84" t="n">
        <f aca="false">IFERROR(INDEX(p_Price,MATCH($F661,p_ID,0)),0)</f>
        <v>300</v>
      </c>
      <c r="M661" s="85" t="n">
        <v>0</v>
      </c>
      <c r="N661" s="81" t="s">
        <v>644</v>
      </c>
      <c r="O661" s="84" t="n">
        <f aca="false">IF($N661="مرتجع",0,K661*L661*(1-M661))</f>
        <v>300</v>
      </c>
      <c r="P661" s="84" t="n">
        <f aca="false">IF($N661="مرتجع",0,K661*IFERROR(INDEX(p_Cost,MATCH($F661,p_ID,0)),0))</f>
        <v>175</v>
      </c>
      <c r="Q661" s="84" t="n">
        <f aca="false">O661-P661</f>
        <v>125</v>
      </c>
      <c r="R661" s="86" t="n">
        <f aca="false">DATE(YEAR(B661),MONTH(B661),1)</f>
        <v>46054</v>
      </c>
      <c r="S661" s="83" t="str">
        <f aca="false">YEAR(B661)&amp;"-Q"&amp;ROUNDUP(MONTH(B661)/3,0)</f>
        <v>2026-Q1</v>
      </c>
      <c r="T661" s="87" t="n">
        <f aca="false">IF(O661&gt;0,Q661/O661,"")</f>
        <v>0.416666666666667</v>
      </c>
      <c r="U661" s="84" t="n">
        <f aca="false">IF(O661&gt;0,O661,"")</f>
        <v>300</v>
      </c>
    </row>
    <row r="662" customFormat="false" ht="15" hidden="false" customHeight="false" outlineLevel="0" collapsed="false">
      <c r="A662" s="81" t="s">
        <v>1305</v>
      </c>
      <c r="B662" s="82" t="n">
        <v>46077</v>
      </c>
      <c r="C662" s="81" t="s">
        <v>406</v>
      </c>
      <c r="D662" s="83" t="str">
        <f aca="false">IFERROR(INDEX(c_Name,MATCH($C662,c_ID,0)),"غير معرّف")</f>
        <v>نورة الشهري</v>
      </c>
      <c r="E662" s="83" t="str">
        <f aca="false">IFERROR(INDEX(c_Region,MATCH($C662,c_ID,0)),"غير معرّف")</f>
        <v>الجنوبية</v>
      </c>
      <c r="F662" s="81" t="s">
        <v>172</v>
      </c>
      <c r="G662" s="83" t="str">
        <f aca="false">IFERROR(INDEX(p_Name,MATCH($F662,p_ID,0)),"غير معرّف")</f>
        <v>مكتب عمل</v>
      </c>
      <c r="H662" s="83" t="str">
        <f aca="false">IFERROR(INDEX(p_Cat,MATCH($F662,p_ID,0)),"غير معرّف")</f>
        <v>أثاث</v>
      </c>
      <c r="I662" s="81" t="s">
        <v>467</v>
      </c>
      <c r="J662" s="81" t="s">
        <v>93</v>
      </c>
      <c r="K662" s="81" t="n">
        <v>21</v>
      </c>
      <c r="L662" s="84" t="n">
        <f aca="false">IFERROR(INDEX(p_Price,MATCH($F662,p_ID,0)),0)</f>
        <v>1200</v>
      </c>
      <c r="M662" s="85" t="n">
        <v>0.05</v>
      </c>
      <c r="N662" s="81" t="s">
        <v>644</v>
      </c>
      <c r="O662" s="84" t="n">
        <f aca="false">IF($N662="مرتجع",0,K662*L662*(1-M662))</f>
        <v>23940</v>
      </c>
      <c r="P662" s="84" t="n">
        <f aca="false">IF($N662="مرتجع",0,K662*IFERROR(INDEX(p_Cost,MATCH($F662,p_ID,0)),0))</f>
        <v>14700</v>
      </c>
      <c r="Q662" s="84" t="n">
        <f aca="false">O662-P662</f>
        <v>9240</v>
      </c>
      <c r="R662" s="86" t="n">
        <f aca="false">DATE(YEAR(B662),MONTH(B662),1)</f>
        <v>46054</v>
      </c>
      <c r="S662" s="83" t="str">
        <f aca="false">YEAR(B662)&amp;"-Q"&amp;ROUNDUP(MONTH(B662)/3,0)</f>
        <v>2026-Q1</v>
      </c>
      <c r="T662" s="87" t="n">
        <f aca="false">IF(O662&gt;0,Q662/O662,"")</f>
        <v>0.385964912280702</v>
      </c>
      <c r="U662" s="84" t="n">
        <f aca="false">IF(O662&gt;0,O662,"")</f>
        <v>23940</v>
      </c>
    </row>
    <row r="663" customFormat="false" ht="15" hidden="false" customHeight="false" outlineLevel="0" collapsed="false">
      <c r="A663" s="81" t="s">
        <v>1306</v>
      </c>
      <c r="B663" s="82" t="n">
        <v>46078</v>
      </c>
      <c r="C663" s="81" t="s">
        <v>285</v>
      </c>
      <c r="D663" s="83" t="str">
        <f aca="false">IFERROR(INDEX(c_Name,MATCH($C663,c_ID,0)),"غير معرّف")</f>
        <v>ياسر التميمي</v>
      </c>
      <c r="E663" s="83" t="str">
        <f aca="false">IFERROR(INDEX(c_Region,MATCH($C663,c_ID,0)),"غير معرّف")</f>
        <v>الغربية</v>
      </c>
      <c r="F663" s="81" t="s">
        <v>168</v>
      </c>
      <c r="G663" s="83" t="str">
        <f aca="false">IFERROR(INDEX(p_Name,MATCH($F663,p_ID,0)),"غير معرّف")</f>
        <v>مكنسة كهربائية</v>
      </c>
      <c r="H663" s="83" t="str">
        <f aca="false">IFERROR(INDEX(p_Cat,MATCH($F663,p_ID,0)),"غير معرّف")</f>
        <v>أجهزة منزلية</v>
      </c>
      <c r="I663" s="81" t="s">
        <v>458</v>
      </c>
      <c r="J663" s="81" t="s">
        <v>93</v>
      </c>
      <c r="K663" s="81" t="n">
        <v>2</v>
      </c>
      <c r="L663" s="84" t="n">
        <f aca="false">IFERROR(INDEX(p_Price,MATCH($F663,p_ID,0)),0)</f>
        <v>650</v>
      </c>
      <c r="M663" s="85" t="n">
        <v>0.2</v>
      </c>
      <c r="N663" s="81" t="s">
        <v>650</v>
      </c>
      <c r="O663" s="84" t="n">
        <f aca="false">IF($N663="مرتجع",0,K663*L663*(1-M663))</f>
        <v>0</v>
      </c>
      <c r="P663" s="84" t="n">
        <f aca="false">IF($N663="مرتجع",0,K663*IFERROR(INDEX(p_Cost,MATCH($F663,p_ID,0)),0))</f>
        <v>0</v>
      </c>
      <c r="Q663" s="84" t="n">
        <f aca="false">O663-P663</f>
        <v>0</v>
      </c>
      <c r="R663" s="86" t="n">
        <f aca="false">DATE(YEAR(B663),MONTH(B663),1)</f>
        <v>46054</v>
      </c>
      <c r="S663" s="83" t="str">
        <f aca="false">YEAR(B663)&amp;"-Q"&amp;ROUNDUP(MONTH(B663)/3,0)</f>
        <v>2026-Q1</v>
      </c>
      <c r="T663" s="87" t="str">
        <f aca="false">IF(O663&gt;0,Q663/O663,"")</f>
        <v/>
      </c>
      <c r="U663" s="84" t="str">
        <f aca="false">IF(O663&gt;0,O663,"")</f>
        <v/>
      </c>
    </row>
    <row r="664" customFormat="false" ht="15" hidden="false" customHeight="false" outlineLevel="0" collapsed="false">
      <c r="A664" s="81" t="s">
        <v>1307</v>
      </c>
      <c r="B664" s="82" t="n">
        <v>46078</v>
      </c>
      <c r="C664" s="81" t="s">
        <v>315</v>
      </c>
      <c r="D664" s="83" t="str">
        <f aca="false">IFERROR(INDEX(c_Name,MATCH($C664,c_ID,0)),"غير معرّف")</f>
        <v>أحمد الحربي</v>
      </c>
      <c r="E664" s="83" t="str">
        <f aca="false">IFERROR(INDEX(c_Region,MATCH($C664,c_ID,0)),"غير معرّف")</f>
        <v>الغربية</v>
      </c>
      <c r="F664" s="81" t="s">
        <v>185</v>
      </c>
      <c r="G664" s="83" t="str">
        <f aca="false">IFERROR(INDEX(p_Name,MATCH($F664,p_ID,0)),"غير معرّف")</f>
        <v>ماكينة حلاقة</v>
      </c>
      <c r="H664" s="83" t="str">
        <f aca="false">IFERROR(INDEX(p_Cat,MATCH($F664,p_ID,0)),"غير معرّف")</f>
        <v>عناية شخصية</v>
      </c>
      <c r="I664" s="81" t="s">
        <v>452</v>
      </c>
      <c r="J664" s="81" t="s">
        <v>95</v>
      </c>
      <c r="K664" s="81" t="n">
        <v>21</v>
      </c>
      <c r="L664" s="84" t="n">
        <f aca="false">IFERROR(INDEX(p_Price,MATCH($F664,p_ID,0)),0)</f>
        <v>340</v>
      </c>
      <c r="M664" s="85" t="n">
        <v>0.05</v>
      </c>
      <c r="N664" s="81" t="s">
        <v>644</v>
      </c>
      <c r="O664" s="84" t="n">
        <f aca="false">IF($N664="مرتجع",0,K664*L664*(1-M664))</f>
        <v>6783</v>
      </c>
      <c r="P664" s="84" t="n">
        <f aca="false">IF($N664="مرتجع",0,K664*IFERROR(INDEX(p_Cost,MATCH($F664,p_ID,0)),0))</f>
        <v>3570</v>
      </c>
      <c r="Q664" s="84" t="n">
        <f aca="false">O664-P664</f>
        <v>3213</v>
      </c>
      <c r="R664" s="86" t="n">
        <f aca="false">DATE(YEAR(B664),MONTH(B664),1)</f>
        <v>46054</v>
      </c>
      <c r="S664" s="83" t="str">
        <f aca="false">YEAR(B664)&amp;"-Q"&amp;ROUNDUP(MONTH(B664)/3,0)</f>
        <v>2026-Q1</v>
      </c>
      <c r="T664" s="87" t="n">
        <f aca="false">IF(O664&gt;0,Q664/O664,"")</f>
        <v>0.473684210526316</v>
      </c>
      <c r="U664" s="84" t="n">
        <f aca="false">IF(O664&gt;0,O664,"")</f>
        <v>6783</v>
      </c>
    </row>
    <row r="665" customFormat="false" ht="15" hidden="false" customHeight="false" outlineLevel="0" collapsed="false">
      <c r="A665" s="81" t="s">
        <v>1308</v>
      </c>
      <c r="B665" s="82" t="n">
        <v>46078</v>
      </c>
      <c r="C665" s="81" t="s">
        <v>298</v>
      </c>
      <c r="D665" s="83" t="str">
        <f aca="false">IFERROR(INDEX(c_Name,MATCH($C665,c_ID,0)),"غير معرّف")</f>
        <v>هند السبيعي</v>
      </c>
      <c r="E665" s="83" t="str">
        <f aca="false">IFERROR(INDEX(c_Region,MATCH($C665,c_ID,0)),"غير معرّف")</f>
        <v>الغربية</v>
      </c>
      <c r="F665" s="81" t="s">
        <v>174</v>
      </c>
      <c r="G665" s="83" t="str">
        <f aca="false">IFERROR(INDEX(p_Name,MATCH($F665,p_ID,0)),"غير معرّف")</f>
        <v>خزانة ملفات</v>
      </c>
      <c r="H665" s="83" t="str">
        <f aca="false">IFERROR(INDEX(p_Cat,MATCH($F665,p_ID,0)),"غير معرّف")</f>
        <v>أثاث</v>
      </c>
      <c r="I665" s="81" t="s">
        <v>458</v>
      </c>
      <c r="J665" s="81" t="s">
        <v>91</v>
      </c>
      <c r="K665" s="81" t="n">
        <v>1</v>
      </c>
      <c r="L665" s="84" t="n">
        <f aca="false">IFERROR(INDEX(p_Price,MATCH($F665,p_ID,0)),0)</f>
        <v>700</v>
      </c>
      <c r="M665" s="85" t="n">
        <v>0.05</v>
      </c>
      <c r="N665" s="81" t="s">
        <v>644</v>
      </c>
      <c r="O665" s="84" t="n">
        <f aca="false">IF($N665="مرتجع",0,K665*L665*(1-M665))</f>
        <v>665</v>
      </c>
      <c r="P665" s="84" t="n">
        <f aca="false">IF($N665="مرتجع",0,K665*IFERROR(INDEX(p_Cost,MATCH($F665,p_ID,0)),0))</f>
        <v>410</v>
      </c>
      <c r="Q665" s="84" t="n">
        <f aca="false">O665-P665</f>
        <v>255</v>
      </c>
      <c r="R665" s="86" t="n">
        <f aca="false">DATE(YEAR(B665),MONTH(B665),1)</f>
        <v>46054</v>
      </c>
      <c r="S665" s="83" t="str">
        <f aca="false">YEAR(B665)&amp;"-Q"&amp;ROUNDUP(MONTH(B665)/3,0)</f>
        <v>2026-Q1</v>
      </c>
      <c r="T665" s="87" t="n">
        <f aca="false">IF(O665&gt;0,Q665/O665,"")</f>
        <v>0.383458646616541</v>
      </c>
      <c r="U665" s="84" t="n">
        <f aca="false">IF(O665&gt;0,O665,"")</f>
        <v>665</v>
      </c>
    </row>
    <row r="666" customFormat="false" ht="15" hidden="false" customHeight="false" outlineLevel="0" collapsed="false">
      <c r="A666" s="81" t="s">
        <v>1309</v>
      </c>
      <c r="B666" s="82" t="n">
        <v>46079</v>
      </c>
      <c r="C666" s="81" t="s">
        <v>236</v>
      </c>
      <c r="D666" s="83" t="str">
        <f aca="false">IFERROR(INDEX(c_Name,MATCH($C666,c_ID,0)),"غير معرّف")</f>
        <v>ناصر البلوي</v>
      </c>
      <c r="E666" s="83" t="str">
        <f aca="false">IFERROR(INDEX(c_Region,MATCH($C666,c_ID,0)),"غير معرّف")</f>
        <v>الوسطى</v>
      </c>
      <c r="F666" s="81" t="s">
        <v>184</v>
      </c>
      <c r="G666" s="83" t="str">
        <f aca="false">IFERROR(INDEX(p_Name,MATCH($F666,p_ID,0)),"غير معرّف")</f>
        <v>عطر فاخر</v>
      </c>
      <c r="H666" s="83" t="str">
        <f aca="false">IFERROR(INDEX(p_Cat,MATCH($F666,p_ID,0)),"غير معرّف")</f>
        <v>عناية شخصية</v>
      </c>
      <c r="I666" s="81" t="s">
        <v>449</v>
      </c>
      <c r="J666" s="81" t="s">
        <v>91</v>
      </c>
      <c r="K666" s="81" t="n">
        <v>4</v>
      </c>
      <c r="L666" s="84" t="n">
        <f aca="false">IFERROR(INDEX(p_Price,MATCH($F666,p_ID,0)),0)</f>
        <v>520</v>
      </c>
      <c r="M666" s="85" t="n">
        <v>0</v>
      </c>
      <c r="N666" s="81" t="s">
        <v>644</v>
      </c>
      <c r="O666" s="84" t="n">
        <f aca="false">IF($N666="مرتجع",0,K666*L666*(1-M666))</f>
        <v>2080</v>
      </c>
      <c r="P666" s="84" t="n">
        <f aca="false">IF($N666="مرتجع",0,K666*IFERROR(INDEX(p_Cost,MATCH($F666,p_ID,0)),0))</f>
        <v>840</v>
      </c>
      <c r="Q666" s="84" t="n">
        <f aca="false">O666-P666</f>
        <v>1240</v>
      </c>
      <c r="R666" s="86" t="n">
        <f aca="false">DATE(YEAR(B666),MONTH(B666),1)</f>
        <v>46054</v>
      </c>
      <c r="S666" s="83" t="str">
        <f aca="false">YEAR(B666)&amp;"-Q"&amp;ROUNDUP(MONTH(B666)/3,0)</f>
        <v>2026-Q1</v>
      </c>
      <c r="T666" s="87" t="n">
        <f aca="false">IF(O666&gt;0,Q666/O666,"")</f>
        <v>0.596153846153846</v>
      </c>
      <c r="U666" s="84" t="n">
        <f aca="false">IF(O666&gt;0,O666,"")</f>
        <v>2080</v>
      </c>
    </row>
    <row r="667" customFormat="false" ht="15" hidden="false" customHeight="false" outlineLevel="0" collapsed="false">
      <c r="A667" s="81" t="s">
        <v>1310</v>
      </c>
      <c r="B667" s="82" t="n">
        <v>46079</v>
      </c>
      <c r="C667" s="81" t="s">
        <v>291</v>
      </c>
      <c r="D667" s="83" t="str">
        <f aca="false">IFERROR(INDEX(c_Name,MATCH($C667,c_ID,0)),"غير معرّف")</f>
        <v>ياسر الشمري</v>
      </c>
      <c r="E667" s="83" t="str">
        <f aca="false">IFERROR(INDEX(c_Region,MATCH($C667,c_ID,0)),"غير معرّف")</f>
        <v>الوسطى</v>
      </c>
      <c r="F667" s="81" t="s">
        <v>164</v>
      </c>
      <c r="G667" s="83" t="str">
        <f aca="false">IFERROR(INDEX(p_Name,MATCH($F667,p_ID,0)),"غير معرّف")</f>
        <v>هاتف ذكي</v>
      </c>
      <c r="H667" s="83" t="str">
        <f aca="false">IFERROR(INDEX(p_Cat,MATCH($F667,p_ID,0)),"غير معرّف")</f>
        <v>إلكترونيات</v>
      </c>
      <c r="I667" s="81" t="s">
        <v>443</v>
      </c>
      <c r="J667" s="81" t="s">
        <v>91</v>
      </c>
      <c r="K667" s="81" t="n">
        <v>1</v>
      </c>
      <c r="L667" s="84" t="n">
        <f aca="false">IFERROR(INDEX(p_Price,MATCH($F667,p_ID,0)),0)</f>
        <v>2400</v>
      </c>
      <c r="M667" s="85" t="n">
        <v>0</v>
      </c>
      <c r="N667" s="81" t="s">
        <v>644</v>
      </c>
      <c r="O667" s="84" t="n">
        <f aca="false">IF($N667="مرتجع",0,K667*L667*(1-M667))</f>
        <v>2400</v>
      </c>
      <c r="P667" s="84" t="n">
        <f aca="false">IF($N667="مرتجع",0,K667*IFERROR(INDEX(p_Cost,MATCH($F667,p_ID,0)),0))</f>
        <v>1750</v>
      </c>
      <c r="Q667" s="84" t="n">
        <f aca="false">O667-P667</f>
        <v>650</v>
      </c>
      <c r="R667" s="86" t="n">
        <f aca="false">DATE(YEAR(B667),MONTH(B667),1)</f>
        <v>46054</v>
      </c>
      <c r="S667" s="83" t="str">
        <f aca="false">YEAR(B667)&amp;"-Q"&amp;ROUNDUP(MONTH(B667)/3,0)</f>
        <v>2026-Q1</v>
      </c>
      <c r="T667" s="87" t="n">
        <f aca="false">IF(O667&gt;0,Q667/O667,"")</f>
        <v>0.270833333333333</v>
      </c>
      <c r="U667" s="84" t="n">
        <f aca="false">IF(O667&gt;0,O667,"")</f>
        <v>2400</v>
      </c>
    </row>
    <row r="668" customFormat="false" ht="15" hidden="false" customHeight="false" outlineLevel="0" collapsed="false">
      <c r="A668" s="81" t="s">
        <v>1311</v>
      </c>
      <c r="B668" s="82" t="n">
        <v>46079</v>
      </c>
      <c r="C668" s="81" t="s">
        <v>412</v>
      </c>
      <c r="D668" s="83" t="str">
        <f aca="false">IFERROR(INDEX(c_Name,MATCH($C668,c_ID,0)),"غير معرّف")</f>
        <v>سعد العتيبي</v>
      </c>
      <c r="E668" s="83" t="str">
        <f aca="false">IFERROR(INDEX(c_Region,MATCH($C668,c_ID,0)),"غير معرّف")</f>
        <v>الشرقية</v>
      </c>
      <c r="F668" s="81" t="s">
        <v>174</v>
      </c>
      <c r="G668" s="83" t="str">
        <f aca="false">IFERROR(INDEX(p_Name,MATCH($F668,p_ID,0)),"غير معرّف")</f>
        <v>خزانة ملفات</v>
      </c>
      <c r="H668" s="83" t="str">
        <f aca="false">IFERROR(INDEX(p_Cat,MATCH($F668,p_ID,0)),"غير معرّف")</f>
        <v>أثاث</v>
      </c>
      <c r="I668" s="81" t="s">
        <v>463</v>
      </c>
      <c r="J668" s="81" t="s">
        <v>91</v>
      </c>
      <c r="K668" s="81" t="n">
        <v>2</v>
      </c>
      <c r="L668" s="84" t="n">
        <f aca="false">IFERROR(INDEX(p_Price,MATCH($F668,p_ID,0)),0)</f>
        <v>700</v>
      </c>
      <c r="M668" s="85" t="n">
        <v>0</v>
      </c>
      <c r="N668" s="81" t="s">
        <v>644</v>
      </c>
      <c r="O668" s="84" t="n">
        <f aca="false">IF($N668="مرتجع",0,K668*L668*(1-M668))</f>
        <v>1400</v>
      </c>
      <c r="P668" s="84" t="n">
        <f aca="false">IF($N668="مرتجع",0,K668*IFERROR(INDEX(p_Cost,MATCH($F668,p_ID,0)),0))</f>
        <v>820</v>
      </c>
      <c r="Q668" s="84" t="n">
        <f aca="false">O668-P668</f>
        <v>580</v>
      </c>
      <c r="R668" s="86" t="n">
        <f aca="false">DATE(YEAR(B668),MONTH(B668),1)</f>
        <v>46054</v>
      </c>
      <c r="S668" s="83" t="str">
        <f aca="false">YEAR(B668)&amp;"-Q"&amp;ROUNDUP(MONTH(B668)/3,0)</f>
        <v>2026-Q1</v>
      </c>
      <c r="T668" s="87" t="n">
        <f aca="false">IF(O668&gt;0,Q668/O668,"")</f>
        <v>0.414285714285714</v>
      </c>
      <c r="U668" s="84" t="n">
        <f aca="false">IF(O668&gt;0,O668,"")</f>
        <v>1400</v>
      </c>
    </row>
    <row r="669" customFormat="false" ht="15" hidden="false" customHeight="false" outlineLevel="0" collapsed="false">
      <c r="A669" s="81" t="s">
        <v>1312</v>
      </c>
      <c r="B669" s="82" t="n">
        <v>46079</v>
      </c>
      <c r="C669" s="81" t="s">
        <v>341</v>
      </c>
      <c r="D669" s="83" t="str">
        <f aca="false">IFERROR(INDEX(c_Name,MATCH($C669,c_ID,0)),"غير معرّف")</f>
        <v>منى الحسيني</v>
      </c>
      <c r="E669" s="83" t="str">
        <f aca="false">IFERROR(INDEX(c_Region,MATCH($C669,c_ID,0)),"غير معرّف")</f>
        <v>الجنوبية</v>
      </c>
      <c r="F669" s="81" t="s">
        <v>179</v>
      </c>
      <c r="G669" s="83" t="str">
        <f aca="false">IFERROR(INDEX(p_Name,MATCH($F669,p_ID,0)),"غير معرّف")</f>
        <v>طقم أدوات مكتبية</v>
      </c>
      <c r="H669" s="83" t="str">
        <f aca="false">IFERROR(INDEX(p_Cat,MATCH($F669,p_ID,0)),"غير معرّف")</f>
        <v>مستلزمات مكتبية</v>
      </c>
      <c r="I669" s="81" t="s">
        <v>465</v>
      </c>
      <c r="J669" s="81" t="s">
        <v>93</v>
      </c>
      <c r="K669" s="81" t="n">
        <v>1</v>
      </c>
      <c r="L669" s="84" t="n">
        <f aca="false">IFERROR(INDEX(p_Price,MATCH($F669,p_ID,0)),0)</f>
        <v>90</v>
      </c>
      <c r="M669" s="85" t="n">
        <v>0.05</v>
      </c>
      <c r="N669" s="81" t="s">
        <v>644</v>
      </c>
      <c r="O669" s="84" t="n">
        <f aca="false">IF($N669="مرتجع",0,K669*L669*(1-M669))</f>
        <v>85.5</v>
      </c>
      <c r="P669" s="84" t="n">
        <f aca="false">IF($N669="مرتجع",0,K669*IFERROR(INDEX(p_Cost,MATCH($F669,p_ID,0)),0))</f>
        <v>45</v>
      </c>
      <c r="Q669" s="84" t="n">
        <f aca="false">O669-P669</f>
        <v>40.5</v>
      </c>
      <c r="R669" s="86" t="n">
        <f aca="false">DATE(YEAR(B669),MONTH(B669),1)</f>
        <v>46054</v>
      </c>
      <c r="S669" s="83" t="str">
        <f aca="false">YEAR(B669)&amp;"-Q"&amp;ROUNDUP(MONTH(B669)/3,0)</f>
        <v>2026-Q1</v>
      </c>
      <c r="T669" s="87" t="n">
        <f aca="false">IF(O669&gt;0,Q669/O669,"")</f>
        <v>0.473684210526316</v>
      </c>
      <c r="U669" s="84" t="n">
        <f aca="false">IF(O669&gt;0,O669,"")</f>
        <v>85.5</v>
      </c>
    </row>
    <row r="670" customFormat="false" ht="15" hidden="false" customHeight="false" outlineLevel="0" collapsed="false">
      <c r="A670" s="81" t="s">
        <v>1313</v>
      </c>
      <c r="B670" s="82" t="n">
        <v>46079</v>
      </c>
      <c r="C670" s="81" t="s">
        <v>414</v>
      </c>
      <c r="D670" s="83" t="str">
        <f aca="false">IFERROR(INDEX(c_Name,MATCH($C670,c_ID,0)),"غير معرّف")</f>
        <v>هند المطيري</v>
      </c>
      <c r="E670" s="83" t="str">
        <f aca="false">IFERROR(INDEX(c_Region,MATCH($C670,c_ID,0)),"غير معرّف")</f>
        <v>الشرقية</v>
      </c>
      <c r="F670" s="81" t="s">
        <v>165</v>
      </c>
      <c r="G670" s="83" t="str">
        <f aca="false">IFERROR(INDEX(p_Name,MATCH($F670,p_ID,0)),"غير معرّف")</f>
        <v>حاسوب محمول</v>
      </c>
      <c r="H670" s="83" t="str">
        <f aca="false">IFERROR(INDEX(p_Cat,MATCH($F670,p_ID,0)),"غير معرّف")</f>
        <v>إلكترونيات</v>
      </c>
      <c r="I670" s="81" t="s">
        <v>461</v>
      </c>
      <c r="J670" s="81" t="s">
        <v>91</v>
      </c>
      <c r="K670" s="81" t="n">
        <v>1</v>
      </c>
      <c r="L670" s="84" t="n">
        <f aca="false">IFERROR(INDEX(p_Price,MATCH($F670,p_ID,0)),0)</f>
        <v>3800</v>
      </c>
      <c r="M670" s="85" t="n">
        <v>0.15</v>
      </c>
      <c r="N670" s="81" t="s">
        <v>644</v>
      </c>
      <c r="O670" s="84" t="n">
        <f aca="false">IF($N670="مرتجع",0,K670*L670*(1-M670))</f>
        <v>3230</v>
      </c>
      <c r="P670" s="84" t="n">
        <f aca="false">IF($N670="مرتجع",0,K670*IFERROR(INDEX(p_Cost,MATCH($F670,p_ID,0)),0))</f>
        <v>2900</v>
      </c>
      <c r="Q670" s="84" t="n">
        <f aca="false">O670-P670</f>
        <v>330</v>
      </c>
      <c r="R670" s="86" t="n">
        <f aca="false">DATE(YEAR(B670),MONTH(B670),1)</f>
        <v>46054</v>
      </c>
      <c r="S670" s="83" t="str">
        <f aca="false">YEAR(B670)&amp;"-Q"&amp;ROUNDUP(MONTH(B670)/3,0)</f>
        <v>2026-Q1</v>
      </c>
      <c r="T670" s="87" t="n">
        <f aca="false">IF(O670&gt;0,Q670/O670,"")</f>
        <v>0.102167182662539</v>
      </c>
      <c r="U670" s="84" t="n">
        <f aca="false">IF(O670&gt;0,O670,"")</f>
        <v>3230</v>
      </c>
    </row>
    <row r="671" customFormat="false" ht="15" hidden="false" customHeight="false" outlineLevel="0" collapsed="false">
      <c r="A671" s="81" t="s">
        <v>1314</v>
      </c>
      <c r="B671" s="82" t="n">
        <v>46079</v>
      </c>
      <c r="C671" s="81" t="s">
        <v>243</v>
      </c>
      <c r="D671" s="83" t="str">
        <f aca="false">IFERROR(INDEX(c_Name,MATCH($C671,c_ID,0)),"غير معرّف")</f>
        <v>محمد الحربي</v>
      </c>
      <c r="E671" s="83" t="str">
        <f aca="false">IFERROR(INDEX(c_Region,MATCH($C671,c_ID,0)),"غير معرّف")</f>
        <v>الغربية</v>
      </c>
      <c r="F671" s="81" t="s">
        <v>169</v>
      </c>
      <c r="G671" s="83" t="str">
        <f aca="false">IFERROR(INDEX(p_Name,MATCH($F671,p_ID,0)),"غير معرّف")</f>
        <v>خلاط</v>
      </c>
      <c r="H671" s="83" t="str">
        <f aca="false">IFERROR(INDEX(p_Cat,MATCH($F671,p_ID,0)),"غير معرّف")</f>
        <v>أجهزة منزلية</v>
      </c>
      <c r="I671" s="81" t="s">
        <v>452</v>
      </c>
      <c r="J671" s="81" t="s">
        <v>93</v>
      </c>
      <c r="K671" s="81" t="n">
        <v>4</v>
      </c>
      <c r="L671" s="84" t="n">
        <f aca="false">IFERROR(INDEX(p_Price,MATCH($F671,p_ID,0)),0)</f>
        <v>300</v>
      </c>
      <c r="M671" s="85" t="n">
        <v>0.1</v>
      </c>
      <c r="N671" s="81" t="s">
        <v>644</v>
      </c>
      <c r="O671" s="84" t="n">
        <f aca="false">IF($N671="مرتجع",0,K671*L671*(1-M671))</f>
        <v>1080</v>
      </c>
      <c r="P671" s="84" t="n">
        <f aca="false">IF($N671="مرتجع",0,K671*IFERROR(INDEX(p_Cost,MATCH($F671,p_ID,0)),0))</f>
        <v>700</v>
      </c>
      <c r="Q671" s="84" t="n">
        <f aca="false">O671-P671</f>
        <v>380</v>
      </c>
      <c r="R671" s="86" t="n">
        <f aca="false">DATE(YEAR(B671),MONTH(B671),1)</f>
        <v>46054</v>
      </c>
      <c r="S671" s="83" t="str">
        <f aca="false">YEAR(B671)&amp;"-Q"&amp;ROUNDUP(MONTH(B671)/3,0)</f>
        <v>2026-Q1</v>
      </c>
      <c r="T671" s="87" t="n">
        <f aca="false">IF(O671&gt;0,Q671/O671,"")</f>
        <v>0.351851851851852</v>
      </c>
      <c r="U671" s="84" t="n">
        <f aca="false">IF(O671&gt;0,O671,"")</f>
        <v>1080</v>
      </c>
    </row>
    <row r="672" customFormat="false" ht="15" hidden="false" customHeight="false" outlineLevel="0" collapsed="false">
      <c r="A672" s="81" t="s">
        <v>1315</v>
      </c>
      <c r="B672" s="82" t="n">
        <v>46079</v>
      </c>
      <c r="C672" s="81" t="s">
        <v>270</v>
      </c>
      <c r="D672" s="83" t="str">
        <f aca="false">IFERROR(INDEX(c_Name,MATCH($C672,c_ID,0)),"غير معرّف")</f>
        <v>ريم التميمي</v>
      </c>
      <c r="E672" s="83" t="str">
        <f aca="false">IFERROR(INDEX(c_Region,MATCH($C672,c_ID,0)),"غير معرّف")</f>
        <v>الشرقية</v>
      </c>
      <c r="F672" s="81" t="s">
        <v>176</v>
      </c>
      <c r="G672" s="83" t="str">
        <f aca="false">IFERROR(INDEX(p_Name,MATCH($F672,p_ID,0)),"غير معرّف")</f>
        <v>طابعة ليزر</v>
      </c>
      <c r="H672" s="83" t="str">
        <f aca="false">IFERROR(INDEX(p_Cat,MATCH($F672,p_ID,0)),"غير معرّف")</f>
        <v>مستلزمات مكتبية</v>
      </c>
      <c r="I672" s="81" t="s">
        <v>461</v>
      </c>
      <c r="J672" s="81" t="s">
        <v>91</v>
      </c>
      <c r="K672" s="81" t="n">
        <v>1</v>
      </c>
      <c r="L672" s="84" t="n">
        <f aca="false">IFERROR(INDEX(p_Price,MATCH($F672,p_ID,0)),0)</f>
        <v>1300</v>
      </c>
      <c r="M672" s="85" t="n">
        <v>0.2</v>
      </c>
      <c r="N672" s="81" t="s">
        <v>644</v>
      </c>
      <c r="O672" s="84" t="n">
        <f aca="false">IF($N672="مرتجع",0,K672*L672*(1-M672))</f>
        <v>1040</v>
      </c>
      <c r="P672" s="84" t="n">
        <f aca="false">IF($N672="مرتجع",0,K672*IFERROR(INDEX(p_Cost,MATCH($F672,p_ID,0)),0))</f>
        <v>950</v>
      </c>
      <c r="Q672" s="84" t="n">
        <f aca="false">O672-P672</f>
        <v>90</v>
      </c>
      <c r="R672" s="86" t="n">
        <f aca="false">DATE(YEAR(B672),MONTH(B672),1)</f>
        <v>46054</v>
      </c>
      <c r="S672" s="83" t="str">
        <f aca="false">YEAR(B672)&amp;"-Q"&amp;ROUNDUP(MONTH(B672)/3,0)</f>
        <v>2026-Q1</v>
      </c>
      <c r="T672" s="87" t="n">
        <f aca="false">IF(O672&gt;0,Q672/O672,"")</f>
        <v>0.0865384615384615</v>
      </c>
      <c r="U672" s="84" t="n">
        <f aca="false">IF(O672&gt;0,O672,"")</f>
        <v>1040</v>
      </c>
    </row>
    <row r="673" customFormat="false" ht="15" hidden="false" customHeight="false" outlineLevel="0" collapsed="false">
      <c r="A673" s="81" t="s">
        <v>1316</v>
      </c>
      <c r="B673" s="82" t="n">
        <v>46079</v>
      </c>
      <c r="C673" s="81" t="s">
        <v>255</v>
      </c>
      <c r="D673" s="83" t="str">
        <f aca="false">IFERROR(INDEX(c_Name,MATCH($C673,c_ID,0)),"غير معرّف")</f>
        <v>سارة العتيبي</v>
      </c>
      <c r="E673" s="83" t="str">
        <f aca="false">IFERROR(INDEX(c_Region,MATCH($C673,c_ID,0)),"غير معرّف")</f>
        <v>الغربية</v>
      </c>
      <c r="F673" s="81" t="s">
        <v>165</v>
      </c>
      <c r="G673" s="83" t="str">
        <f aca="false">IFERROR(INDEX(p_Name,MATCH($F673,p_ID,0)),"غير معرّف")</f>
        <v>حاسوب محمول</v>
      </c>
      <c r="H673" s="83" t="str">
        <f aca="false">IFERROR(INDEX(p_Cat,MATCH($F673,p_ID,0)),"غير معرّف")</f>
        <v>إلكترونيات</v>
      </c>
      <c r="I673" s="81" t="s">
        <v>452</v>
      </c>
      <c r="J673" s="81" t="s">
        <v>93</v>
      </c>
      <c r="K673" s="81" t="n">
        <v>1</v>
      </c>
      <c r="L673" s="84" t="n">
        <f aca="false">IFERROR(INDEX(p_Price,MATCH($F673,p_ID,0)),0)</f>
        <v>3800</v>
      </c>
      <c r="M673" s="85" t="n">
        <v>0.2</v>
      </c>
      <c r="N673" s="81" t="s">
        <v>644</v>
      </c>
      <c r="O673" s="84" t="n">
        <f aca="false">IF($N673="مرتجع",0,K673*L673*(1-M673))</f>
        <v>3040</v>
      </c>
      <c r="P673" s="84" t="n">
        <f aca="false">IF($N673="مرتجع",0,K673*IFERROR(INDEX(p_Cost,MATCH($F673,p_ID,0)),0))</f>
        <v>2900</v>
      </c>
      <c r="Q673" s="84" t="n">
        <f aca="false">O673-P673</f>
        <v>140</v>
      </c>
      <c r="R673" s="86" t="n">
        <f aca="false">DATE(YEAR(B673),MONTH(B673),1)</f>
        <v>46054</v>
      </c>
      <c r="S673" s="83" t="str">
        <f aca="false">YEAR(B673)&amp;"-Q"&amp;ROUNDUP(MONTH(B673)/3,0)</f>
        <v>2026-Q1</v>
      </c>
      <c r="T673" s="87" t="n">
        <f aca="false">IF(O673&gt;0,Q673/O673,"")</f>
        <v>0.0460526315789474</v>
      </c>
      <c r="U673" s="84" t="n">
        <f aca="false">IF(O673&gt;0,O673,"")</f>
        <v>3040</v>
      </c>
    </row>
    <row r="674" customFormat="false" ht="15" hidden="false" customHeight="false" outlineLevel="0" collapsed="false">
      <c r="A674" s="81" t="s">
        <v>1317</v>
      </c>
      <c r="B674" s="82" t="n">
        <v>46080</v>
      </c>
      <c r="C674" s="81" t="s">
        <v>428</v>
      </c>
      <c r="D674" s="83" t="str">
        <f aca="false">IFERROR(INDEX(c_Name,MATCH($C674,c_ID,0)),"غير معرّف")</f>
        <v>عبدالله القحطاني</v>
      </c>
      <c r="E674" s="83" t="str">
        <f aca="false">IFERROR(INDEX(c_Region,MATCH($C674,c_ID,0)),"غير معرّف")</f>
        <v>الوسطى</v>
      </c>
      <c r="F674" s="81" t="s">
        <v>169</v>
      </c>
      <c r="G674" s="83" t="str">
        <f aca="false">IFERROR(INDEX(p_Name,MATCH($F674,p_ID,0)),"غير معرّف")</f>
        <v>خلاط</v>
      </c>
      <c r="H674" s="83" t="str">
        <f aca="false">IFERROR(INDEX(p_Cat,MATCH($F674,p_ID,0)),"غير معرّف")</f>
        <v>أجهزة منزلية</v>
      </c>
      <c r="I674" s="81" t="s">
        <v>449</v>
      </c>
      <c r="J674" s="81" t="s">
        <v>91</v>
      </c>
      <c r="K674" s="81" t="n">
        <v>2</v>
      </c>
      <c r="L674" s="84" t="n">
        <f aca="false">IFERROR(INDEX(p_Price,MATCH($F674,p_ID,0)),0)</f>
        <v>300</v>
      </c>
      <c r="M674" s="85" t="n">
        <v>0.05</v>
      </c>
      <c r="N674" s="81" t="s">
        <v>644</v>
      </c>
      <c r="O674" s="84" t="n">
        <f aca="false">IF($N674="مرتجع",0,K674*L674*(1-M674))</f>
        <v>570</v>
      </c>
      <c r="P674" s="84" t="n">
        <f aca="false">IF($N674="مرتجع",0,K674*IFERROR(INDEX(p_Cost,MATCH($F674,p_ID,0)),0))</f>
        <v>350</v>
      </c>
      <c r="Q674" s="84" t="n">
        <f aca="false">O674-P674</f>
        <v>220</v>
      </c>
      <c r="R674" s="86" t="n">
        <f aca="false">DATE(YEAR(B674),MONTH(B674),1)</f>
        <v>46054</v>
      </c>
      <c r="S674" s="83" t="str">
        <f aca="false">YEAR(B674)&amp;"-Q"&amp;ROUNDUP(MONTH(B674)/3,0)</f>
        <v>2026-Q1</v>
      </c>
      <c r="T674" s="87" t="n">
        <f aca="false">IF(O674&gt;0,Q674/O674,"")</f>
        <v>0.385964912280702</v>
      </c>
      <c r="U674" s="84" t="n">
        <f aca="false">IF(O674&gt;0,O674,"")</f>
        <v>570</v>
      </c>
    </row>
    <row r="675" customFormat="false" ht="15" hidden="false" customHeight="false" outlineLevel="0" collapsed="false">
      <c r="A675" s="81" t="s">
        <v>1318</v>
      </c>
      <c r="B675" s="82" t="n">
        <v>46080</v>
      </c>
      <c r="C675" s="81" t="s">
        <v>323</v>
      </c>
      <c r="D675" s="83" t="str">
        <f aca="false">IFERROR(INDEX(c_Name,MATCH($C675,c_ID,0)),"غير معرّف")</f>
        <v>ليلى الدوسري</v>
      </c>
      <c r="E675" s="83" t="str">
        <f aca="false">IFERROR(INDEX(c_Region,MATCH($C675,c_ID,0)),"غير معرّف")</f>
        <v>الشرقية</v>
      </c>
      <c r="F675" s="81" t="s">
        <v>183</v>
      </c>
      <c r="G675" s="83" t="str">
        <f aca="false">IFERROR(INDEX(p_Name,MATCH($F675,p_ID,0)),"غير معرّف")</f>
        <v>سجادة يوغا</v>
      </c>
      <c r="H675" s="83" t="str">
        <f aca="false">IFERROR(INDEX(p_Cat,MATCH($F675,p_ID,0)),"غير معرّف")</f>
        <v>رياضة</v>
      </c>
      <c r="I675" s="81" t="s">
        <v>461</v>
      </c>
      <c r="J675" s="81" t="s">
        <v>93</v>
      </c>
      <c r="K675" s="81" t="n">
        <v>1</v>
      </c>
      <c r="L675" s="84" t="n">
        <f aca="false">IFERROR(INDEX(p_Price,MATCH($F675,p_ID,0)),0)</f>
        <v>120</v>
      </c>
      <c r="M675" s="85" t="n">
        <v>0</v>
      </c>
      <c r="N675" s="81" t="s">
        <v>644</v>
      </c>
      <c r="O675" s="84" t="n">
        <f aca="false">IF($N675="مرتجع",0,K675*L675*(1-M675))</f>
        <v>120</v>
      </c>
      <c r="P675" s="84" t="n">
        <f aca="false">IF($N675="مرتجع",0,K675*IFERROR(INDEX(p_Cost,MATCH($F675,p_ID,0)),0))</f>
        <v>50</v>
      </c>
      <c r="Q675" s="84" t="n">
        <f aca="false">O675-P675</f>
        <v>70</v>
      </c>
      <c r="R675" s="86" t="n">
        <f aca="false">DATE(YEAR(B675),MONTH(B675),1)</f>
        <v>46054</v>
      </c>
      <c r="S675" s="83" t="str">
        <f aca="false">YEAR(B675)&amp;"-Q"&amp;ROUNDUP(MONTH(B675)/3,0)</f>
        <v>2026-Q1</v>
      </c>
      <c r="T675" s="87" t="n">
        <f aca="false">IF(O675&gt;0,Q675/O675,"")</f>
        <v>0.583333333333333</v>
      </c>
      <c r="U675" s="84" t="n">
        <f aca="false">IF(O675&gt;0,O675,"")</f>
        <v>120</v>
      </c>
    </row>
    <row r="676" customFormat="false" ht="15" hidden="false" customHeight="false" outlineLevel="0" collapsed="false">
      <c r="A676" s="81" t="s">
        <v>1319</v>
      </c>
      <c r="B676" s="82" t="n">
        <v>46080</v>
      </c>
      <c r="C676" s="81" t="s">
        <v>264</v>
      </c>
      <c r="D676" s="83" t="str">
        <f aca="false">IFERROR(INDEX(c_Name,MATCH($C676,c_ID,0)),"غير معرّف")</f>
        <v>عبدالله التميمي</v>
      </c>
      <c r="E676" s="83" t="str">
        <f aca="false">IFERROR(INDEX(c_Region,MATCH($C676,c_ID,0)),"غير معرّف")</f>
        <v>الوسطى</v>
      </c>
      <c r="F676" s="81" t="s">
        <v>179</v>
      </c>
      <c r="G676" s="83" t="str">
        <f aca="false">IFERROR(INDEX(p_Name,MATCH($F676,p_ID,0)),"غير معرّف")</f>
        <v>طقم أدوات مكتبية</v>
      </c>
      <c r="H676" s="83" t="str">
        <f aca="false">IFERROR(INDEX(p_Cat,MATCH($F676,p_ID,0)),"غير معرّف")</f>
        <v>مستلزمات مكتبية</v>
      </c>
      <c r="I676" s="81" t="s">
        <v>449</v>
      </c>
      <c r="J676" s="81" t="s">
        <v>91</v>
      </c>
      <c r="K676" s="81" t="n">
        <v>1</v>
      </c>
      <c r="L676" s="84" t="n">
        <f aca="false">IFERROR(INDEX(p_Price,MATCH($F676,p_ID,0)),0)</f>
        <v>90</v>
      </c>
      <c r="M676" s="85" t="n">
        <v>0</v>
      </c>
      <c r="N676" s="81" t="s">
        <v>644</v>
      </c>
      <c r="O676" s="84" t="n">
        <f aca="false">IF($N676="مرتجع",0,K676*L676*(1-M676))</f>
        <v>90</v>
      </c>
      <c r="P676" s="84" t="n">
        <f aca="false">IF($N676="مرتجع",0,K676*IFERROR(INDEX(p_Cost,MATCH($F676,p_ID,0)),0))</f>
        <v>45</v>
      </c>
      <c r="Q676" s="84" t="n">
        <f aca="false">O676-P676</f>
        <v>45</v>
      </c>
      <c r="R676" s="86" t="n">
        <f aca="false">DATE(YEAR(B676),MONTH(B676),1)</f>
        <v>46054</v>
      </c>
      <c r="S676" s="83" t="str">
        <f aca="false">YEAR(B676)&amp;"-Q"&amp;ROUNDUP(MONTH(B676)/3,0)</f>
        <v>2026-Q1</v>
      </c>
      <c r="T676" s="87" t="n">
        <f aca="false">IF(O676&gt;0,Q676/O676,"")</f>
        <v>0.5</v>
      </c>
      <c r="U676" s="84" t="n">
        <f aca="false">IF(O676&gt;0,O676,"")</f>
        <v>90</v>
      </c>
    </row>
    <row r="677" customFormat="false" ht="15" hidden="false" customHeight="false" outlineLevel="0" collapsed="false">
      <c r="A677" s="81" t="s">
        <v>1320</v>
      </c>
      <c r="B677" s="82" t="n">
        <v>46080</v>
      </c>
      <c r="C677" s="81" t="s">
        <v>282</v>
      </c>
      <c r="D677" s="83" t="str">
        <f aca="false">IFERROR(INDEX(c_Name,MATCH($C677,c_ID,0)),"غير معرّف")</f>
        <v>لمى المطيري</v>
      </c>
      <c r="E677" s="83" t="str">
        <f aca="false">IFERROR(INDEX(c_Region,MATCH($C677,c_ID,0)),"غير معرّف")</f>
        <v>الوسطى</v>
      </c>
      <c r="F677" s="81" t="s">
        <v>179</v>
      </c>
      <c r="G677" s="83" t="str">
        <f aca="false">IFERROR(INDEX(p_Name,MATCH($F677,p_ID,0)),"غير معرّف")</f>
        <v>طقم أدوات مكتبية</v>
      </c>
      <c r="H677" s="83" t="str">
        <f aca="false">IFERROR(INDEX(p_Cat,MATCH($F677,p_ID,0)),"غير معرّف")</f>
        <v>مستلزمات مكتبية</v>
      </c>
      <c r="I677" s="81" t="s">
        <v>446</v>
      </c>
      <c r="J677" s="81" t="s">
        <v>91</v>
      </c>
      <c r="K677" s="81" t="n">
        <v>8</v>
      </c>
      <c r="L677" s="84" t="n">
        <f aca="false">IFERROR(INDEX(p_Price,MATCH($F677,p_ID,0)),0)</f>
        <v>90</v>
      </c>
      <c r="M677" s="85" t="n">
        <v>0</v>
      </c>
      <c r="N677" s="81" t="s">
        <v>644</v>
      </c>
      <c r="O677" s="84" t="n">
        <f aca="false">IF($N677="مرتجع",0,K677*L677*(1-M677))</f>
        <v>720</v>
      </c>
      <c r="P677" s="84" t="n">
        <f aca="false">IF($N677="مرتجع",0,K677*IFERROR(INDEX(p_Cost,MATCH($F677,p_ID,0)),0))</f>
        <v>360</v>
      </c>
      <c r="Q677" s="84" t="n">
        <f aca="false">O677-P677</f>
        <v>360</v>
      </c>
      <c r="R677" s="86" t="n">
        <f aca="false">DATE(YEAR(B677),MONTH(B677),1)</f>
        <v>46054</v>
      </c>
      <c r="S677" s="83" t="str">
        <f aca="false">YEAR(B677)&amp;"-Q"&amp;ROUNDUP(MONTH(B677)/3,0)</f>
        <v>2026-Q1</v>
      </c>
      <c r="T677" s="87" t="n">
        <f aca="false">IF(O677&gt;0,Q677/O677,"")</f>
        <v>0.5</v>
      </c>
      <c r="U677" s="84" t="n">
        <f aca="false">IF(O677&gt;0,O677,"")</f>
        <v>720</v>
      </c>
    </row>
    <row r="678" customFormat="false" ht="15" hidden="false" customHeight="false" outlineLevel="0" collapsed="false">
      <c r="A678" s="81" t="s">
        <v>1321</v>
      </c>
      <c r="B678" s="82" t="n">
        <v>46080</v>
      </c>
      <c r="C678" s="81" t="s">
        <v>292</v>
      </c>
      <c r="D678" s="83" t="str">
        <f aca="false">IFERROR(INDEX(c_Name,MATCH($C678,c_ID,0)),"غير معرّف")</f>
        <v>نورة المطيري</v>
      </c>
      <c r="E678" s="83" t="str">
        <f aca="false">IFERROR(INDEX(c_Region,MATCH($C678,c_ID,0)),"غير معرّف")</f>
        <v>الوسطى</v>
      </c>
      <c r="F678" s="81" t="s">
        <v>184</v>
      </c>
      <c r="G678" s="83" t="str">
        <f aca="false">IFERROR(INDEX(p_Name,MATCH($F678,p_ID,0)),"غير معرّف")</f>
        <v>عطر فاخر</v>
      </c>
      <c r="H678" s="83" t="str">
        <f aca="false">IFERROR(INDEX(p_Cat,MATCH($F678,p_ID,0)),"غير معرّف")</f>
        <v>عناية شخصية</v>
      </c>
      <c r="I678" s="81" t="s">
        <v>446</v>
      </c>
      <c r="J678" s="81" t="s">
        <v>91</v>
      </c>
      <c r="K678" s="81" t="n">
        <v>1</v>
      </c>
      <c r="L678" s="84" t="n">
        <f aca="false">IFERROR(INDEX(p_Price,MATCH($F678,p_ID,0)),0)</f>
        <v>520</v>
      </c>
      <c r="M678" s="85" t="n">
        <v>0.1</v>
      </c>
      <c r="N678" s="81" t="s">
        <v>644</v>
      </c>
      <c r="O678" s="84" t="n">
        <f aca="false">IF($N678="مرتجع",0,K678*L678*(1-M678))</f>
        <v>468</v>
      </c>
      <c r="P678" s="84" t="n">
        <f aca="false">IF($N678="مرتجع",0,K678*IFERROR(INDEX(p_Cost,MATCH($F678,p_ID,0)),0))</f>
        <v>210</v>
      </c>
      <c r="Q678" s="84" t="n">
        <f aca="false">O678-P678</f>
        <v>258</v>
      </c>
      <c r="R678" s="86" t="n">
        <f aca="false">DATE(YEAR(B678),MONTH(B678),1)</f>
        <v>46054</v>
      </c>
      <c r="S678" s="83" t="str">
        <f aca="false">YEAR(B678)&amp;"-Q"&amp;ROUNDUP(MONTH(B678)/3,0)</f>
        <v>2026-Q1</v>
      </c>
      <c r="T678" s="87" t="n">
        <f aca="false">IF(O678&gt;0,Q678/O678,"")</f>
        <v>0.551282051282051</v>
      </c>
      <c r="U678" s="84" t="n">
        <f aca="false">IF(O678&gt;0,O678,"")</f>
        <v>468</v>
      </c>
    </row>
    <row r="679" customFormat="false" ht="15" hidden="false" customHeight="false" outlineLevel="0" collapsed="false">
      <c r="A679" s="81" t="s">
        <v>1322</v>
      </c>
      <c r="B679" s="82" t="n">
        <v>46081</v>
      </c>
      <c r="C679" s="81" t="s">
        <v>345</v>
      </c>
      <c r="D679" s="83" t="str">
        <f aca="false">IFERROR(INDEX(c_Name,MATCH($C679,c_ID,0)),"غير معرّف")</f>
        <v>عبدالله العنزي</v>
      </c>
      <c r="E679" s="83" t="str">
        <f aca="false">IFERROR(INDEX(c_Region,MATCH($C679,c_ID,0)),"غير معرّف")</f>
        <v>الغربية</v>
      </c>
      <c r="F679" s="81" t="s">
        <v>187</v>
      </c>
      <c r="G679" s="83" t="str">
        <f aca="false">IFERROR(INDEX(p_Name,MATCH($F679,p_ID,0)),"غير معرّف")</f>
        <v>جهاز تدليك</v>
      </c>
      <c r="H679" s="83" t="str">
        <f aca="false">IFERROR(INDEX(p_Cat,MATCH($F679,p_ID,0)),"غير معرّف")</f>
        <v>عناية شخصية</v>
      </c>
      <c r="I679" s="81" t="s">
        <v>452</v>
      </c>
      <c r="J679" s="81" t="s">
        <v>93</v>
      </c>
      <c r="K679" s="81" t="n">
        <v>1</v>
      </c>
      <c r="L679" s="84" t="n">
        <f aca="false">IFERROR(INDEX(p_Price,MATCH($F679,p_ID,0)),0)</f>
        <v>600</v>
      </c>
      <c r="M679" s="85" t="n">
        <v>0.05</v>
      </c>
      <c r="N679" s="81" t="s">
        <v>644</v>
      </c>
      <c r="O679" s="84" t="n">
        <f aca="false">IF($N679="مرتجع",0,K679*L679*(1-M679))</f>
        <v>570</v>
      </c>
      <c r="P679" s="84" t="n">
        <f aca="false">IF($N679="مرتجع",0,K679*IFERROR(INDEX(p_Cost,MATCH($F679,p_ID,0)),0))</f>
        <v>330</v>
      </c>
      <c r="Q679" s="84" t="n">
        <f aca="false">O679-P679</f>
        <v>240</v>
      </c>
      <c r="R679" s="86" t="n">
        <f aca="false">DATE(YEAR(B679),MONTH(B679),1)</f>
        <v>46054</v>
      </c>
      <c r="S679" s="83" t="str">
        <f aca="false">YEAR(B679)&amp;"-Q"&amp;ROUNDUP(MONTH(B679)/3,0)</f>
        <v>2026-Q1</v>
      </c>
      <c r="T679" s="87" t="n">
        <f aca="false">IF(O679&gt;0,Q679/O679,"")</f>
        <v>0.421052631578947</v>
      </c>
      <c r="U679" s="84" t="n">
        <f aca="false">IF(O679&gt;0,O679,"")</f>
        <v>570</v>
      </c>
    </row>
    <row r="680" customFormat="false" ht="15" hidden="false" customHeight="false" outlineLevel="0" collapsed="false">
      <c r="A680" s="81" t="s">
        <v>1323</v>
      </c>
      <c r="B680" s="82" t="n">
        <v>46081</v>
      </c>
      <c r="C680" s="81" t="s">
        <v>410</v>
      </c>
      <c r="D680" s="83" t="str">
        <f aca="false">IFERROR(INDEX(c_Name,MATCH($C680,c_ID,0)),"غير معرّف")</f>
        <v>لمى الحربي</v>
      </c>
      <c r="E680" s="83" t="str">
        <f aca="false">IFERROR(INDEX(c_Region,MATCH($C680,c_ID,0)),"غير معرّف")</f>
        <v>الوسطى</v>
      </c>
      <c r="F680" s="81" t="s">
        <v>187</v>
      </c>
      <c r="G680" s="83" t="str">
        <f aca="false">IFERROR(INDEX(p_Name,MATCH($F680,p_ID,0)),"غير معرّف")</f>
        <v>جهاز تدليك</v>
      </c>
      <c r="H680" s="83" t="str">
        <f aca="false">IFERROR(INDEX(p_Cat,MATCH($F680,p_ID,0)),"غير معرّف")</f>
        <v>عناية شخصية</v>
      </c>
      <c r="I680" s="81" t="s">
        <v>449</v>
      </c>
      <c r="J680" s="81" t="s">
        <v>93</v>
      </c>
      <c r="K680" s="81" t="n">
        <v>2</v>
      </c>
      <c r="L680" s="84" t="n">
        <f aca="false">IFERROR(INDEX(p_Price,MATCH($F680,p_ID,0)),0)</f>
        <v>600</v>
      </c>
      <c r="M680" s="85" t="n">
        <v>0</v>
      </c>
      <c r="N680" s="81" t="s">
        <v>644</v>
      </c>
      <c r="O680" s="84" t="n">
        <f aca="false">IF($N680="مرتجع",0,K680*L680*(1-M680))</f>
        <v>1200</v>
      </c>
      <c r="P680" s="84" t="n">
        <f aca="false">IF($N680="مرتجع",0,K680*IFERROR(INDEX(p_Cost,MATCH($F680,p_ID,0)),0))</f>
        <v>660</v>
      </c>
      <c r="Q680" s="84" t="n">
        <f aca="false">O680-P680</f>
        <v>540</v>
      </c>
      <c r="R680" s="86" t="n">
        <f aca="false">DATE(YEAR(B680),MONTH(B680),1)</f>
        <v>46054</v>
      </c>
      <c r="S680" s="83" t="str">
        <f aca="false">YEAR(B680)&amp;"-Q"&amp;ROUNDUP(MONTH(B680)/3,0)</f>
        <v>2026-Q1</v>
      </c>
      <c r="T680" s="87" t="n">
        <f aca="false">IF(O680&gt;0,Q680/O680,"")</f>
        <v>0.45</v>
      </c>
      <c r="U680" s="84" t="n">
        <f aca="false">IF(O680&gt;0,O680,"")</f>
        <v>1200</v>
      </c>
    </row>
    <row r="681" customFormat="false" ht="15" hidden="false" customHeight="false" outlineLevel="0" collapsed="false">
      <c r="A681" s="81" t="s">
        <v>1324</v>
      </c>
      <c r="B681" s="82" t="n">
        <v>46081</v>
      </c>
      <c r="C681" s="81" t="s">
        <v>420</v>
      </c>
      <c r="D681" s="83" t="str">
        <f aca="false">IFERROR(INDEX(c_Name,MATCH($C681,c_ID,0)),"غير معرّف")</f>
        <v>عبدالله الدوسري</v>
      </c>
      <c r="E681" s="83" t="str">
        <f aca="false">IFERROR(INDEX(c_Region,MATCH($C681,c_ID,0)),"غير معرّف")</f>
        <v>الجنوبية</v>
      </c>
      <c r="F681" s="81" t="s">
        <v>175</v>
      </c>
      <c r="G681" s="83" t="str">
        <f aca="false">IFERROR(INDEX(p_Name,MATCH($F681,p_ID,0)),"غير معرّف")</f>
        <v>رف كتب</v>
      </c>
      <c r="H681" s="83" t="str">
        <f aca="false">IFERROR(INDEX(p_Cat,MATCH($F681,p_ID,0)),"غير معرّف")</f>
        <v>أثاث</v>
      </c>
      <c r="I681" s="81" t="s">
        <v>467</v>
      </c>
      <c r="J681" s="81" t="s">
        <v>91</v>
      </c>
      <c r="K681" s="81" t="n">
        <v>1</v>
      </c>
      <c r="L681" s="84" t="n">
        <f aca="false">IFERROR(INDEX(p_Price,MATCH($F681,p_ID,0)),0)</f>
        <v>400</v>
      </c>
      <c r="M681" s="85" t="n">
        <v>0</v>
      </c>
      <c r="N681" s="81" t="s">
        <v>644</v>
      </c>
      <c r="O681" s="84" t="n">
        <f aca="false">IF($N681="مرتجع",0,K681*L681*(1-M681))</f>
        <v>400</v>
      </c>
      <c r="P681" s="84" t="n">
        <f aca="false">IF($N681="مرتجع",0,K681*IFERROR(INDEX(p_Cost,MATCH($F681,p_ID,0)),0))</f>
        <v>220</v>
      </c>
      <c r="Q681" s="84" t="n">
        <f aca="false">O681-P681</f>
        <v>180</v>
      </c>
      <c r="R681" s="86" t="n">
        <f aca="false">DATE(YEAR(B681),MONTH(B681),1)</f>
        <v>46054</v>
      </c>
      <c r="S681" s="83" t="str">
        <f aca="false">YEAR(B681)&amp;"-Q"&amp;ROUNDUP(MONTH(B681)/3,0)</f>
        <v>2026-Q1</v>
      </c>
      <c r="T681" s="87" t="n">
        <f aca="false">IF(O681&gt;0,Q681/O681,"")</f>
        <v>0.45</v>
      </c>
      <c r="U681" s="84" t="n">
        <f aca="false">IF(O681&gt;0,O681,"")</f>
        <v>400</v>
      </c>
    </row>
    <row r="682" customFormat="false" ht="15" hidden="false" customHeight="false" outlineLevel="0" collapsed="false">
      <c r="A682" s="81" t="s">
        <v>1325</v>
      </c>
      <c r="B682" s="82" t="n">
        <v>46082</v>
      </c>
      <c r="C682" s="81" t="s">
        <v>249</v>
      </c>
      <c r="D682" s="83" t="str">
        <f aca="false">IFERROR(INDEX(c_Name,MATCH($C682,c_ID,0)),"غير معرّف")</f>
        <v>ريم الحسيني</v>
      </c>
      <c r="E682" s="83" t="str">
        <f aca="false">IFERROR(INDEX(c_Region,MATCH($C682,c_ID,0)),"غير معرّف")</f>
        <v>الوسطى</v>
      </c>
      <c r="F682" s="81" t="s">
        <v>177</v>
      </c>
      <c r="G682" s="83" t="str">
        <f aca="false">IFERROR(INDEX(p_Name,MATCH($F682,p_ID,0)),"غير معرّف")</f>
        <v>ورق A4 (صندوق)</v>
      </c>
      <c r="H682" s="83" t="str">
        <f aca="false">IFERROR(INDEX(p_Cat,MATCH($F682,p_ID,0)),"غير معرّف")</f>
        <v>مستلزمات مكتبية</v>
      </c>
      <c r="I682" s="81" t="s">
        <v>446</v>
      </c>
      <c r="J682" s="81" t="s">
        <v>91</v>
      </c>
      <c r="K682" s="81" t="n">
        <v>1</v>
      </c>
      <c r="L682" s="84" t="n">
        <f aca="false">IFERROR(INDEX(p_Price,MATCH($F682,p_ID,0)),0)</f>
        <v>140</v>
      </c>
      <c r="M682" s="85" t="n">
        <v>0</v>
      </c>
      <c r="N682" s="81" t="s">
        <v>644</v>
      </c>
      <c r="O682" s="84" t="n">
        <f aca="false">IF($N682="مرتجع",0,K682*L682*(1-M682))</f>
        <v>140</v>
      </c>
      <c r="P682" s="84" t="n">
        <f aca="false">IF($N682="مرتجع",0,K682*IFERROR(INDEX(p_Cost,MATCH($F682,p_ID,0)),0))</f>
        <v>95</v>
      </c>
      <c r="Q682" s="84" t="n">
        <f aca="false">O682-P682</f>
        <v>45</v>
      </c>
      <c r="R682" s="86" t="n">
        <f aca="false">DATE(YEAR(B682),MONTH(B682),1)</f>
        <v>46082</v>
      </c>
      <c r="S682" s="83" t="str">
        <f aca="false">YEAR(B682)&amp;"-Q"&amp;ROUNDUP(MONTH(B682)/3,0)</f>
        <v>2026-Q1</v>
      </c>
      <c r="T682" s="87" t="n">
        <f aca="false">IF(O682&gt;0,Q682/O682,"")</f>
        <v>0.321428571428571</v>
      </c>
      <c r="U682" s="84" t="n">
        <f aca="false">IF(O682&gt;0,O682,"")</f>
        <v>140</v>
      </c>
    </row>
    <row r="683" customFormat="false" ht="15" hidden="false" customHeight="false" outlineLevel="0" collapsed="false">
      <c r="A683" s="81" t="s">
        <v>1326</v>
      </c>
      <c r="B683" s="82" t="n">
        <v>46082</v>
      </c>
      <c r="C683" s="81" t="s">
        <v>250</v>
      </c>
      <c r="D683" s="83" t="str">
        <f aca="false">IFERROR(INDEX(c_Name,MATCH($C683,c_ID,0)),"غير معرّف")</f>
        <v>ليلى المطيري</v>
      </c>
      <c r="E683" s="83" t="str">
        <f aca="false">IFERROR(INDEX(c_Region,MATCH($C683,c_ID,0)),"غير معرّف")</f>
        <v>الغربية</v>
      </c>
      <c r="F683" s="81" t="s">
        <v>178</v>
      </c>
      <c r="G683" s="83" t="str">
        <f aca="false">IFERROR(INDEX(p_Name,MATCH($F683,p_ID,0)),"غير معرّف")</f>
        <v>حقيبة لابتوب</v>
      </c>
      <c r="H683" s="83" t="str">
        <f aca="false">IFERROR(INDEX(p_Cat,MATCH($F683,p_ID,0)),"غير معرّف")</f>
        <v>مستلزمات مكتبية</v>
      </c>
      <c r="I683" s="81" t="s">
        <v>452</v>
      </c>
      <c r="J683" s="81" t="s">
        <v>93</v>
      </c>
      <c r="K683" s="81" t="n">
        <v>7</v>
      </c>
      <c r="L683" s="84" t="n">
        <f aca="false">IFERROR(INDEX(p_Price,MATCH($F683,p_ID,0)),0)</f>
        <v>260</v>
      </c>
      <c r="M683" s="85" t="n">
        <v>0.05</v>
      </c>
      <c r="N683" s="81" t="s">
        <v>644</v>
      </c>
      <c r="O683" s="84" t="n">
        <f aca="false">IF($N683="مرتجع",0,K683*L683*(1-M683))</f>
        <v>1729</v>
      </c>
      <c r="P683" s="84" t="n">
        <f aca="false">IF($N683="مرتجع",0,K683*IFERROR(INDEX(p_Cost,MATCH($F683,p_ID,0)),0))</f>
        <v>840</v>
      </c>
      <c r="Q683" s="84" t="n">
        <f aca="false">O683-P683</f>
        <v>889</v>
      </c>
      <c r="R683" s="86" t="n">
        <f aca="false">DATE(YEAR(B683),MONTH(B683),1)</f>
        <v>46082</v>
      </c>
      <c r="S683" s="83" t="str">
        <f aca="false">YEAR(B683)&amp;"-Q"&amp;ROUNDUP(MONTH(B683)/3,0)</f>
        <v>2026-Q1</v>
      </c>
      <c r="T683" s="87" t="n">
        <f aca="false">IF(O683&gt;0,Q683/O683,"")</f>
        <v>0.51417004048583</v>
      </c>
      <c r="U683" s="84" t="n">
        <f aca="false">IF(O683&gt;0,O683,"")</f>
        <v>1729</v>
      </c>
    </row>
    <row r="684" customFormat="false" ht="15" hidden="false" customHeight="false" outlineLevel="0" collapsed="false">
      <c r="A684" s="81" t="s">
        <v>1327</v>
      </c>
      <c r="B684" s="82" t="n">
        <v>46082</v>
      </c>
      <c r="C684" s="81" t="s">
        <v>374</v>
      </c>
      <c r="D684" s="83" t="str">
        <f aca="false">IFERROR(INDEX(c_Name,MATCH($C684,c_ID,0)),"غير معرّف")</f>
        <v>منى التميمي</v>
      </c>
      <c r="E684" s="83" t="str">
        <f aca="false">IFERROR(INDEX(c_Region,MATCH($C684,c_ID,0)),"غير معرّف")</f>
        <v>الوسطى</v>
      </c>
      <c r="F684" s="81" t="s">
        <v>169</v>
      </c>
      <c r="G684" s="83" t="str">
        <f aca="false">IFERROR(INDEX(p_Name,MATCH($F684,p_ID,0)),"غير معرّف")</f>
        <v>خلاط</v>
      </c>
      <c r="H684" s="83" t="str">
        <f aca="false">IFERROR(INDEX(p_Cat,MATCH($F684,p_ID,0)),"غير معرّف")</f>
        <v>أجهزة منزلية</v>
      </c>
      <c r="I684" s="81" t="s">
        <v>449</v>
      </c>
      <c r="J684" s="81" t="s">
        <v>91</v>
      </c>
      <c r="K684" s="81" t="n">
        <v>5</v>
      </c>
      <c r="L684" s="84" t="n">
        <f aca="false">IFERROR(INDEX(p_Price,MATCH($F684,p_ID,0)),0)</f>
        <v>300</v>
      </c>
      <c r="M684" s="85" t="n">
        <v>0</v>
      </c>
      <c r="N684" s="81" t="s">
        <v>644</v>
      </c>
      <c r="O684" s="84" t="n">
        <f aca="false">IF($N684="مرتجع",0,K684*L684*(1-M684))</f>
        <v>1500</v>
      </c>
      <c r="P684" s="84" t="n">
        <f aca="false">IF($N684="مرتجع",0,K684*IFERROR(INDEX(p_Cost,MATCH($F684,p_ID,0)),0))</f>
        <v>875</v>
      </c>
      <c r="Q684" s="84" t="n">
        <f aca="false">O684-P684</f>
        <v>625</v>
      </c>
      <c r="R684" s="86" t="n">
        <f aca="false">DATE(YEAR(B684),MONTH(B684),1)</f>
        <v>46082</v>
      </c>
      <c r="S684" s="83" t="str">
        <f aca="false">YEAR(B684)&amp;"-Q"&amp;ROUNDUP(MONTH(B684)/3,0)</f>
        <v>2026-Q1</v>
      </c>
      <c r="T684" s="87" t="n">
        <f aca="false">IF(O684&gt;0,Q684/O684,"")</f>
        <v>0.416666666666667</v>
      </c>
      <c r="U684" s="84" t="n">
        <f aca="false">IF(O684&gt;0,O684,"")</f>
        <v>1500</v>
      </c>
    </row>
    <row r="685" customFormat="false" ht="15" hidden="false" customHeight="false" outlineLevel="0" collapsed="false">
      <c r="A685" s="81" t="s">
        <v>1328</v>
      </c>
      <c r="B685" s="82" t="n">
        <v>46083</v>
      </c>
      <c r="C685" s="81" t="s">
        <v>335</v>
      </c>
      <c r="D685" s="83" t="str">
        <f aca="false">IFERROR(INDEX(c_Name,MATCH($C685,c_ID,0)),"غير معرّف")</f>
        <v>نورة الحربي</v>
      </c>
      <c r="E685" s="83" t="str">
        <f aca="false">IFERROR(INDEX(c_Region,MATCH($C685,c_ID,0)),"غير معرّف")</f>
        <v>الشرقية</v>
      </c>
      <c r="F685" s="81" t="s">
        <v>174</v>
      </c>
      <c r="G685" s="83" t="str">
        <f aca="false">IFERROR(INDEX(p_Name,MATCH($F685,p_ID,0)),"غير معرّف")</f>
        <v>خزانة ملفات</v>
      </c>
      <c r="H685" s="83" t="str">
        <f aca="false">IFERROR(INDEX(p_Cat,MATCH($F685,p_ID,0)),"غير معرّف")</f>
        <v>أثاث</v>
      </c>
      <c r="I685" s="81" t="s">
        <v>461</v>
      </c>
      <c r="J685" s="81" t="s">
        <v>93</v>
      </c>
      <c r="K685" s="81" t="n">
        <v>1</v>
      </c>
      <c r="L685" s="84" t="n">
        <f aca="false">IFERROR(INDEX(p_Price,MATCH($F685,p_ID,0)),0)</f>
        <v>700</v>
      </c>
      <c r="M685" s="85" t="n">
        <v>0</v>
      </c>
      <c r="N685" s="81" t="s">
        <v>644</v>
      </c>
      <c r="O685" s="84" t="n">
        <f aca="false">IF($N685="مرتجع",0,K685*L685*(1-M685))</f>
        <v>700</v>
      </c>
      <c r="P685" s="84" t="n">
        <f aca="false">IF($N685="مرتجع",0,K685*IFERROR(INDEX(p_Cost,MATCH($F685,p_ID,0)),0))</f>
        <v>410</v>
      </c>
      <c r="Q685" s="84" t="n">
        <f aca="false">O685-P685</f>
        <v>290</v>
      </c>
      <c r="R685" s="86" t="n">
        <f aca="false">DATE(YEAR(B685),MONTH(B685),1)</f>
        <v>46082</v>
      </c>
      <c r="S685" s="83" t="str">
        <f aca="false">YEAR(B685)&amp;"-Q"&amp;ROUNDUP(MONTH(B685)/3,0)</f>
        <v>2026-Q1</v>
      </c>
      <c r="T685" s="87" t="n">
        <f aca="false">IF(O685&gt;0,Q685/O685,"")</f>
        <v>0.414285714285714</v>
      </c>
      <c r="U685" s="84" t="n">
        <f aca="false">IF(O685&gt;0,O685,"")</f>
        <v>700</v>
      </c>
    </row>
    <row r="686" customFormat="false" ht="15" hidden="false" customHeight="false" outlineLevel="0" collapsed="false">
      <c r="A686" s="81" t="s">
        <v>1329</v>
      </c>
      <c r="B686" s="82" t="n">
        <v>46083</v>
      </c>
      <c r="C686" s="81" t="s">
        <v>394</v>
      </c>
      <c r="D686" s="83" t="str">
        <f aca="false">IFERROR(INDEX(c_Name,MATCH($C686,c_ID,0)),"غير معرّف")</f>
        <v>طارق الغامدي</v>
      </c>
      <c r="E686" s="83" t="str">
        <f aca="false">IFERROR(INDEX(c_Region,MATCH($C686,c_ID,0)),"غير معرّف")</f>
        <v>الشرقية</v>
      </c>
      <c r="F686" s="81" t="s">
        <v>185</v>
      </c>
      <c r="G686" s="83" t="str">
        <f aca="false">IFERROR(INDEX(p_Name,MATCH($F686,p_ID,0)),"غير معرّف")</f>
        <v>ماكينة حلاقة</v>
      </c>
      <c r="H686" s="83" t="str">
        <f aca="false">IFERROR(INDEX(p_Cat,MATCH($F686,p_ID,0)),"غير معرّف")</f>
        <v>عناية شخصية</v>
      </c>
      <c r="I686" s="81" t="s">
        <v>461</v>
      </c>
      <c r="J686" s="81" t="s">
        <v>91</v>
      </c>
      <c r="K686" s="81" t="n">
        <v>3</v>
      </c>
      <c r="L686" s="84" t="n">
        <f aca="false">IFERROR(INDEX(p_Price,MATCH($F686,p_ID,0)),0)</f>
        <v>340</v>
      </c>
      <c r="M686" s="85" t="n">
        <v>0</v>
      </c>
      <c r="N686" s="81" t="s">
        <v>644</v>
      </c>
      <c r="O686" s="84" t="n">
        <f aca="false">IF($N686="مرتجع",0,K686*L686*(1-M686))</f>
        <v>1020</v>
      </c>
      <c r="P686" s="84" t="n">
        <f aca="false">IF($N686="مرتجع",0,K686*IFERROR(INDEX(p_Cost,MATCH($F686,p_ID,0)),0))</f>
        <v>510</v>
      </c>
      <c r="Q686" s="84" t="n">
        <f aca="false">O686-P686</f>
        <v>510</v>
      </c>
      <c r="R686" s="86" t="n">
        <f aca="false">DATE(YEAR(B686),MONTH(B686),1)</f>
        <v>46082</v>
      </c>
      <c r="S686" s="83" t="str">
        <f aca="false">YEAR(B686)&amp;"-Q"&amp;ROUNDUP(MONTH(B686)/3,0)</f>
        <v>2026-Q1</v>
      </c>
      <c r="T686" s="87" t="n">
        <f aca="false">IF(O686&gt;0,Q686/O686,"")</f>
        <v>0.5</v>
      </c>
      <c r="U686" s="84" t="n">
        <f aca="false">IF(O686&gt;0,O686,"")</f>
        <v>1020</v>
      </c>
    </row>
    <row r="687" customFormat="false" ht="15" hidden="false" customHeight="false" outlineLevel="0" collapsed="false">
      <c r="A687" s="81" t="s">
        <v>1330</v>
      </c>
      <c r="B687" s="82" t="n">
        <v>46083</v>
      </c>
      <c r="C687" s="81" t="s">
        <v>367</v>
      </c>
      <c r="D687" s="83" t="str">
        <f aca="false">IFERROR(INDEX(c_Name,MATCH($C687,c_ID,0)),"غير معرّف")</f>
        <v>سارة الحربي</v>
      </c>
      <c r="E687" s="83" t="str">
        <f aca="false">IFERROR(INDEX(c_Region,MATCH($C687,c_ID,0)),"غير معرّف")</f>
        <v>الغربية</v>
      </c>
      <c r="F687" s="81" t="s">
        <v>175</v>
      </c>
      <c r="G687" s="83" t="str">
        <f aca="false">IFERROR(INDEX(p_Name,MATCH($F687,p_ID,0)),"غير معرّف")</f>
        <v>رف كتب</v>
      </c>
      <c r="H687" s="83" t="str">
        <f aca="false">IFERROR(INDEX(p_Cat,MATCH($F687,p_ID,0)),"غير معرّف")</f>
        <v>أثاث</v>
      </c>
      <c r="I687" s="81" t="s">
        <v>452</v>
      </c>
      <c r="J687" s="81" t="s">
        <v>93</v>
      </c>
      <c r="K687" s="81" t="n">
        <v>4</v>
      </c>
      <c r="L687" s="84" t="n">
        <f aca="false">IFERROR(INDEX(p_Price,MATCH($F687,p_ID,0)),0)</f>
        <v>400</v>
      </c>
      <c r="M687" s="85" t="n">
        <v>0.05</v>
      </c>
      <c r="N687" s="81" t="s">
        <v>644</v>
      </c>
      <c r="O687" s="84" t="n">
        <f aca="false">IF($N687="مرتجع",0,K687*L687*(1-M687))</f>
        <v>1520</v>
      </c>
      <c r="P687" s="84" t="n">
        <f aca="false">IF($N687="مرتجع",0,K687*IFERROR(INDEX(p_Cost,MATCH($F687,p_ID,0)),0))</f>
        <v>880</v>
      </c>
      <c r="Q687" s="84" t="n">
        <f aca="false">O687-P687</f>
        <v>640</v>
      </c>
      <c r="R687" s="86" t="n">
        <f aca="false">DATE(YEAR(B687),MONTH(B687),1)</f>
        <v>46082</v>
      </c>
      <c r="S687" s="83" t="str">
        <f aca="false">YEAR(B687)&amp;"-Q"&amp;ROUNDUP(MONTH(B687)/3,0)</f>
        <v>2026-Q1</v>
      </c>
      <c r="T687" s="87" t="n">
        <f aca="false">IF(O687&gt;0,Q687/O687,"")</f>
        <v>0.421052631578947</v>
      </c>
      <c r="U687" s="84" t="n">
        <f aca="false">IF(O687&gt;0,O687,"")</f>
        <v>1520</v>
      </c>
    </row>
    <row r="688" customFormat="false" ht="15" hidden="false" customHeight="false" outlineLevel="0" collapsed="false">
      <c r="A688" s="81" t="s">
        <v>1331</v>
      </c>
      <c r="B688" s="82" t="n">
        <v>46083</v>
      </c>
      <c r="C688" s="81" t="s">
        <v>306</v>
      </c>
      <c r="D688" s="83" t="str">
        <f aca="false">IFERROR(INDEX(c_Name,MATCH($C688,c_ID,0)),"غير معرّف")</f>
        <v>أحمد العنزي</v>
      </c>
      <c r="E688" s="83" t="str">
        <f aca="false">IFERROR(INDEX(c_Region,MATCH($C688,c_ID,0)),"غير معرّف")</f>
        <v>الغربية</v>
      </c>
      <c r="F688" s="81" t="s">
        <v>180</v>
      </c>
      <c r="G688" s="83" t="str">
        <f aca="false">IFERROR(INDEX(p_Name,MATCH($F688,p_ID,0)),"غير معرّف")</f>
        <v>جهاز مشي</v>
      </c>
      <c r="H688" s="83" t="str">
        <f aca="false">IFERROR(INDEX(p_Cat,MATCH($F688,p_ID,0)),"غير معرّف")</f>
        <v>رياضة</v>
      </c>
      <c r="I688" s="81" t="s">
        <v>458</v>
      </c>
      <c r="J688" s="81" t="s">
        <v>93</v>
      </c>
      <c r="K688" s="81" t="n">
        <v>1</v>
      </c>
      <c r="L688" s="84" t="n">
        <f aca="false">IFERROR(INDEX(p_Price,MATCH($F688,p_ID,0)),0)</f>
        <v>3200</v>
      </c>
      <c r="M688" s="85" t="n">
        <v>0.1</v>
      </c>
      <c r="N688" s="81" t="s">
        <v>644</v>
      </c>
      <c r="O688" s="84" t="n">
        <f aca="false">IF($N688="مرتجع",0,K688*L688*(1-M688))</f>
        <v>2880</v>
      </c>
      <c r="P688" s="84" t="n">
        <f aca="false">IF($N688="مرتجع",0,K688*IFERROR(INDEX(p_Cost,MATCH($F688,p_ID,0)),0))</f>
        <v>2200</v>
      </c>
      <c r="Q688" s="84" t="n">
        <f aca="false">O688-P688</f>
        <v>680</v>
      </c>
      <c r="R688" s="86" t="n">
        <f aca="false">DATE(YEAR(B688),MONTH(B688),1)</f>
        <v>46082</v>
      </c>
      <c r="S688" s="83" t="str">
        <f aca="false">YEAR(B688)&amp;"-Q"&amp;ROUNDUP(MONTH(B688)/3,0)</f>
        <v>2026-Q1</v>
      </c>
      <c r="T688" s="87" t="n">
        <f aca="false">IF(O688&gt;0,Q688/O688,"")</f>
        <v>0.236111111111111</v>
      </c>
      <c r="U688" s="84" t="n">
        <f aca="false">IF(O688&gt;0,O688,"")</f>
        <v>2880</v>
      </c>
    </row>
    <row r="689" customFormat="false" ht="15" hidden="false" customHeight="false" outlineLevel="0" collapsed="false">
      <c r="A689" s="81" t="s">
        <v>1332</v>
      </c>
      <c r="B689" s="82" t="n">
        <v>46084</v>
      </c>
      <c r="C689" s="81" t="s">
        <v>408</v>
      </c>
      <c r="D689" s="83" t="str">
        <f aca="false">IFERROR(INDEX(c_Name,MATCH($C689,c_ID,0)),"غير معرّف")</f>
        <v>فهد الغامدي</v>
      </c>
      <c r="E689" s="83" t="str">
        <f aca="false">IFERROR(INDEX(c_Region,MATCH($C689,c_ID,0)),"غير معرّف")</f>
        <v>الغربية</v>
      </c>
      <c r="F689" s="81" t="s">
        <v>170</v>
      </c>
      <c r="G689" s="83" t="str">
        <f aca="false">IFERROR(INDEX(p_Name,MATCH($F689,p_ID,0)),"غير معرّف")</f>
        <v>مكيف نقال</v>
      </c>
      <c r="H689" s="83" t="str">
        <f aca="false">IFERROR(INDEX(p_Cat,MATCH($F689,p_ID,0)),"غير معرّف")</f>
        <v>أجهزة منزلية</v>
      </c>
      <c r="I689" s="81" t="s">
        <v>458</v>
      </c>
      <c r="J689" s="81" t="s">
        <v>91</v>
      </c>
      <c r="K689" s="81" t="n">
        <v>1</v>
      </c>
      <c r="L689" s="84" t="n">
        <f aca="false">IFERROR(INDEX(p_Price,MATCH($F689,p_ID,0)),0)</f>
        <v>1900</v>
      </c>
      <c r="M689" s="85" t="n">
        <v>0</v>
      </c>
      <c r="N689" s="81" t="s">
        <v>644</v>
      </c>
      <c r="O689" s="84" t="n">
        <f aca="false">IF($N689="مرتجع",0,K689*L689*(1-M689))</f>
        <v>1900</v>
      </c>
      <c r="P689" s="84" t="n">
        <f aca="false">IF($N689="مرتجع",0,K689*IFERROR(INDEX(p_Cost,MATCH($F689,p_ID,0)),0))</f>
        <v>1350</v>
      </c>
      <c r="Q689" s="84" t="n">
        <f aca="false">O689-P689</f>
        <v>550</v>
      </c>
      <c r="R689" s="86" t="n">
        <f aca="false">DATE(YEAR(B689),MONTH(B689),1)</f>
        <v>46082</v>
      </c>
      <c r="S689" s="83" t="str">
        <f aca="false">YEAR(B689)&amp;"-Q"&amp;ROUNDUP(MONTH(B689)/3,0)</f>
        <v>2026-Q1</v>
      </c>
      <c r="T689" s="87" t="n">
        <f aca="false">IF(O689&gt;0,Q689/O689,"")</f>
        <v>0.289473684210526</v>
      </c>
      <c r="U689" s="84" t="n">
        <f aca="false">IF(O689&gt;0,O689,"")</f>
        <v>1900</v>
      </c>
    </row>
    <row r="690" customFormat="false" ht="15" hidden="false" customHeight="false" outlineLevel="0" collapsed="false">
      <c r="A690" s="81" t="s">
        <v>1333</v>
      </c>
      <c r="B690" s="82" t="n">
        <v>46084</v>
      </c>
      <c r="C690" s="81" t="s">
        <v>394</v>
      </c>
      <c r="D690" s="83" t="str">
        <f aca="false">IFERROR(INDEX(c_Name,MATCH($C690,c_ID,0)),"غير معرّف")</f>
        <v>طارق الغامدي</v>
      </c>
      <c r="E690" s="83" t="str">
        <f aca="false">IFERROR(INDEX(c_Region,MATCH($C690,c_ID,0)),"غير معرّف")</f>
        <v>الشرقية</v>
      </c>
      <c r="F690" s="81" t="s">
        <v>169</v>
      </c>
      <c r="G690" s="83" t="str">
        <f aca="false">IFERROR(INDEX(p_Name,MATCH($F690,p_ID,0)),"غير معرّف")</f>
        <v>خلاط</v>
      </c>
      <c r="H690" s="83" t="str">
        <f aca="false">IFERROR(INDEX(p_Cat,MATCH($F690,p_ID,0)),"غير معرّف")</f>
        <v>أجهزة منزلية</v>
      </c>
      <c r="I690" s="81" t="s">
        <v>461</v>
      </c>
      <c r="J690" s="81" t="s">
        <v>93</v>
      </c>
      <c r="K690" s="81" t="n">
        <v>1</v>
      </c>
      <c r="L690" s="84" t="n">
        <f aca="false">IFERROR(INDEX(p_Price,MATCH($F690,p_ID,0)),0)</f>
        <v>300</v>
      </c>
      <c r="M690" s="85" t="n">
        <v>0.1</v>
      </c>
      <c r="N690" s="81" t="s">
        <v>644</v>
      </c>
      <c r="O690" s="84" t="n">
        <f aca="false">IF($N690="مرتجع",0,K690*L690*(1-M690))</f>
        <v>270</v>
      </c>
      <c r="P690" s="84" t="n">
        <f aca="false">IF($N690="مرتجع",0,K690*IFERROR(INDEX(p_Cost,MATCH($F690,p_ID,0)),0))</f>
        <v>175</v>
      </c>
      <c r="Q690" s="84" t="n">
        <f aca="false">O690-P690</f>
        <v>95</v>
      </c>
      <c r="R690" s="86" t="n">
        <f aca="false">DATE(YEAR(B690),MONTH(B690),1)</f>
        <v>46082</v>
      </c>
      <c r="S690" s="83" t="str">
        <f aca="false">YEAR(B690)&amp;"-Q"&amp;ROUNDUP(MONTH(B690)/3,0)</f>
        <v>2026-Q1</v>
      </c>
      <c r="T690" s="87" t="n">
        <f aca="false">IF(O690&gt;0,Q690/O690,"")</f>
        <v>0.351851851851852</v>
      </c>
      <c r="U690" s="84" t="n">
        <f aca="false">IF(O690&gt;0,O690,"")</f>
        <v>270</v>
      </c>
    </row>
    <row r="691" customFormat="false" ht="15" hidden="false" customHeight="false" outlineLevel="0" collapsed="false">
      <c r="A691" s="81" t="s">
        <v>1334</v>
      </c>
      <c r="B691" s="82" t="n">
        <v>46084</v>
      </c>
      <c r="C691" s="81" t="s">
        <v>246</v>
      </c>
      <c r="D691" s="83" t="str">
        <f aca="false">IFERROR(INDEX(c_Name,MATCH($C691,c_ID,0)),"غير معرّف")</f>
        <v>ياسر العتيبي</v>
      </c>
      <c r="E691" s="83" t="str">
        <f aca="false">IFERROR(INDEX(c_Region,MATCH($C691,c_ID,0)),"غير معرّف")</f>
        <v>الجنوبية</v>
      </c>
      <c r="F691" s="81" t="s">
        <v>184</v>
      </c>
      <c r="G691" s="83" t="str">
        <f aca="false">IFERROR(INDEX(p_Name,MATCH($F691,p_ID,0)),"غير معرّف")</f>
        <v>عطر فاخر</v>
      </c>
      <c r="H691" s="83" t="str">
        <f aca="false">IFERROR(INDEX(p_Cat,MATCH($F691,p_ID,0)),"غير معرّف")</f>
        <v>عناية شخصية</v>
      </c>
      <c r="I691" s="81" t="s">
        <v>467</v>
      </c>
      <c r="J691" s="81" t="s">
        <v>91</v>
      </c>
      <c r="K691" s="81" t="n">
        <v>1</v>
      </c>
      <c r="L691" s="84" t="n">
        <f aca="false">IFERROR(INDEX(p_Price,MATCH($F691,p_ID,0)),0)</f>
        <v>520</v>
      </c>
      <c r="M691" s="85" t="n">
        <v>0</v>
      </c>
      <c r="N691" s="81" t="s">
        <v>644</v>
      </c>
      <c r="O691" s="84" t="n">
        <f aca="false">IF($N691="مرتجع",0,K691*L691*(1-M691))</f>
        <v>520</v>
      </c>
      <c r="P691" s="84" t="n">
        <f aca="false">IF($N691="مرتجع",0,K691*IFERROR(INDEX(p_Cost,MATCH($F691,p_ID,0)),0))</f>
        <v>210</v>
      </c>
      <c r="Q691" s="84" t="n">
        <f aca="false">O691-P691</f>
        <v>310</v>
      </c>
      <c r="R691" s="86" t="n">
        <f aca="false">DATE(YEAR(B691),MONTH(B691),1)</f>
        <v>46082</v>
      </c>
      <c r="S691" s="83" t="str">
        <f aca="false">YEAR(B691)&amp;"-Q"&amp;ROUNDUP(MONTH(B691)/3,0)</f>
        <v>2026-Q1</v>
      </c>
      <c r="T691" s="87" t="n">
        <f aca="false">IF(O691&gt;0,Q691/O691,"")</f>
        <v>0.596153846153846</v>
      </c>
      <c r="U691" s="84" t="n">
        <f aca="false">IF(O691&gt;0,O691,"")</f>
        <v>520</v>
      </c>
    </row>
    <row r="692" customFormat="false" ht="15" hidden="false" customHeight="false" outlineLevel="0" collapsed="false">
      <c r="A692" s="81" t="s">
        <v>1335</v>
      </c>
      <c r="B692" s="82" t="n">
        <v>46084</v>
      </c>
      <c r="C692" s="81" t="s">
        <v>401</v>
      </c>
      <c r="D692" s="83" t="str">
        <f aca="false">IFERROR(INDEX(c_Name,MATCH($C692,c_ID,0)),"غير معرّف")</f>
        <v>فهد المطيري</v>
      </c>
      <c r="E692" s="83" t="str">
        <f aca="false">IFERROR(INDEX(c_Region,MATCH($C692,c_ID,0)),"غير معرّف")</f>
        <v>الغربية</v>
      </c>
      <c r="F692" s="81" t="s">
        <v>173</v>
      </c>
      <c r="G692" s="83" t="str">
        <f aca="false">IFERROR(INDEX(p_Name,MATCH($F692,p_ID,0)),"غير معرّف")</f>
        <v>كرسي مريح</v>
      </c>
      <c r="H692" s="83" t="str">
        <f aca="false">IFERROR(INDEX(p_Cat,MATCH($F692,p_ID,0)),"غير معرّف")</f>
        <v>أثاث</v>
      </c>
      <c r="I692" s="81" t="s">
        <v>458</v>
      </c>
      <c r="J692" s="81" t="s">
        <v>93</v>
      </c>
      <c r="K692" s="81" t="n">
        <v>1</v>
      </c>
      <c r="L692" s="84" t="n">
        <f aca="false">IFERROR(INDEX(p_Price,MATCH($F692,p_ID,0)),0)</f>
        <v>850</v>
      </c>
      <c r="M692" s="85" t="n">
        <v>0.05</v>
      </c>
      <c r="N692" s="81" t="s">
        <v>644</v>
      </c>
      <c r="O692" s="84" t="n">
        <f aca="false">IF($N692="مرتجع",0,K692*L692*(1-M692))</f>
        <v>807.5</v>
      </c>
      <c r="P692" s="84" t="n">
        <f aca="false">IF($N692="مرتجع",0,K692*IFERROR(INDEX(p_Cost,MATCH($F692,p_ID,0)),0))</f>
        <v>480</v>
      </c>
      <c r="Q692" s="84" t="n">
        <f aca="false">O692-P692</f>
        <v>327.5</v>
      </c>
      <c r="R692" s="86" t="n">
        <f aca="false">DATE(YEAR(B692),MONTH(B692),1)</f>
        <v>46082</v>
      </c>
      <c r="S692" s="83" t="str">
        <f aca="false">YEAR(B692)&amp;"-Q"&amp;ROUNDUP(MONTH(B692)/3,0)</f>
        <v>2026-Q1</v>
      </c>
      <c r="T692" s="87" t="n">
        <f aca="false">IF(O692&gt;0,Q692/O692,"")</f>
        <v>0.405572755417957</v>
      </c>
      <c r="U692" s="84" t="n">
        <f aca="false">IF(O692&gt;0,O692,"")</f>
        <v>807.5</v>
      </c>
    </row>
    <row r="693" customFormat="false" ht="15" hidden="false" customHeight="false" outlineLevel="0" collapsed="false">
      <c r="A693" s="81" t="s">
        <v>1336</v>
      </c>
      <c r="B693" s="82" t="n">
        <v>46084</v>
      </c>
      <c r="C693" s="81" t="s">
        <v>431</v>
      </c>
      <c r="D693" s="83" t="str">
        <f aca="false">IFERROR(INDEX(c_Name,MATCH($C693,c_ID,0)),"غير معرّف")</f>
        <v>ياسر السبيعي</v>
      </c>
      <c r="E693" s="83" t="str">
        <f aca="false">IFERROR(INDEX(c_Region,MATCH($C693,c_ID,0)),"غير معرّف")</f>
        <v>الشرقية</v>
      </c>
      <c r="F693" s="81" t="s">
        <v>184</v>
      </c>
      <c r="G693" s="83" t="str">
        <f aca="false">IFERROR(INDEX(p_Name,MATCH($F693,p_ID,0)),"غير معرّف")</f>
        <v>عطر فاخر</v>
      </c>
      <c r="H693" s="83" t="str">
        <f aca="false">IFERROR(INDEX(p_Cat,MATCH($F693,p_ID,0)),"غير معرّف")</f>
        <v>عناية شخصية</v>
      </c>
      <c r="I693" s="81" t="s">
        <v>461</v>
      </c>
      <c r="J693" s="81" t="s">
        <v>93</v>
      </c>
      <c r="K693" s="81" t="n">
        <v>2</v>
      </c>
      <c r="L693" s="84" t="n">
        <f aca="false">IFERROR(INDEX(p_Price,MATCH($F693,p_ID,0)),0)</f>
        <v>520</v>
      </c>
      <c r="M693" s="85" t="n">
        <v>0</v>
      </c>
      <c r="N693" s="81" t="s">
        <v>650</v>
      </c>
      <c r="O693" s="84" t="n">
        <f aca="false">IF($N693="مرتجع",0,K693*L693*(1-M693))</f>
        <v>0</v>
      </c>
      <c r="P693" s="84" t="n">
        <f aca="false">IF($N693="مرتجع",0,K693*IFERROR(INDEX(p_Cost,MATCH($F693,p_ID,0)),0))</f>
        <v>0</v>
      </c>
      <c r="Q693" s="84" t="n">
        <f aca="false">O693-P693</f>
        <v>0</v>
      </c>
      <c r="R693" s="86" t="n">
        <f aca="false">DATE(YEAR(B693),MONTH(B693),1)</f>
        <v>46082</v>
      </c>
      <c r="S693" s="83" t="str">
        <f aca="false">YEAR(B693)&amp;"-Q"&amp;ROUNDUP(MONTH(B693)/3,0)</f>
        <v>2026-Q1</v>
      </c>
      <c r="T693" s="87" t="str">
        <f aca="false">IF(O693&gt;0,Q693/O693,"")</f>
        <v/>
      </c>
      <c r="U693" s="84" t="str">
        <f aca="false">IF(O693&gt;0,O693,"")</f>
        <v/>
      </c>
    </row>
    <row r="694" customFormat="false" ht="15" hidden="false" customHeight="false" outlineLevel="0" collapsed="false">
      <c r="A694" s="81" t="s">
        <v>1337</v>
      </c>
      <c r="B694" s="82" t="n">
        <v>46084</v>
      </c>
      <c r="C694" s="81" t="s">
        <v>240</v>
      </c>
      <c r="D694" s="83" t="str">
        <f aca="false">IFERROR(INDEX(c_Name,MATCH($C694,c_ID,0)),"غير معرّف")</f>
        <v>سارة العنزي</v>
      </c>
      <c r="E694" s="83" t="str">
        <f aca="false">IFERROR(INDEX(c_Region,MATCH($C694,c_ID,0)),"غير معرّف")</f>
        <v>الغربية</v>
      </c>
      <c r="F694" s="81" t="s">
        <v>164</v>
      </c>
      <c r="G694" s="83" t="str">
        <f aca="false">IFERROR(INDEX(p_Name,MATCH($F694,p_ID,0)),"غير معرّف")</f>
        <v>هاتف ذكي</v>
      </c>
      <c r="H694" s="83" t="str">
        <f aca="false">IFERROR(INDEX(p_Cat,MATCH($F694,p_ID,0)),"غير معرّف")</f>
        <v>إلكترونيات</v>
      </c>
      <c r="I694" s="81" t="s">
        <v>452</v>
      </c>
      <c r="J694" s="81" t="s">
        <v>93</v>
      </c>
      <c r="K694" s="81" t="n">
        <v>1</v>
      </c>
      <c r="L694" s="84" t="n">
        <f aca="false">IFERROR(INDEX(p_Price,MATCH($F694,p_ID,0)),0)</f>
        <v>2400</v>
      </c>
      <c r="M694" s="85" t="n">
        <v>0</v>
      </c>
      <c r="N694" s="81" t="s">
        <v>644</v>
      </c>
      <c r="O694" s="84" t="n">
        <f aca="false">IF($N694="مرتجع",0,K694*L694*(1-M694))</f>
        <v>2400</v>
      </c>
      <c r="P694" s="84" t="n">
        <f aca="false">IF($N694="مرتجع",0,K694*IFERROR(INDEX(p_Cost,MATCH($F694,p_ID,0)),0))</f>
        <v>1750</v>
      </c>
      <c r="Q694" s="84" t="n">
        <f aca="false">O694-P694</f>
        <v>650</v>
      </c>
      <c r="R694" s="86" t="n">
        <f aca="false">DATE(YEAR(B694),MONTH(B694),1)</f>
        <v>46082</v>
      </c>
      <c r="S694" s="83" t="str">
        <f aca="false">YEAR(B694)&amp;"-Q"&amp;ROUNDUP(MONTH(B694)/3,0)</f>
        <v>2026-Q1</v>
      </c>
      <c r="T694" s="87" t="n">
        <f aca="false">IF(O694&gt;0,Q694/O694,"")</f>
        <v>0.270833333333333</v>
      </c>
      <c r="U694" s="84" t="n">
        <f aca="false">IF(O694&gt;0,O694,"")</f>
        <v>2400</v>
      </c>
    </row>
    <row r="695" customFormat="false" ht="15" hidden="false" customHeight="false" outlineLevel="0" collapsed="false">
      <c r="A695" s="81" t="s">
        <v>1338</v>
      </c>
      <c r="B695" s="82" t="n">
        <v>46084</v>
      </c>
      <c r="C695" s="81" t="s">
        <v>392</v>
      </c>
      <c r="D695" s="83" t="str">
        <f aca="false">IFERROR(INDEX(c_Name,MATCH($C695,c_ID,0)),"غير معرّف")</f>
        <v>ريم الزهراني</v>
      </c>
      <c r="E695" s="83" t="str">
        <f aca="false">IFERROR(INDEX(c_Region,MATCH($C695,c_ID,0)),"غير معرّف")</f>
        <v>الوسطى</v>
      </c>
      <c r="F695" s="81" t="s">
        <v>183</v>
      </c>
      <c r="G695" s="83" t="str">
        <f aca="false">IFERROR(INDEX(p_Name,MATCH($F695,p_ID,0)),"غير معرّف")</f>
        <v>سجادة يوغا</v>
      </c>
      <c r="H695" s="83" t="str">
        <f aca="false">IFERROR(INDEX(p_Cat,MATCH($F695,p_ID,0)),"غير معرّف")</f>
        <v>رياضة</v>
      </c>
      <c r="I695" s="81" t="s">
        <v>446</v>
      </c>
      <c r="J695" s="81" t="s">
        <v>93</v>
      </c>
      <c r="K695" s="81" t="n">
        <v>4</v>
      </c>
      <c r="L695" s="84" t="n">
        <f aca="false">IFERROR(INDEX(p_Price,MATCH($F695,p_ID,0)),0)</f>
        <v>120</v>
      </c>
      <c r="M695" s="85" t="n">
        <v>0.1</v>
      </c>
      <c r="N695" s="81" t="s">
        <v>644</v>
      </c>
      <c r="O695" s="84" t="n">
        <f aca="false">IF($N695="مرتجع",0,K695*L695*(1-M695))</f>
        <v>432</v>
      </c>
      <c r="P695" s="84" t="n">
        <f aca="false">IF($N695="مرتجع",0,K695*IFERROR(INDEX(p_Cost,MATCH($F695,p_ID,0)),0))</f>
        <v>200</v>
      </c>
      <c r="Q695" s="84" t="n">
        <f aca="false">O695-P695</f>
        <v>232</v>
      </c>
      <c r="R695" s="86" t="n">
        <f aca="false">DATE(YEAR(B695),MONTH(B695),1)</f>
        <v>46082</v>
      </c>
      <c r="S695" s="83" t="str">
        <f aca="false">YEAR(B695)&amp;"-Q"&amp;ROUNDUP(MONTH(B695)/3,0)</f>
        <v>2026-Q1</v>
      </c>
      <c r="T695" s="87" t="n">
        <f aca="false">IF(O695&gt;0,Q695/O695,"")</f>
        <v>0.537037037037037</v>
      </c>
      <c r="U695" s="84" t="n">
        <f aca="false">IF(O695&gt;0,O695,"")</f>
        <v>432</v>
      </c>
    </row>
    <row r="696" customFormat="false" ht="15" hidden="false" customHeight="false" outlineLevel="0" collapsed="false">
      <c r="A696" s="81" t="s">
        <v>1339</v>
      </c>
      <c r="B696" s="82" t="n">
        <v>46085</v>
      </c>
      <c r="C696" s="81" t="s">
        <v>242</v>
      </c>
      <c r="D696" s="83" t="str">
        <f aca="false">IFERROR(INDEX(c_Name,MATCH($C696,c_ID,0)),"غير معرّف")</f>
        <v>ياسر الغامدي</v>
      </c>
      <c r="E696" s="83" t="str">
        <f aca="false">IFERROR(INDEX(c_Region,MATCH($C696,c_ID,0)),"غير معرّف")</f>
        <v>الوسطى</v>
      </c>
      <c r="F696" s="81" t="s">
        <v>175</v>
      </c>
      <c r="G696" s="83" t="str">
        <f aca="false">IFERROR(INDEX(p_Name,MATCH($F696,p_ID,0)),"غير معرّف")</f>
        <v>رف كتب</v>
      </c>
      <c r="H696" s="83" t="str">
        <f aca="false">IFERROR(INDEX(p_Cat,MATCH($F696,p_ID,0)),"غير معرّف")</f>
        <v>أثاث</v>
      </c>
      <c r="I696" s="81" t="s">
        <v>446</v>
      </c>
      <c r="J696" s="81" t="s">
        <v>93</v>
      </c>
      <c r="K696" s="81" t="n">
        <v>1</v>
      </c>
      <c r="L696" s="84" t="n">
        <f aca="false">IFERROR(INDEX(p_Price,MATCH($F696,p_ID,0)),0)</f>
        <v>400</v>
      </c>
      <c r="M696" s="85" t="n">
        <v>0.2</v>
      </c>
      <c r="N696" s="81" t="s">
        <v>644</v>
      </c>
      <c r="O696" s="84" t="n">
        <f aca="false">IF($N696="مرتجع",0,K696*L696*(1-M696))</f>
        <v>320</v>
      </c>
      <c r="P696" s="84" t="n">
        <f aca="false">IF($N696="مرتجع",0,K696*IFERROR(INDEX(p_Cost,MATCH($F696,p_ID,0)),0))</f>
        <v>220</v>
      </c>
      <c r="Q696" s="84" t="n">
        <f aca="false">O696-P696</f>
        <v>100</v>
      </c>
      <c r="R696" s="86" t="n">
        <f aca="false">DATE(YEAR(B696),MONTH(B696),1)</f>
        <v>46082</v>
      </c>
      <c r="S696" s="83" t="str">
        <f aca="false">YEAR(B696)&amp;"-Q"&amp;ROUNDUP(MONTH(B696)/3,0)</f>
        <v>2026-Q1</v>
      </c>
      <c r="T696" s="87" t="n">
        <f aca="false">IF(O696&gt;0,Q696/O696,"")</f>
        <v>0.3125</v>
      </c>
      <c r="U696" s="84" t="n">
        <f aca="false">IF(O696&gt;0,O696,"")</f>
        <v>320</v>
      </c>
    </row>
    <row r="697" customFormat="false" ht="15" hidden="false" customHeight="false" outlineLevel="0" collapsed="false">
      <c r="A697" s="81" t="s">
        <v>1340</v>
      </c>
      <c r="B697" s="82" t="n">
        <v>46085</v>
      </c>
      <c r="C697" s="81" t="s">
        <v>246</v>
      </c>
      <c r="D697" s="83" t="str">
        <f aca="false">IFERROR(INDEX(c_Name,MATCH($C697,c_ID,0)),"غير معرّف")</f>
        <v>ياسر العتيبي</v>
      </c>
      <c r="E697" s="83" t="str">
        <f aca="false">IFERROR(INDEX(c_Region,MATCH($C697,c_ID,0)),"غير معرّف")</f>
        <v>الجنوبية</v>
      </c>
      <c r="F697" s="81" t="s">
        <v>172</v>
      </c>
      <c r="G697" s="83" t="str">
        <f aca="false">IFERROR(INDEX(p_Name,MATCH($F697,p_ID,0)),"غير معرّف")</f>
        <v>مكتب عمل</v>
      </c>
      <c r="H697" s="83" t="str">
        <f aca="false">IFERROR(INDEX(p_Cat,MATCH($F697,p_ID,0)),"غير معرّف")</f>
        <v>أثاث</v>
      </c>
      <c r="I697" s="81" t="s">
        <v>467</v>
      </c>
      <c r="J697" s="81" t="s">
        <v>91</v>
      </c>
      <c r="K697" s="81" t="n">
        <v>1</v>
      </c>
      <c r="L697" s="84" t="n">
        <f aca="false">IFERROR(INDEX(p_Price,MATCH($F697,p_ID,0)),0)</f>
        <v>1200</v>
      </c>
      <c r="M697" s="85" t="n">
        <v>0.1</v>
      </c>
      <c r="N697" s="81" t="s">
        <v>644</v>
      </c>
      <c r="O697" s="84" t="n">
        <f aca="false">IF($N697="مرتجع",0,K697*L697*(1-M697))</f>
        <v>1080</v>
      </c>
      <c r="P697" s="84" t="n">
        <f aca="false">IF($N697="مرتجع",0,K697*IFERROR(INDEX(p_Cost,MATCH($F697,p_ID,0)),0))</f>
        <v>700</v>
      </c>
      <c r="Q697" s="84" t="n">
        <f aca="false">O697-P697</f>
        <v>380</v>
      </c>
      <c r="R697" s="86" t="n">
        <f aca="false">DATE(YEAR(B697),MONTH(B697),1)</f>
        <v>46082</v>
      </c>
      <c r="S697" s="83" t="str">
        <f aca="false">YEAR(B697)&amp;"-Q"&amp;ROUNDUP(MONTH(B697)/3,0)</f>
        <v>2026-Q1</v>
      </c>
      <c r="T697" s="87" t="n">
        <f aca="false">IF(O697&gt;0,Q697/O697,"")</f>
        <v>0.351851851851852</v>
      </c>
      <c r="U697" s="84" t="n">
        <f aca="false">IF(O697&gt;0,O697,"")</f>
        <v>1080</v>
      </c>
    </row>
    <row r="698" customFormat="false" ht="15" hidden="false" customHeight="false" outlineLevel="0" collapsed="false">
      <c r="A698" s="81" t="s">
        <v>1341</v>
      </c>
      <c r="B698" s="82" t="n">
        <v>46085</v>
      </c>
      <c r="C698" s="81" t="s">
        <v>261</v>
      </c>
      <c r="D698" s="83" t="str">
        <f aca="false">IFERROR(INDEX(c_Name,MATCH($C698,c_ID,0)),"غير معرّف")</f>
        <v>ياسر الدوسري</v>
      </c>
      <c r="E698" s="83" t="str">
        <f aca="false">IFERROR(INDEX(c_Region,MATCH($C698,c_ID,0)),"غير معرّف")</f>
        <v>الجنوبية</v>
      </c>
      <c r="F698" s="81" t="s">
        <v>171</v>
      </c>
      <c r="G698" s="83" t="str">
        <f aca="false">IFERROR(INDEX(p_Name,MATCH($F698,p_ID,0)),"غير معرّف")</f>
        <v>قلاية هوائية</v>
      </c>
      <c r="H698" s="83" t="str">
        <f aca="false">IFERROR(INDEX(p_Cat,MATCH($F698,p_ID,0)),"غير معرّف")</f>
        <v>أجهزة منزلية</v>
      </c>
      <c r="I698" s="81" t="s">
        <v>465</v>
      </c>
      <c r="J698" s="81" t="s">
        <v>91</v>
      </c>
      <c r="K698" s="81" t="n">
        <v>1</v>
      </c>
      <c r="L698" s="84" t="n">
        <f aca="false">IFERROR(INDEX(p_Price,MATCH($F698,p_ID,0)),0)</f>
        <v>520</v>
      </c>
      <c r="M698" s="85" t="n">
        <v>0.2</v>
      </c>
      <c r="N698" s="81" t="s">
        <v>644</v>
      </c>
      <c r="O698" s="84" t="n">
        <f aca="false">IF($N698="مرتجع",0,K698*L698*(1-M698))</f>
        <v>416</v>
      </c>
      <c r="P698" s="84" t="n">
        <f aca="false">IF($N698="مرتجع",0,K698*IFERROR(INDEX(p_Cost,MATCH($F698,p_ID,0)),0))</f>
        <v>300</v>
      </c>
      <c r="Q698" s="84" t="n">
        <f aca="false">O698-P698</f>
        <v>116</v>
      </c>
      <c r="R698" s="86" t="n">
        <f aca="false">DATE(YEAR(B698),MONTH(B698),1)</f>
        <v>46082</v>
      </c>
      <c r="S698" s="83" t="str">
        <f aca="false">YEAR(B698)&amp;"-Q"&amp;ROUNDUP(MONTH(B698)/3,0)</f>
        <v>2026-Q1</v>
      </c>
      <c r="T698" s="87" t="n">
        <f aca="false">IF(O698&gt;0,Q698/O698,"")</f>
        <v>0.278846153846154</v>
      </c>
      <c r="U698" s="84" t="n">
        <f aca="false">IF(O698&gt;0,O698,"")</f>
        <v>416</v>
      </c>
    </row>
    <row r="699" customFormat="false" ht="15" hidden="false" customHeight="false" outlineLevel="0" collapsed="false">
      <c r="A699" s="81" t="s">
        <v>1342</v>
      </c>
      <c r="B699" s="82" t="n">
        <v>46085</v>
      </c>
      <c r="C699" s="81" t="s">
        <v>250</v>
      </c>
      <c r="D699" s="83" t="str">
        <f aca="false">IFERROR(INDEX(c_Name,MATCH($C699,c_ID,0)),"غير معرّف")</f>
        <v>ليلى المطيري</v>
      </c>
      <c r="E699" s="83" t="str">
        <f aca="false">IFERROR(INDEX(c_Region,MATCH($C699,c_ID,0)),"غير معرّف")</f>
        <v>الغربية</v>
      </c>
      <c r="F699" s="81" t="s">
        <v>179</v>
      </c>
      <c r="G699" s="83" t="str">
        <f aca="false">IFERROR(INDEX(p_Name,MATCH($F699,p_ID,0)),"غير معرّف")</f>
        <v>طقم أدوات مكتبية</v>
      </c>
      <c r="H699" s="83" t="str">
        <f aca="false">IFERROR(INDEX(p_Cat,MATCH($F699,p_ID,0)),"غير معرّف")</f>
        <v>مستلزمات مكتبية</v>
      </c>
      <c r="I699" s="81" t="s">
        <v>458</v>
      </c>
      <c r="J699" s="81" t="s">
        <v>91</v>
      </c>
      <c r="K699" s="81" t="n">
        <v>6</v>
      </c>
      <c r="L699" s="84" t="n">
        <f aca="false">IFERROR(INDEX(p_Price,MATCH($F699,p_ID,0)),0)</f>
        <v>90</v>
      </c>
      <c r="M699" s="85" t="n">
        <v>0.05</v>
      </c>
      <c r="N699" s="81" t="s">
        <v>644</v>
      </c>
      <c r="O699" s="84" t="n">
        <f aca="false">IF($N699="مرتجع",0,K699*L699*(1-M699))</f>
        <v>513</v>
      </c>
      <c r="P699" s="84" t="n">
        <f aca="false">IF($N699="مرتجع",0,K699*IFERROR(INDEX(p_Cost,MATCH($F699,p_ID,0)),0))</f>
        <v>270</v>
      </c>
      <c r="Q699" s="84" t="n">
        <f aca="false">O699-P699</f>
        <v>243</v>
      </c>
      <c r="R699" s="86" t="n">
        <f aca="false">DATE(YEAR(B699),MONTH(B699),1)</f>
        <v>46082</v>
      </c>
      <c r="S699" s="83" t="str">
        <f aca="false">YEAR(B699)&amp;"-Q"&amp;ROUNDUP(MONTH(B699)/3,0)</f>
        <v>2026-Q1</v>
      </c>
      <c r="T699" s="87" t="n">
        <f aca="false">IF(O699&gt;0,Q699/O699,"")</f>
        <v>0.473684210526316</v>
      </c>
      <c r="U699" s="84" t="n">
        <f aca="false">IF(O699&gt;0,O699,"")</f>
        <v>513</v>
      </c>
    </row>
    <row r="700" customFormat="false" ht="15" hidden="false" customHeight="false" outlineLevel="0" collapsed="false">
      <c r="A700" s="81" t="s">
        <v>1343</v>
      </c>
      <c r="B700" s="82" t="n">
        <v>46085</v>
      </c>
      <c r="C700" s="81" t="s">
        <v>330</v>
      </c>
      <c r="D700" s="83" t="str">
        <f aca="false">IFERROR(INDEX(c_Name,MATCH($C700,c_ID,0)),"غير معرّف")</f>
        <v>سارة السبيعي</v>
      </c>
      <c r="E700" s="83" t="str">
        <f aca="false">IFERROR(INDEX(c_Region,MATCH($C700,c_ID,0)),"غير معرّف")</f>
        <v>الشرقية</v>
      </c>
      <c r="F700" s="81" t="s">
        <v>175</v>
      </c>
      <c r="G700" s="83" t="str">
        <f aca="false">IFERROR(INDEX(p_Name,MATCH($F700,p_ID,0)),"غير معرّف")</f>
        <v>رف كتب</v>
      </c>
      <c r="H700" s="83" t="str">
        <f aca="false">IFERROR(INDEX(p_Cat,MATCH($F700,p_ID,0)),"غير معرّف")</f>
        <v>أثاث</v>
      </c>
      <c r="I700" s="81" t="s">
        <v>463</v>
      </c>
      <c r="J700" s="81" t="s">
        <v>91</v>
      </c>
      <c r="K700" s="81" t="n">
        <v>1</v>
      </c>
      <c r="L700" s="84" t="n">
        <f aca="false">IFERROR(INDEX(p_Price,MATCH($F700,p_ID,0)),0)</f>
        <v>400</v>
      </c>
      <c r="M700" s="85" t="n">
        <v>0.2</v>
      </c>
      <c r="N700" s="81" t="s">
        <v>644</v>
      </c>
      <c r="O700" s="84" t="n">
        <f aca="false">IF($N700="مرتجع",0,K700*L700*(1-M700))</f>
        <v>320</v>
      </c>
      <c r="P700" s="84" t="n">
        <f aca="false">IF($N700="مرتجع",0,K700*IFERROR(INDEX(p_Cost,MATCH($F700,p_ID,0)),0))</f>
        <v>220</v>
      </c>
      <c r="Q700" s="84" t="n">
        <f aca="false">O700-P700</f>
        <v>100</v>
      </c>
      <c r="R700" s="86" t="n">
        <f aca="false">DATE(YEAR(B700),MONTH(B700),1)</f>
        <v>46082</v>
      </c>
      <c r="S700" s="83" t="str">
        <f aca="false">YEAR(B700)&amp;"-Q"&amp;ROUNDUP(MONTH(B700)/3,0)</f>
        <v>2026-Q1</v>
      </c>
      <c r="T700" s="87" t="n">
        <f aca="false">IF(O700&gt;0,Q700/O700,"")</f>
        <v>0.3125</v>
      </c>
      <c r="U700" s="84" t="n">
        <f aca="false">IF(O700&gt;0,O700,"")</f>
        <v>320</v>
      </c>
    </row>
    <row r="701" customFormat="false" ht="15" hidden="false" customHeight="false" outlineLevel="0" collapsed="false">
      <c r="A701" s="81" t="s">
        <v>1344</v>
      </c>
      <c r="B701" s="82" t="n">
        <v>46085</v>
      </c>
      <c r="C701" s="81" t="s">
        <v>361</v>
      </c>
      <c r="D701" s="83" t="str">
        <f aca="false">IFERROR(INDEX(c_Name,MATCH($C701,c_ID,0)),"غير معرّف")</f>
        <v>دانة المطيري</v>
      </c>
      <c r="E701" s="83" t="str">
        <f aca="false">IFERROR(INDEX(c_Region,MATCH($C701,c_ID,0)),"غير معرّف")</f>
        <v>الشرقية</v>
      </c>
      <c r="F701" s="81" t="s">
        <v>181</v>
      </c>
      <c r="G701" s="83" t="str">
        <f aca="false">IFERROR(INDEX(p_Name,MATCH($F701,p_ID,0)),"غير معرّف")</f>
        <v>دراجة ثابتة</v>
      </c>
      <c r="H701" s="83" t="str">
        <f aca="false">IFERROR(INDEX(p_Cat,MATCH($F701,p_ID,0)),"غير معرّف")</f>
        <v>رياضة</v>
      </c>
      <c r="I701" s="81" t="s">
        <v>463</v>
      </c>
      <c r="J701" s="81" t="s">
        <v>93</v>
      </c>
      <c r="K701" s="81" t="n">
        <v>1</v>
      </c>
      <c r="L701" s="84" t="n">
        <f aca="false">IFERROR(INDEX(p_Price,MATCH($F701,p_ID,0)),0)</f>
        <v>1800</v>
      </c>
      <c r="M701" s="85" t="n">
        <v>0</v>
      </c>
      <c r="N701" s="81" t="s">
        <v>644</v>
      </c>
      <c r="O701" s="84" t="n">
        <f aca="false">IF($N701="مرتجع",0,K701*L701*(1-M701))</f>
        <v>1800</v>
      </c>
      <c r="P701" s="84" t="n">
        <f aca="false">IF($N701="مرتجع",0,K701*IFERROR(INDEX(p_Cost,MATCH($F701,p_ID,0)),0))</f>
        <v>1200</v>
      </c>
      <c r="Q701" s="84" t="n">
        <f aca="false">O701-P701</f>
        <v>600</v>
      </c>
      <c r="R701" s="86" t="n">
        <f aca="false">DATE(YEAR(B701),MONTH(B701),1)</f>
        <v>46082</v>
      </c>
      <c r="S701" s="83" t="str">
        <f aca="false">YEAR(B701)&amp;"-Q"&amp;ROUNDUP(MONTH(B701)/3,0)</f>
        <v>2026-Q1</v>
      </c>
      <c r="T701" s="87" t="n">
        <f aca="false">IF(O701&gt;0,Q701/O701,"")</f>
        <v>0.333333333333333</v>
      </c>
      <c r="U701" s="84" t="n">
        <f aca="false">IF(O701&gt;0,O701,"")</f>
        <v>1800</v>
      </c>
    </row>
    <row r="702" customFormat="false" ht="15" hidden="false" customHeight="false" outlineLevel="0" collapsed="false">
      <c r="A702" s="81" t="s">
        <v>1345</v>
      </c>
      <c r="B702" s="82" t="n">
        <v>46085</v>
      </c>
      <c r="C702" s="81" t="s">
        <v>270</v>
      </c>
      <c r="D702" s="83" t="str">
        <f aca="false">IFERROR(INDEX(c_Name,MATCH($C702,c_ID,0)),"غير معرّف")</f>
        <v>ريم التميمي</v>
      </c>
      <c r="E702" s="83" t="str">
        <f aca="false">IFERROR(INDEX(c_Region,MATCH($C702,c_ID,0)),"غير معرّف")</f>
        <v>الشرقية</v>
      </c>
      <c r="F702" s="81" t="s">
        <v>186</v>
      </c>
      <c r="G702" s="83" t="str">
        <f aca="false">IFERROR(INDEX(p_Name,MATCH($F702,p_ID,0)),"غير معرّف")</f>
        <v>مجفف شعر</v>
      </c>
      <c r="H702" s="83" t="str">
        <f aca="false">IFERROR(INDEX(p_Cat,MATCH($F702,p_ID,0)),"غير معرّف")</f>
        <v>عناية شخصية</v>
      </c>
      <c r="I702" s="81" t="s">
        <v>463</v>
      </c>
      <c r="J702" s="81" t="s">
        <v>91</v>
      </c>
      <c r="K702" s="81" t="n">
        <v>1</v>
      </c>
      <c r="L702" s="84" t="n">
        <f aca="false">IFERROR(INDEX(p_Price,MATCH($F702,p_ID,0)),0)</f>
        <v>280</v>
      </c>
      <c r="M702" s="85" t="n">
        <v>0.1</v>
      </c>
      <c r="N702" s="81" t="s">
        <v>644</v>
      </c>
      <c r="O702" s="84" t="n">
        <f aca="false">IF($N702="مرتجع",0,K702*L702*(1-M702))</f>
        <v>252</v>
      </c>
      <c r="P702" s="84" t="n">
        <f aca="false">IF($N702="مرتجع",0,K702*IFERROR(INDEX(p_Cost,MATCH($F702,p_ID,0)),0))</f>
        <v>140</v>
      </c>
      <c r="Q702" s="84" t="n">
        <f aca="false">O702-P702</f>
        <v>112</v>
      </c>
      <c r="R702" s="86" t="n">
        <f aca="false">DATE(YEAR(B702),MONTH(B702),1)</f>
        <v>46082</v>
      </c>
      <c r="S702" s="83" t="str">
        <f aca="false">YEAR(B702)&amp;"-Q"&amp;ROUNDUP(MONTH(B702)/3,0)</f>
        <v>2026-Q1</v>
      </c>
      <c r="T702" s="87" t="n">
        <f aca="false">IF(O702&gt;0,Q702/O702,"")</f>
        <v>0.444444444444444</v>
      </c>
      <c r="U702" s="84" t="n">
        <f aca="false">IF(O702&gt;0,O702,"")</f>
        <v>252</v>
      </c>
    </row>
    <row r="703" customFormat="false" ht="15" hidden="false" customHeight="false" outlineLevel="0" collapsed="false">
      <c r="A703" s="81" t="s">
        <v>1346</v>
      </c>
      <c r="B703" s="82" t="n">
        <v>46086</v>
      </c>
      <c r="C703" s="81" t="s">
        <v>330</v>
      </c>
      <c r="D703" s="83" t="str">
        <f aca="false">IFERROR(INDEX(c_Name,MATCH($C703,c_ID,0)),"غير معرّف")</f>
        <v>سارة السبيعي</v>
      </c>
      <c r="E703" s="83" t="str">
        <f aca="false">IFERROR(INDEX(c_Region,MATCH($C703,c_ID,0)),"غير معرّف")</f>
        <v>الشرقية</v>
      </c>
      <c r="F703" s="81" t="s">
        <v>164</v>
      </c>
      <c r="G703" s="83" t="str">
        <f aca="false">IFERROR(INDEX(p_Name,MATCH($F703,p_ID,0)),"غير معرّف")</f>
        <v>هاتف ذكي</v>
      </c>
      <c r="H703" s="83" t="str">
        <f aca="false">IFERROR(INDEX(p_Cat,MATCH($F703,p_ID,0)),"غير معرّف")</f>
        <v>إلكترونيات</v>
      </c>
      <c r="I703" s="81" t="s">
        <v>461</v>
      </c>
      <c r="J703" s="81" t="s">
        <v>95</v>
      </c>
      <c r="K703" s="81" t="n">
        <v>1</v>
      </c>
      <c r="L703" s="84" t="n">
        <f aca="false">IFERROR(INDEX(p_Price,MATCH($F703,p_ID,0)),0)</f>
        <v>2400</v>
      </c>
      <c r="M703" s="85" t="n">
        <v>0.1</v>
      </c>
      <c r="N703" s="81" t="s">
        <v>644</v>
      </c>
      <c r="O703" s="84" t="n">
        <f aca="false">IF($N703="مرتجع",0,K703*L703*(1-M703))</f>
        <v>2160</v>
      </c>
      <c r="P703" s="84" t="n">
        <f aca="false">IF($N703="مرتجع",0,K703*IFERROR(INDEX(p_Cost,MATCH($F703,p_ID,0)),0))</f>
        <v>1750</v>
      </c>
      <c r="Q703" s="84" t="n">
        <f aca="false">O703-P703</f>
        <v>410</v>
      </c>
      <c r="R703" s="86" t="n">
        <f aca="false">DATE(YEAR(B703),MONTH(B703),1)</f>
        <v>46082</v>
      </c>
      <c r="S703" s="83" t="str">
        <f aca="false">YEAR(B703)&amp;"-Q"&amp;ROUNDUP(MONTH(B703)/3,0)</f>
        <v>2026-Q1</v>
      </c>
      <c r="T703" s="87" t="n">
        <f aca="false">IF(O703&gt;0,Q703/O703,"")</f>
        <v>0.189814814814815</v>
      </c>
      <c r="U703" s="84" t="n">
        <f aca="false">IF(O703&gt;0,O703,"")</f>
        <v>2160</v>
      </c>
    </row>
    <row r="704" customFormat="false" ht="15" hidden="false" customHeight="false" outlineLevel="0" collapsed="false">
      <c r="A704" s="81" t="s">
        <v>1347</v>
      </c>
      <c r="B704" s="82" t="n">
        <v>46086</v>
      </c>
      <c r="C704" s="81" t="s">
        <v>261</v>
      </c>
      <c r="D704" s="83" t="str">
        <f aca="false">IFERROR(INDEX(c_Name,MATCH($C704,c_ID,0)),"غير معرّف")</f>
        <v>ياسر الدوسري</v>
      </c>
      <c r="E704" s="83" t="str">
        <f aca="false">IFERROR(INDEX(c_Region,MATCH($C704,c_ID,0)),"غير معرّف")</f>
        <v>الجنوبية</v>
      </c>
      <c r="F704" s="81" t="s">
        <v>185</v>
      </c>
      <c r="G704" s="83" t="str">
        <f aca="false">IFERROR(INDEX(p_Name,MATCH($F704,p_ID,0)),"غير معرّف")</f>
        <v>ماكينة حلاقة</v>
      </c>
      <c r="H704" s="83" t="str">
        <f aca="false">IFERROR(INDEX(p_Cat,MATCH($F704,p_ID,0)),"غير معرّف")</f>
        <v>عناية شخصية</v>
      </c>
      <c r="I704" s="81" t="s">
        <v>467</v>
      </c>
      <c r="J704" s="81" t="s">
        <v>91</v>
      </c>
      <c r="K704" s="81" t="n">
        <v>1</v>
      </c>
      <c r="L704" s="84" t="n">
        <f aca="false">IFERROR(INDEX(p_Price,MATCH($F704,p_ID,0)),0)</f>
        <v>340</v>
      </c>
      <c r="M704" s="85" t="n">
        <v>0.05</v>
      </c>
      <c r="N704" s="81" t="s">
        <v>644</v>
      </c>
      <c r="O704" s="84" t="n">
        <f aca="false">IF($N704="مرتجع",0,K704*L704*(1-M704))</f>
        <v>323</v>
      </c>
      <c r="P704" s="84" t="n">
        <f aca="false">IF($N704="مرتجع",0,K704*IFERROR(INDEX(p_Cost,MATCH($F704,p_ID,0)),0))</f>
        <v>170</v>
      </c>
      <c r="Q704" s="84" t="n">
        <f aca="false">O704-P704</f>
        <v>153</v>
      </c>
      <c r="R704" s="86" t="n">
        <f aca="false">DATE(YEAR(B704),MONTH(B704),1)</f>
        <v>46082</v>
      </c>
      <c r="S704" s="83" t="str">
        <f aca="false">YEAR(B704)&amp;"-Q"&amp;ROUNDUP(MONTH(B704)/3,0)</f>
        <v>2026-Q1</v>
      </c>
      <c r="T704" s="87" t="n">
        <f aca="false">IF(O704&gt;0,Q704/O704,"")</f>
        <v>0.473684210526316</v>
      </c>
      <c r="U704" s="84" t="n">
        <f aca="false">IF(O704&gt;0,O704,"")</f>
        <v>323</v>
      </c>
    </row>
    <row r="705" customFormat="false" ht="15" hidden="false" customHeight="false" outlineLevel="0" collapsed="false">
      <c r="A705" s="81" t="s">
        <v>1348</v>
      </c>
      <c r="B705" s="82" t="n">
        <v>46086</v>
      </c>
      <c r="C705" s="81" t="s">
        <v>425</v>
      </c>
      <c r="D705" s="83" t="str">
        <f aca="false">IFERROR(INDEX(c_Name,MATCH($C705,c_ID,0)),"غير معرّف")</f>
        <v>عبدالله الشمري</v>
      </c>
      <c r="E705" s="83" t="str">
        <f aca="false">IFERROR(INDEX(c_Region,MATCH($C705,c_ID,0)),"غير معرّف")</f>
        <v>الجنوبية</v>
      </c>
      <c r="F705" s="81" t="s">
        <v>179</v>
      </c>
      <c r="G705" s="83" t="str">
        <f aca="false">IFERROR(INDEX(p_Name,MATCH($F705,p_ID,0)),"غير معرّف")</f>
        <v>طقم أدوات مكتبية</v>
      </c>
      <c r="H705" s="83" t="str">
        <f aca="false">IFERROR(INDEX(p_Cat,MATCH($F705,p_ID,0)),"غير معرّف")</f>
        <v>مستلزمات مكتبية</v>
      </c>
      <c r="I705" s="81" t="s">
        <v>467</v>
      </c>
      <c r="J705" s="81" t="s">
        <v>91</v>
      </c>
      <c r="K705" s="81" t="n">
        <v>1</v>
      </c>
      <c r="L705" s="84" t="n">
        <f aca="false">IFERROR(INDEX(p_Price,MATCH($F705,p_ID,0)),0)</f>
        <v>90</v>
      </c>
      <c r="M705" s="85" t="n">
        <v>0.05</v>
      </c>
      <c r="N705" s="81" t="s">
        <v>644</v>
      </c>
      <c r="O705" s="84" t="n">
        <f aca="false">IF($N705="مرتجع",0,K705*L705*(1-M705))</f>
        <v>85.5</v>
      </c>
      <c r="P705" s="84" t="n">
        <f aca="false">IF($N705="مرتجع",0,K705*IFERROR(INDEX(p_Cost,MATCH($F705,p_ID,0)),0))</f>
        <v>45</v>
      </c>
      <c r="Q705" s="84" t="n">
        <f aca="false">O705-P705</f>
        <v>40.5</v>
      </c>
      <c r="R705" s="86" t="n">
        <f aca="false">DATE(YEAR(B705),MONTH(B705),1)</f>
        <v>46082</v>
      </c>
      <c r="S705" s="83" t="str">
        <f aca="false">YEAR(B705)&amp;"-Q"&amp;ROUNDUP(MONTH(B705)/3,0)</f>
        <v>2026-Q1</v>
      </c>
      <c r="T705" s="87" t="n">
        <f aca="false">IF(O705&gt;0,Q705/O705,"")</f>
        <v>0.473684210526316</v>
      </c>
      <c r="U705" s="84" t="n">
        <f aca="false">IF(O705&gt;0,O705,"")</f>
        <v>85.5</v>
      </c>
    </row>
    <row r="706" customFormat="false" ht="15" hidden="false" customHeight="false" outlineLevel="0" collapsed="false">
      <c r="A706" s="81" t="s">
        <v>1349</v>
      </c>
      <c r="B706" s="82" t="n">
        <v>46086</v>
      </c>
      <c r="C706" s="81" t="s">
        <v>295</v>
      </c>
      <c r="D706" s="83" t="str">
        <f aca="false">IFERROR(INDEX(c_Name,MATCH($C706,c_ID,0)),"غير معرّف")</f>
        <v>عبير الزهراني</v>
      </c>
      <c r="E706" s="83" t="str">
        <f aca="false">IFERROR(INDEX(c_Region,MATCH($C706,c_ID,0)),"غير معرّف")</f>
        <v>الوسطى</v>
      </c>
      <c r="F706" s="81" t="s">
        <v>174</v>
      </c>
      <c r="G706" s="83" t="str">
        <f aca="false">IFERROR(INDEX(p_Name,MATCH($F706,p_ID,0)),"غير معرّف")</f>
        <v>خزانة ملفات</v>
      </c>
      <c r="H706" s="83" t="str">
        <f aca="false">IFERROR(INDEX(p_Cat,MATCH($F706,p_ID,0)),"غير معرّف")</f>
        <v>أثاث</v>
      </c>
      <c r="I706" s="81" t="s">
        <v>443</v>
      </c>
      <c r="J706" s="81" t="s">
        <v>91</v>
      </c>
      <c r="K706" s="81" t="n">
        <v>2</v>
      </c>
      <c r="L706" s="84" t="n">
        <f aca="false">IFERROR(INDEX(p_Price,MATCH($F706,p_ID,0)),0)</f>
        <v>700</v>
      </c>
      <c r="M706" s="85" t="n">
        <v>0</v>
      </c>
      <c r="N706" s="81" t="s">
        <v>644</v>
      </c>
      <c r="O706" s="84" t="n">
        <f aca="false">IF($N706="مرتجع",0,K706*L706*(1-M706))</f>
        <v>1400</v>
      </c>
      <c r="P706" s="84" t="n">
        <f aca="false">IF($N706="مرتجع",0,K706*IFERROR(INDEX(p_Cost,MATCH($F706,p_ID,0)),0))</f>
        <v>820</v>
      </c>
      <c r="Q706" s="84" t="n">
        <f aca="false">O706-P706</f>
        <v>580</v>
      </c>
      <c r="R706" s="86" t="n">
        <f aca="false">DATE(YEAR(B706),MONTH(B706),1)</f>
        <v>46082</v>
      </c>
      <c r="S706" s="83" t="str">
        <f aca="false">YEAR(B706)&amp;"-Q"&amp;ROUNDUP(MONTH(B706)/3,0)</f>
        <v>2026-Q1</v>
      </c>
      <c r="T706" s="87" t="n">
        <f aca="false">IF(O706&gt;0,Q706/O706,"")</f>
        <v>0.414285714285714</v>
      </c>
      <c r="U706" s="84" t="n">
        <f aca="false">IF(O706&gt;0,O706,"")</f>
        <v>1400</v>
      </c>
    </row>
    <row r="707" customFormat="false" ht="15" hidden="false" customHeight="false" outlineLevel="0" collapsed="false">
      <c r="A707" s="81" t="s">
        <v>1350</v>
      </c>
      <c r="B707" s="82" t="n">
        <v>46086</v>
      </c>
      <c r="C707" s="81" t="s">
        <v>339</v>
      </c>
      <c r="D707" s="83" t="str">
        <f aca="false">IFERROR(INDEX(c_Name,MATCH($C707,c_ID,0)),"غير معرّف")</f>
        <v>خالد السبيعي</v>
      </c>
      <c r="E707" s="83" t="str">
        <f aca="false">IFERROR(INDEX(c_Region,MATCH($C707,c_ID,0)),"غير معرّف")</f>
        <v>الجنوبية</v>
      </c>
      <c r="F707" s="81" t="s">
        <v>183</v>
      </c>
      <c r="G707" s="83" t="str">
        <f aca="false">IFERROR(INDEX(p_Name,MATCH($F707,p_ID,0)),"غير معرّف")</f>
        <v>سجادة يوغا</v>
      </c>
      <c r="H707" s="83" t="str">
        <f aca="false">IFERROR(INDEX(p_Cat,MATCH($F707,p_ID,0)),"غير معرّف")</f>
        <v>رياضة</v>
      </c>
      <c r="I707" s="81" t="s">
        <v>465</v>
      </c>
      <c r="J707" s="81" t="s">
        <v>95</v>
      </c>
      <c r="K707" s="81" t="n">
        <v>18</v>
      </c>
      <c r="L707" s="84" t="n">
        <f aca="false">IFERROR(INDEX(p_Price,MATCH($F707,p_ID,0)),0)</f>
        <v>120</v>
      </c>
      <c r="M707" s="85" t="n">
        <v>0</v>
      </c>
      <c r="N707" s="81" t="s">
        <v>644</v>
      </c>
      <c r="O707" s="84" t="n">
        <f aca="false">IF($N707="مرتجع",0,K707*L707*(1-M707))</f>
        <v>2160</v>
      </c>
      <c r="P707" s="84" t="n">
        <f aca="false">IF($N707="مرتجع",0,K707*IFERROR(INDEX(p_Cost,MATCH($F707,p_ID,0)),0))</f>
        <v>900</v>
      </c>
      <c r="Q707" s="84" t="n">
        <f aca="false">O707-P707</f>
        <v>1260</v>
      </c>
      <c r="R707" s="86" t="n">
        <f aca="false">DATE(YEAR(B707),MONTH(B707),1)</f>
        <v>46082</v>
      </c>
      <c r="S707" s="83" t="str">
        <f aca="false">YEAR(B707)&amp;"-Q"&amp;ROUNDUP(MONTH(B707)/3,0)</f>
        <v>2026-Q1</v>
      </c>
      <c r="T707" s="87" t="n">
        <f aca="false">IF(O707&gt;0,Q707/O707,"")</f>
        <v>0.583333333333333</v>
      </c>
      <c r="U707" s="84" t="n">
        <f aca="false">IF(O707&gt;0,O707,"")</f>
        <v>2160</v>
      </c>
    </row>
    <row r="708" customFormat="false" ht="15" hidden="false" customHeight="false" outlineLevel="0" collapsed="false">
      <c r="A708" s="81" t="s">
        <v>1351</v>
      </c>
      <c r="B708" s="82" t="n">
        <v>46086</v>
      </c>
      <c r="C708" s="81" t="s">
        <v>287</v>
      </c>
      <c r="D708" s="83" t="str">
        <f aca="false">IFERROR(INDEX(c_Name,MATCH($C708,c_ID,0)),"غير معرّف")</f>
        <v>محمد الشهري</v>
      </c>
      <c r="E708" s="83" t="str">
        <f aca="false">IFERROR(INDEX(c_Region,MATCH($C708,c_ID,0)),"غير معرّف")</f>
        <v>الغربية</v>
      </c>
      <c r="F708" s="81" t="s">
        <v>166</v>
      </c>
      <c r="G708" s="83" t="str">
        <f aca="false">IFERROR(INDEX(p_Name,MATCH($F708,p_ID,0)),"غير معرّف")</f>
        <v>سماعات لاسلكية</v>
      </c>
      <c r="H708" s="83" t="str">
        <f aca="false">IFERROR(INDEX(p_Cat,MATCH($F708,p_ID,0)),"غير معرّف")</f>
        <v>إلكترونيات</v>
      </c>
      <c r="I708" s="81" t="s">
        <v>458</v>
      </c>
      <c r="J708" s="81" t="s">
        <v>95</v>
      </c>
      <c r="K708" s="81" t="n">
        <v>3</v>
      </c>
      <c r="L708" s="84" t="n">
        <f aca="false">IFERROR(INDEX(p_Price,MATCH($F708,p_ID,0)),0)</f>
        <v>450</v>
      </c>
      <c r="M708" s="85" t="n">
        <v>0.1</v>
      </c>
      <c r="N708" s="81" t="s">
        <v>644</v>
      </c>
      <c r="O708" s="84" t="n">
        <f aca="false">IF($N708="مرتجع",0,K708*L708*(1-M708))</f>
        <v>1215</v>
      </c>
      <c r="P708" s="84" t="n">
        <f aca="false">IF($N708="مرتجع",0,K708*IFERROR(INDEX(p_Cost,MATCH($F708,p_ID,0)),0))</f>
        <v>780</v>
      </c>
      <c r="Q708" s="84" t="n">
        <f aca="false">O708-P708</f>
        <v>435</v>
      </c>
      <c r="R708" s="86" t="n">
        <f aca="false">DATE(YEAR(B708),MONTH(B708),1)</f>
        <v>46082</v>
      </c>
      <c r="S708" s="83" t="str">
        <f aca="false">YEAR(B708)&amp;"-Q"&amp;ROUNDUP(MONTH(B708)/3,0)</f>
        <v>2026-Q1</v>
      </c>
      <c r="T708" s="87" t="n">
        <f aca="false">IF(O708&gt;0,Q708/O708,"")</f>
        <v>0.358024691358025</v>
      </c>
      <c r="U708" s="84" t="n">
        <f aca="false">IF(O708&gt;0,O708,"")</f>
        <v>1215</v>
      </c>
    </row>
    <row r="709" customFormat="false" ht="15" hidden="false" customHeight="false" outlineLevel="0" collapsed="false">
      <c r="A709" s="81" t="s">
        <v>1352</v>
      </c>
      <c r="B709" s="82" t="n">
        <v>46086</v>
      </c>
      <c r="C709" s="81" t="s">
        <v>358</v>
      </c>
      <c r="D709" s="83" t="str">
        <f aca="false">IFERROR(INDEX(c_Name,MATCH($C709,c_ID,0)),"غير معرّف")</f>
        <v>ليلى الشهري</v>
      </c>
      <c r="E709" s="83" t="str">
        <f aca="false">IFERROR(INDEX(c_Region,MATCH($C709,c_ID,0)),"غير معرّف")</f>
        <v>الوسطى</v>
      </c>
      <c r="F709" s="81" t="s">
        <v>177</v>
      </c>
      <c r="G709" s="83" t="str">
        <f aca="false">IFERROR(INDEX(p_Name,MATCH($F709,p_ID,0)),"غير معرّف")</f>
        <v>ورق A4 (صندوق)</v>
      </c>
      <c r="H709" s="83" t="str">
        <f aca="false">IFERROR(INDEX(p_Cat,MATCH($F709,p_ID,0)),"غير معرّف")</f>
        <v>مستلزمات مكتبية</v>
      </c>
      <c r="I709" s="81" t="s">
        <v>449</v>
      </c>
      <c r="J709" s="81" t="s">
        <v>91</v>
      </c>
      <c r="K709" s="81" t="n">
        <v>2</v>
      </c>
      <c r="L709" s="84" t="n">
        <f aca="false">IFERROR(INDEX(p_Price,MATCH($F709,p_ID,0)),0)</f>
        <v>140</v>
      </c>
      <c r="M709" s="85" t="n">
        <v>0</v>
      </c>
      <c r="N709" s="81" t="s">
        <v>644</v>
      </c>
      <c r="O709" s="84" t="n">
        <f aca="false">IF($N709="مرتجع",0,K709*L709*(1-M709))</f>
        <v>280</v>
      </c>
      <c r="P709" s="84" t="n">
        <f aca="false">IF($N709="مرتجع",0,K709*IFERROR(INDEX(p_Cost,MATCH($F709,p_ID,0)),0))</f>
        <v>190</v>
      </c>
      <c r="Q709" s="84" t="n">
        <f aca="false">O709-P709</f>
        <v>90</v>
      </c>
      <c r="R709" s="86" t="n">
        <f aca="false">DATE(YEAR(B709),MONTH(B709),1)</f>
        <v>46082</v>
      </c>
      <c r="S709" s="83" t="str">
        <f aca="false">YEAR(B709)&amp;"-Q"&amp;ROUNDUP(MONTH(B709)/3,0)</f>
        <v>2026-Q1</v>
      </c>
      <c r="T709" s="87" t="n">
        <f aca="false">IF(O709&gt;0,Q709/O709,"")</f>
        <v>0.321428571428571</v>
      </c>
      <c r="U709" s="84" t="n">
        <f aca="false">IF(O709&gt;0,O709,"")</f>
        <v>280</v>
      </c>
    </row>
    <row r="710" customFormat="false" ht="15" hidden="false" customHeight="false" outlineLevel="0" collapsed="false">
      <c r="A710" s="81" t="s">
        <v>1353</v>
      </c>
      <c r="B710" s="82" t="n">
        <v>46086</v>
      </c>
      <c r="C710" s="81" t="s">
        <v>408</v>
      </c>
      <c r="D710" s="83" t="str">
        <f aca="false">IFERROR(INDEX(c_Name,MATCH($C710,c_ID,0)),"غير معرّف")</f>
        <v>فهد الغامدي</v>
      </c>
      <c r="E710" s="83" t="str">
        <f aca="false">IFERROR(INDEX(c_Region,MATCH($C710,c_ID,0)),"غير معرّف")</f>
        <v>الغربية</v>
      </c>
      <c r="F710" s="81" t="s">
        <v>168</v>
      </c>
      <c r="G710" s="83" t="str">
        <f aca="false">IFERROR(INDEX(p_Name,MATCH($F710,p_ID,0)),"غير معرّف")</f>
        <v>مكنسة كهربائية</v>
      </c>
      <c r="H710" s="83" t="str">
        <f aca="false">IFERROR(INDEX(p_Cat,MATCH($F710,p_ID,0)),"غير معرّف")</f>
        <v>أجهزة منزلية</v>
      </c>
      <c r="I710" s="81" t="s">
        <v>458</v>
      </c>
      <c r="J710" s="81" t="s">
        <v>93</v>
      </c>
      <c r="K710" s="81" t="n">
        <v>1</v>
      </c>
      <c r="L710" s="84" t="n">
        <f aca="false">IFERROR(INDEX(p_Price,MATCH($F710,p_ID,0)),0)</f>
        <v>650</v>
      </c>
      <c r="M710" s="85" t="n">
        <v>0.15</v>
      </c>
      <c r="N710" s="81" t="s">
        <v>644</v>
      </c>
      <c r="O710" s="84" t="n">
        <f aca="false">IF($N710="مرتجع",0,K710*L710*(1-M710))</f>
        <v>552.5</v>
      </c>
      <c r="P710" s="84" t="n">
        <f aca="false">IF($N710="مرتجع",0,K710*IFERROR(INDEX(p_Cost,MATCH($F710,p_ID,0)),0))</f>
        <v>420</v>
      </c>
      <c r="Q710" s="84" t="n">
        <f aca="false">O710-P710</f>
        <v>132.5</v>
      </c>
      <c r="R710" s="86" t="n">
        <f aca="false">DATE(YEAR(B710),MONTH(B710),1)</f>
        <v>46082</v>
      </c>
      <c r="S710" s="83" t="str">
        <f aca="false">YEAR(B710)&amp;"-Q"&amp;ROUNDUP(MONTH(B710)/3,0)</f>
        <v>2026-Q1</v>
      </c>
      <c r="T710" s="87" t="n">
        <f aca="false">IF(O710&gt;0,Q710/O710,"")</f>
        <v>0.239819004524887</v>
      </c>
      <c r="U710" s="84" t="n">
        <f aca="false">IF(O710&gt;0,O710,"")</f>
        <v>552.5</v>
      </c>
    </row>
    <row r="711" customFormat="false" ht="15" hidden="false" customHeight="false" outlineLevel="0" collapsed="false">
      <c r="A711" s="81" t="s">
        <v>1354</v>
      </c>
      <c r="B711" s="82" t="n">
        <v>46087</v>
      </c>
      <c r="C711" s="81" t="s">
        <v>246</v>
      </c>
      <c r="D711" s="83" t="str">
        <f aca="false">IFERROR(INDEX(c_Name,MATCH($C711,c_ID,0)),"غير معرّف")</f>
        <v>ياسر العتيبي</v>
      </c>
      <c r="E711" s="83" t="str">
        <f aca="false">IFERROR(INDEX(c_Region,MATCH($C711,c_ID,0)),"غير معرّف")</f>
        <v>الجنوبية</v>
      </c>
      <c r="F711" s="81" t="s">
        <v>179</v>
      </c>
      <c r="G711" s="83" t="str">
        <f aca="false">IFERROR(INDEX(p_Name,MATCH($F711,p_ID,0)),"غير معرّف")</f>
        <v>طقم أدوات مكتبية</v>
      </c>
      <c r="H711" s="83" t="str">
        <f aca="false">IFERROR(INDEX(p_Cat,MATCH($F711,p_ID,0)),"غير معرّف")</f>
        <v>مستلزمات مكتبية</v>
      </c>
      <c r="I711" s="81" t="s">
        <v>465</v>
      </c>
      <c r="J711" s="81" t="s">
        <v>91</v>
      </c>
      <c r="K711" s="81" t="n">
        <v>1</v>
      </c>
      <c r="L711" s="84" t="n">
        <f aca="false">IFERROR(INDEX(p_Price,MATCH($F711,p_ID,0)),0)</f>
        <v>90</v>
      </c>
      <c r="M711" s="85" t="n">
        <v>0.05</v>
      </c>
      <c r="N711" s="81" t="s">
        <v>644</v>
      </c>
      <c r="O711" s="84" t="n">
        <f aca="false">IF($N711="مرتجع",0,K711*L711*(1-M711))</f>
        <v>85.5</v>
      </c>
      <c r="P711" s="84" t="n">
        <f aca="false">IF($N711="مرتجع",0,K711*IFERROR(INDEX(p_Cost,MATCH($F711,p_ID,0)),0))</f>
        <v>45</v>
      </c>
      <c r="Q711" s="84" t="n">
        <f aca="false">O711-P711</f>
        <v>40.5</v>
      </c>
      <c r="R711" s="86" t="n">
        <f aca="false">DATE(YEAR(B711),MONTH(B711),1)</f>
        <v>46082</v>
      </c>
      <c r="S711" s="83" t="str">
        <f aca="false">YEAR(B711)&amp;"-Q"&amp;ROUNDUP(MONTH(B711)/3,0)</f>
        <v>2026-Q1</v>
      </c>
      <c r="T711" s="87" t="n">
        <f aca="false">IF(O711&gt;0,Q711/O711,"")</f>
        <v>0.473684210526316</v>
      </c>
      <c r="U711" s="84" t="n">
        <f aca="false">IF(O711&gt;0,O711,"")</f>
        <v>85.5</v>
      </c>
    </row>
    <row r="712" customFormat="false" ht="15" hidden="false" customHeight="false" outlineLevel="0" collapsed="false">
      <c r="A712" s="81" t="s">
        <v>1355</v>
      </c>
      <c r="B712" s="82" t="n">
        <v>46087</v>
      </c>
      <c r="C712" s="81" t="s">
        <v>299</v>
      </c>
      <c r="D712" s="83" t="str">
        <f aca="false">IFERROR(INDEX(c_Name,MATCH($C712,c_ID,0)),"غير معرّف")</f>
        <v>جود الخالدي</v>
      </c>
      <c r="E712" s="83" t="str">
        <f aca="false">IFERROR(INDEX(c_Region,MATCH($C712,c_ID,0)),"غير معرّف")</f>
        <v>الوسطى</v>
      </c>
      <c r="F712" s="81" t="s">
        <v>186</v>
      </c>
      <c r="G712" s="83" t="str">
        <f aca="false">IFERROR(INDEX(p_Name,MATCH($F712,p_ID,0)),"غير معرّف")</f>
        <v>مجفف شعر</v>
      </c>
      <c r="H712" s="83" t="str">
        <f aca="false">IFERROR(INDEX(p_Cat,MATCH($F712,p_ID,0)),"غير معرّف")</f>
        <v>عناية شخصية</v>
      </c>
      <c r="I712" s="81" t="s">
        <v>446</v>
      </c>
      <c r="J712" s="81" t="s">
        <v>93</v>
      </c>
      <c r="K712" s="81" t="n">
        <v>1</v>
      </c>
      <c r="L712" s="84" t="n">
        <f aca="false">IFERROR(INDEX(p_Price,MATCH($F712,p_ID,0)),0)</f>
        <v>280</v>
      </c>
      <c r="M712" s="85" t="n">
        <v>0.05</v>
      </c>
      <c r="N712" s="81" t="s">
        <v>644</v>
      </c>
      <c r="O712" s="84" t="n">
        <f aca="false">IF($N712="مرتجع",0,K712*L712*(1-M712))</f>
        <v>266</v>
      </c>
      <c r="P712" s="84" t="n">
        <f aca="false">IF($N712="مرتجع",0,K712*IFERROR(INDEX(p_Cost,MATCH($F712,p_ID,0)),0))</f>
        <v>140</v>
      </c>
      <c r="Q712" s="84" t="n">
        <f aca="false">O712-P712</f>
        <v>126</v>
      </c>
      <c r="R712" s="86" t="n">
        <f aca="false">DATE(YEAR(B712),MONTH(B712),1)</f>
        <v>46082</v>
      </c>
      <c r="S712" s="83" t="str">
        <f aca="false">YEAR(B712)&amp;"-Q"&amp;ROUNDUP(MONTH(B712)/3,0)</f>
        <v>2026-Q1</v>
      </c>
      <c r="T712" s="87" t="n">
        <f aca="false">IF(O712&gt;0,Q712/O712,"")</f>
        <v>0.473684210526316</v>
      </c>
      <c r="U712" s="84" t="n">
        <f aca="false">IF(O712&gt;0,O712,"")</f>
        <v>266</v>
      </c>
    </row>
    <row r="713" customFormat="false" ht="15" hidden="false" customHeight="false" outlineLevel="0" collapsed="false">
      <c r="A713" s="81" t="s">
        <v>1356</v>
      </c>
      <c r="B713" s="82" t="n">
        <v>46087</v>
      </c>
      <c r="C713" s="81" t="s">
        <v>336</v>
      </c>
      <c r="D713" s="83" t="str">
        <f aca="false">IFERROR(INDEX(c_Name,MATCH($C713,c_ID,0)),"غير معرّف")</f>
        <v>طارق الزهراني</v>
      </c>
      <c r="E713" s="83" t="str">
        <f aca="false">IFERROR(INDEX(c_Region,MATCH($C713,c_ID,0)),"غير معرّف")</f>
        <v>الجنوبية</v>
      </c>
      <c r="F713" s="81" t="s">
        <v>170</v>
      </c>
      <c r="G713" s="83" t="str">
        <f aca="false">IFERROR(INDEX(p_Name,MATCH($F713,p_ID,0)),"غير معرّف")</f>
        <v>مكيف نقال</v>
      </c>
      <c r="H713" s="83" t="str">
        <f aca="false">IFERROR(INDEX(p_Cat,MATCH($F713,p_ID,0)),"غير معرّف")</f>
        <v>أجهزة منزلية</v>
      </c>
      <c r="I713" s="81" t="s">
        <v>465</v>
      </c>
      <c r="J713" s="81" t="s">
        <v>91</v>
      </c>
      <c r="K713" s="81" t="n">
        <v>1</v>
      </c>
      <c r="L713" s="84" t="n">
        <f aca="false">IFERROR(INDEX(p_Price,MATCH($F713,p_ID,0)),0)</f>
        <v>1900</v>
      </c>
      <c r="M713" s="85" t="n">
        <v>0</v>
      </c>
      <c r="N713" s="81" t="s">
        <v>644</v>
      </c>
      <c r="O713" s="84" t="n">
        <f aca="false">IF($N713="مرتجع",0,K713*L713*(1-M713))</f>
        <v>1900</v>
      </c>
      <c r="P713" s="84" t="n">
        <f aca="false">IF($N713="مرتجع",0,K713*IFERROR(INDEX(p_Cost,MATCH($F713,p_ID,0)),0))</f>
        <v>1350</v>
      </c>
      <c r="Q713" s="84" t="n">
        <f aca="false">O713-P713</f>
        <v>550</v>
      </c>
      <c r="R713" s="86" t="n">
        <f aca="false">DATE(YEAR(B713),MONTH(B713),1)</f>
        <v>46082</v>
      </c>
      <c r="S713" s="83" t="str">
        <f aca="false">YEAR(B713)&amp;"-Q"&amp;ROUNDUP(MONTH(B713)/3,0)</f>
        <v>2026-Q1</v>
      </c>
      <c r="T713" s="87" t="n">
        <f aca="false">IF(O713&gt;0,Q713/O713,"")</f>
        <v>0.289473684210526</v>
      </c>
      <c r="U713" s="84" t="n">
        <f aca="false">IF(O713&gt;0,O713,"")</f>
        <v>1900</v>
      </c>
    </row>
    <row r="714" customFormat="false" ht="15" hidden="false" customHeight="false" outlineLevel="0" collapsed="false">
      <c r="A714" s="81" t="s">
        <v>1357</v>
      </c>
      <c r="B714" s="82" t="n">
        <v>46087</v>
      </c>
      <c r="C714" s="81" t="s">
        <v>363</v>
      </c>
      <c r="D714" s="83" t="str">
        <f aca="false">IFERROR(INDEX(c_Name,MATCH($C714,c_ID,0)),"غير معرّف")</f>
        <v>سلمان البلوي</v>
      </c>
      <c r="E714" s="83" t="str">
        <f aca="false">IFERROR(INDEX(c_Region,MATCH($C714,c_ID,0)),"غير معرّف")</f>
        <v>الوسطى</v>
      </c>
      <c r="F714" s="81" t="s">
        <v>178</v>
      </c>
      <c r="G714" s="83" t="str">
        <f aca="false">IFERROR(INDEX(p_Name,MATCH($F714,p_ID,0)),"غير معرّف")</f>
        <v>حقيبة لابتوب</v>
      </c>
      <c r="H714" s="83" t="str">
        <f aca="false">IFERROR(INDEX(p_Cat,MATCH($F714,p_ID,0)),"غير معرّف")</f>
        <v>مستلزمات مكتبية</v>
      </c>
      <c r="I714" s="81" t="s">
        <v>449</v>
      </c>
      <c r="J714" s="81" t="s">
        <v>93</v>
      </c>
      <c r="K714" s="81" t="n">
        <v>1</v>
      </c>
      <c r="L714" s="84" t="n">
        <f aca="false">IFERROR(INDEX(p_Price,MATCH($F714,p_ID,0)),0)</f>
        <v>260</v>
      </c>
      <c r="M714" s="85" t="n">
        <v>0</v>
      </c>
      <c r="N714" s="81" t="s">
        <v>644</v>
      </c>
      <c r="O714" s="84" t="n">
        <f aca="false">IF($N714="مرتجع",0,K714*L714*(1-M714))</f>
        <v>260</v>
      </c>
      <c r="P714" s="84" t="n">
        <f aca="false">IF($N714="مرتجع",0,K714*IFERROR(INDEX(p_Cost,MATCH($F714,p_ID,0)),0))</f>
        <v>120</v>
      </c>
      <c r="Q714" s="84" t="n">
        <f aca="false">O714-P714</f>
        <v>140</v>
      </c>
      <c r="R714" s="86" t="n">
        <f aca="false">DATE(YEAR(B714),MONTH(B714),1)</f>
        <v>46082</v>
      </c>
      <c r="S714" s="83" t="str">
        <f aca="false">YEAR(B714)&amp;"-Q"&amp;ROUNDUP(MONTH(B714)/3,0)</f>
        <v>2026-Q1</v>
      </c>
      <c r="T714" s="87" t="n">
        <f aca="false">IF(O714&gt;0,Q714/O714,"")</f>
        <v>0.538461538461538</v>
      </c>
      <c r="U714" s="84" t="n">
        <f aca="false">IF(O714&gt;0,O714,"")</f>
        <v>260</v>
      </c>
    </row>
    <row r="715" customFormat="false" ht="15" hidden="false" customHeight="false" outlineLevel="0" collapsed="false">
      <c r="A715" s="81" t="s">
        <v>1358</v>
      </c>
      <c r="B715" s="82" t="n">
        <v>46087</v>
      </c>
      <c r="C715" s="81" t="s">
        <v>395</v>
      </c>
      <c r="D715" s="83" t="str">
        <f aca="false">IFERROR(INDEX(c_Name,MATCH($C715,c_ID,0)),"غير معرّف")</f>
        <v>فهد الخالدي</v>
      </c>
      <c r="E715" s="83" t="str">
        <f aca="false">IFERROR(INDEX(c_Region,MATCH($C715,c_ID,0)),"غير معرّف")</f>
        <v>الجنوبية</v>
      </c>
      <c r="F715" s="81" t="s">
        <v>169</v>
      </c>
      <c r="G715" s="83" t="str">
        <f aca="false">IFERROR(INDEX(p_Name,MATCH($F715,p_ID,0)),"غير معرّف")</f>
        <v>خلاط</v>
      </c>
      <c r="H715" s="83" t="str">
        <f aca="false">IFERROR(INDEX(p_Cat,MATCH($F715,p_ID,0)),"غير معرّف")</f>
        <v>أجهزة منزلية</v>
      </c>
      <c r="I715" s="81" t="s">
        <v>465</v>
      </c>
      <c r="J715" s="81" t="s">
        <v>93</v>
      </c>
      <c r="K715" s="81" t="n">
        <v>4</v>
      </c>
      <c r="L715" s="84" t="n">
        <f aca="false">IFERROR(INDEX(p_Price,MATCH($F715,p_ID,0)),0)</f>
        <v>300</v>
      </c>
      <c r="M715" s="85" t="n">
        <v>0.05</v>
      </c>
      <c r="N715" s="81" t="s">
        <v>644</v>
      </c>
      <c r="O715" s="84" t="n">
        <f aca="false">IF($N715="مرتجع",0,K715*L715*(1-M715))</f>
        <v>1140</v>
      </c>
      <c r="P715" s="84" t="n">
        <f aca="false">IF($N715="مرتجع",0,K715*IFERROR(INDEX(p_Cost,MATCH($F715,p_ID,0)),0))</f>
        <v>700</v>
      </c>
      <c r="Q715" s="84" t="n">
        <f aca="false">O715-P715</f>
        <v>440</v>
      </c>
      <c r="R715" s="86" t="n">
        <f aca="false">DATE(YEAR(B715),MONTH(B715),1)</f>
        <v>46082</v>
      </c>
      <c r="S715" s="83" t="str">
        <f aca="false">YEAR(B715)&amp;"-Q"&amp;ROUNDUP(MONTH(B715)/3,0)</f>
        <v>2026-Q1</v>
      </c>
      <c r="T715" s="87" t="n">
        <f aca="false">IF(O715&gt;0,Q715/O715,"")</f>
        <v>0.385964912280702</v>
      </c>
      <c r="U715" s="84" t="n">
        <f aca="false">IF(O715&gt;0,O715,"")</f>
        <v>1140</v>
      </c>
    </row>
    <row r="716" customFormat="false" ht="15" hidden="false" customHeight="false" outlineLevel="0" collapsed="false">
      <c r="A716" s="81" t="s">
        <v>1359</v>
      </c>
      <c r="B716" s="82" t="n">
        <v>46088</v>
      </c>
      <c r="C716" s="81" t="s">
        <v>346</v>
      </c>
      <c r="D716" s="83" t="str">
        <f aca="false">IFERROR(INDEX(c_Name,MATCH($C716,c_ID,0)),"غير معرّف")</f>
        <v>لمى التميمي</v>
      </c>
      <c r="E716" s="83" t="str">
        <f aca="false">IFERROR(INDEX(c_Region,MATCH($C716,c_ID,0)),"غير معرّف")</f>
        <v>الشرقية</v>
      </c>
      <c r="F716" s="81" t="s">
        <v>166</v>
      </c>
      <c r="G716" s="83" t="str">
        <f aca="false">IFERROR(INDEX(p_Name,MATCH($F716,p_ID,0)),"غير معرّف")</f>
        <v>سماعات لاسلكية</v>
      </c>
      <c r="H716" s="83" t="str">
        <f aca="false">IFERROR(INDEX(p_Cat,MATCH($F716,p_ID,0)),"غير معرّف")</f>
        <v>إلكترونيات</v>
      </c>
      <c r="I716" s="81" t="s">
        <v>461</v>
      </c>
      <c r="J716" s="81" t="s">
        <v>91</v>
      </c>
      <c r="K716" s="81" t="n">
        <v>1</v>
      </c>
      <c r="L716" s="84" t="n">
        <f aca="false">IFERROR(INDEX(p_Price,MATCH($F716,p_ID,0)),0)</f>
        <v>450</v>
      </c>
      <c r="M716" s="85" t="n">
        <v>0</v>
      </c>
      <c r="N716" s="81" t="s">
        <v>644</v>
      </c>
      <c r="O716" s="84" t="n">
        <f aca="false">IF($N716="مرتجع",0,K716*L716*(1-M716))</f>
        <v>450</v>
      </c>
      <c r="P716" s="84" t="n">
        <f aca="false">IF($N716="مرتجع",0,K716*IFERROR(INDEX(p_Cost,MATCH($F716,p_ID,0)),0))</f>
        <v>260</v>
      </c>
      <c r="Q716" s="84" t="n">
        <f aca="false">O716-P716</f>
        <v>190</v>
      </c>
      <c r="R716" s="86" t="n">
        <f aca="false">DATE(YEAR(B716),MONTH(B716),1)</f>
        <v>46082</v>
      </c>
      <c r="S716" s="83" t="str">
        <f aca="false">YEAR(B716)&amp;"-Q"&amp;ROUNDUP(MONTH(B716)/3,0)</f>
        <v>2026-Q1</v>
      </c>
      <c r="T716" s="87" t="n">
        <f aca="false">IF(O716&gt;0,Q716/O716,"")</f>
        <v>0.422222222222222</v>
      </c>
      <c r="U716" s="84" t="n">
        <f aca="false">IF(O716&gt;0,O716,"")</f>
        <v>450</v>
      </c>
    </row>
    <row r="717" customFormat="false" ht="15" hidden="false" customHeight="false" outlineLevel="0" collapsed="false">
      <c r="A717" s="81" t="s">
        <v>1360</v>
      </c>
      <c r="B717" s="82" t="n">
        <v>46088</v>
      </c>
      <c r="C717" s="81" t="s">
        <v>239</v>
      </c>
      <c r="D717" s="83" t="str">
        <f aca="false">IFERROR(INDEX(c_Name,MATCH($C717,c_ID,0)),"غير معرّف")</f>
        <v>سلمان الحربي</v>
      </c>
      <c r="E717" s="83" t="str">
        <f aca="false">IFERROR(INDEX(c_Region,MATCH($C717,c_ID,0)),"غير معرّف")</f>
        <v>الغربية</v>
      </c>
      <c r="F717" s="81" t="s">
        <v>172</v>
      </c>
      <c r="G717" s="83" t="str">
        <f aca="false">IFERROR(INDEX(p_Name,MATCH($F717,p_ID,0)),"غير معرّف")</f>
        <v>مكتب عمل</v>
      </c>
      <c r="H717" s="83" t="str">
        <f aca="false">IFERROR(INDEX(p_Cat,MATCH($F717,p_ID,0)),"غير معرّف")</f>
        <v>أثاث</v>
      </c>
      <c r="I717" s="81" t="s">
        <v>458</v>
      </c>
      <c r="J717" s="81" t="s">
        <v>91</v>
      </c>
      <c r="K717" s="81" t="n">
        <v>6</v>
      </c>
      <c r="L717" s="84" t="n">
        <f aca="false">IFERROR(INDEX(p_Price,MATCH($F717,p_ID,0)),0)</f>
        <v>1200</v>
      </c>
      <c r="M717" s="85" t="n">
        <v>0.05</v>
      </c>
      <c r="N717" s="81" t="s">
        <v>644</v>
      </c>
      <c r="O717" s="84" t="n">
        <f aca="false">IF($N717="مرتجع",0,K717*L717*(1-M717))</f>
        <v>6840</v>
      </c>
      <c r="P717" s="84" t="n">
        <f aca="false">IF($N717="مرتجع",0,K717*IFERROR(INDEX(p_Cost,MATCH($F717,p_ID,0)),0))</f>
        <v>4200</v>
      </c>
      <c r="Q717" s="84" t="n">
        <f aca="false">O717-P717</f>
        <v>2640</v>
      </c>
      <c r="R717" s="86" t="n">
        <f aca="false">DATE(YEAR(B717),MONTH(B717),1)</f>
        <v>46082</v>
      </c>
      <c r="S717" s="83" t="str">
        <f aca="false">YEAR(B717)&amp;"-Q"&amp;ROUNDUP(MONTH(B717)/3,0)</f>
        <v>2026-Q1</v>
      </c>
      <c r="T717" s="87" t="n">
        <f aca="false">IF(O717&gt;0,Q717/O717,"")</f>
        <v>0.385964912280702</v>
      </c>
      <c r="U717" s="84" t="n">
        <f aca="false">IF(O717&gt;0,O717,"")</f>
        <v>6840</v>
      </c>
    </row>
    <row r="718" customFormat="false" ht="15" hidden="false" customHeight="false" outlineLevel="0" collapsed="false">
      <c r="A718" s="81" t="s">
        <v>1361</v>
      </c>
      <c r="B718" s="82" t="n">
        <v>46088</v>
      </c>
      <c r="C718" s="81" t="s">
        <v>382</v>
      </c>
      <c r="D718" s="83" t="str">
        <f aca="false">IFERROR(INDEX(c_Name,MATCH($C718,c_ID,0)),"غير معرّف")</f>
        <v>دانة العتيبي</v>
      </c>
      <c r="E718" s="83" t="str">
        <f aca="false">IFERROR(INDEX(c_Region,MATCH($C718,c_ID,0)),"غير معرّف")</f>
        <v>الشرقية</v>
      </c>
      <c r="F718" s="81" t="s">
        <v>177</v>
      </c>
      <c r="G718" s="83" t="str">
        <f aca="false">IFERROR(INDEX(p_Name,MATCH($F718,p_ID,0)),"غير معرّف")</f>
        <v>ورق A4 (صندوق)</v>
      </c>
      <c r="H718" s="83" t="str">
        <f aca="false">IFERROR(INDEX(p_Cat,MATCH($F718,p_ID,0)),"غير معرّف")</f>
        <v>مستلزمات مكتبية</v>
      </c>
      <c r="I718" s="81" t="s">
        <v>463</v>
      </c>
      <c r="J718" s="81" t="s">
        <v>95</v>
      </c>
      <c r="K718" s="81" t="n">
        <v>24</v>
      </c>
      <c r="L718" s="84" t="n">
        <f aca="false">IFERROR(INDEX(p_Price,MATCH($F718,p_ID,0)),0)</f>
        <v>140</v>
      </c>
      <c r="M718" s="85" t="n">
        <v>0.1</v>
      </c>
      <c r="N718" s="81" t="s">
        <v>644</v>
      </c>
      <c r="O718" s="84" t="n">
        <f aca="false">IF($N718="مرتجع",0,K718*L718*(1-M718))</f>
        <v>3024</v>
      </c>
      <c r="P718" s="84" t="n">
        <f aca="false">IF($N718="مرتجع",0,K718*IFERROR(INDEX(p_Cost,MATCH($F718,p_ID,0)),0))</f>
        <v>2280</v>
      </c>
      <c r="Q718" s="84" t="n">
        <f aca="false">O718-P718</f>
        <v>744</v>
      </c>
      <c r="R718" s="86" t="n">
        <f aca="false">DATE(YEAR(B718),MONTH(B718),1)</f>
        <v>46082</v>
      </c>
      <c r="S718" s="83" t="str">
        <f aca="false">YEAR(B718)&amp;"-Q"&amp;ROUNDUP(MONTH(B718)/3,0)</f>
        <v>2026-Q1</v>
      </c>
      <c r="T718" s="87" t="n">
        <f aca="false">IF(O718&gt;0,Q718/O718,"")</f>
        <v>0.246031746031746</v>
      </c>
      <c r="U718" s="84" t="n">
        <f aca="false">IF(O718&gt;0,O718,"")</f>
        <v>3024</v>
      </c>
    </row>
    <row r="719" customFormat="false" ht="15" hidden="false" customHeight="false" outlineLevel="0" collapsed="false">
      <c r="A719" s="81" t="s">
        <v>1362</v>
      </c>
      <c r="B719" s="82" t="n">
        <v>46088</v>
      </c>
      <c r="C719" s="81" t="s">
        <v>364</v>
      </c>
      <c r="D719" s="83" t="str">
        <f aca="false">IFERROR(INDEX(c_Name,MATCH($C719,c_ID,0)),"غير معرّف")</f>
        <v>عبير الدوسري</v>
      </c>
      <c r="E719" s="83" t="str">
        <f aca="false">IFERROR(INDEX(c_Region,MATCH($C719,c_ID,0)),"غير معرّف")</f>
        <v>الشرقية</v>
      </c>
      <c r="F719" s="81" t="s">
        <v>168</v>
      </c>
      <c r="G719" s="83" t="str">
        <f aca="false">IFERROR(INDEX(p_Name,MATCH($F719,p_ID,0)),"غير معرّف")</f>
        <v>مكنسة كهربائية</v>
      </c>
      <c r="H719" s="83" t="str">
        <f aca="false">IFERROR(INDEX(p_Cat,MATCH($F719,p_ID,0)),"غير معرّف")</f>
        <v>أجهزة منزلية</v>
      </c>
      <c r="I719" s="81" t="s">
        <v>461</v>
      </c>
      <c r="J719" s="81" t="s">
        <v>93</v>
      </c>
      <c r="K719" s="81" t="n">
        <v>2</v>
      </c>
      <c r="L719" s="84" t="n">
        <f aca="false">IFERROR(INDEX(p_Price,MATCH($F719,p_ID,0)),0)</f>
        <v>650</v>
      </c>
      <c r="M719" s="85" t="n">
        <v>0</v>
      </c>
      <c r="N719" s="81" t="s">
        <v>644</v>
      </c>
      <c r="O719" s="84" t="n">
        <f aca="false">IF($N719="مرتجع",0,K719*L719*(1-M719))</f>
        <v>1300</v>
      </c>
      <c r="P719" s="84" t="n">
        <f aca="false">IF($N719="مرتجع",0,K719*IFERROR(INDEX(p_Cost,MATCH($F719,p_ID,0)),0))</f>
        <v>840</v>
      </c>
      <c r="Q719" s="84" t="n">
        <f aca="false">O719-P719</f>
        <v>460</v>
      </c>
      <c r="R719" s="86" t="n">
        <f aca="false">DATE(YEAR(B719),MONTH(B719),1)</f>
        <v>46082</v>
      </c>
      <c r="S719" s="83" t="str">
        <f aca="false">YEAR(B719)&amp;"-Q"&amp;ROUNDUP(MONTH(B719)/3,0)</f>
        <v>2026-Q1</v>
      </c>
      <c r="T719" s="87" t="n">
        <f aca="false">IF(O719&gt;0,Q719/O719,"")</f>
        <v>0.353846153846154</v>
      </c>
      <c r="U719" s="84" t="n">
        <f aca="false">IF(O719&gt;0,O719,"")</f>
        <v>1300</v>
      </c>
    </row>
    <row r="720" customFormat="false" ht="15" hidden="false" customHeight="false" outlineLevel="0" collapsed="false">
      <c r="A720" s="81" t="s">
        <v>1363</v>
      </c>
      <c r="B720" s="82" t="n">
        <v>46088</v>
      </c>
      <c r="C720" s="81" t="s">
        <v>323</v>
      </c>
      <c r="D720" s="83" t="str">
        <f aca="false">IFERROR(INDEX(c_Name,MATCH($C720,c_ID,0)),"غير معرّف")</f>
        <v>ليلى الدوسري</v>
      </c>
      <c r="E720" s="83" t="str">
        <f aca="false">IFERROR(INDEX(c_Region,MATCH($C720,c_ID,0)),"غير معرّف")</f>
        <v>الشرقية</v>
      </c>
      <c r="F720" s="81" t="s">
        <v>170</v>
      </c>
      <c r="G720" s="83" t="str">
        <f aca="false">IFERROR(INDEX(p_Name,MATCH($F720,p_ID,0)),"غير معرّف")</f>
        <v>مكيف نقال</v>
      </c>
      <c r="H720" s="83" t="str">
        <f aca="false">IFERROR(INDEX(p_Cat,MATCH($F720,p_ID,0)),"غير معرّف")</f>
        <v>أجهزة منزلية</v>
      </c>
      <c r="I720" s="81" t="s">
        <v>461</v>
      </c>
      <c r="J720" s="81" t="s">
        <v>93</v>
      </c>
      <c r="K720" s="81" t="n">
        <v>1</v>
      </c>
      <c r="L720" s="84" t="n">
        <f aca="false">IFERROR(INDEX(p_Price,MATCH($F720,p_ID,0)),0)</f>
        <v>1900</v>
      </c>
      <c r="M720" s="85" t="n">
        <v>0</v>
      </c>
      <c r="N720" s="81" t="s">
        <v>644</v>
      </c>
      <c r="O720" s="84" t="n">
        <f aca="false">IF($N720="مرتجع",0,K720*L720*(1-M720))</f>
        <v>1900</v>
      </c>
      <c r="P720" s="84" t="n">
        <f aca="false">IF($N720="مرتجع",0,K720*IFERROR(INDEX(p_Cost,MATCH($F720,p_ID,0)),0))</f>
        <v>1350</v>
      </c>
      <c r="Q720" s="84" t="n">
        <f aca="false">O720-P720</f>
        <v>550</v>
      </c>
      <c r="R720" s="86" t="n">
        <f aca="false">DATE(YEAR(B720),MONTH(B720),1)</f>
        <v>46082</v>
      </c>
      <c r="S720" s="83" t="str">
        <f aca="false">YEAR(B720)&amp;"-Q"&amp;ROUNDUP(MONTH(B720)/3,0)</f>
        <v>2026-Q1</v>
      </c>
      <c r="T720" s="87" t="n">
        <f aca="false">IF(O720&gt;0,Q720/O720,"")</f>
        <v>0.289473684210526</v>
      </c>
      <c r="U720" s="84" t="n">
        <f aca="false">IF(O720&gt;0,O720,"")</f>
        <v>1900</v>
      </c>
    </row>
    <row r="721" customFormat="false" ht="15" hidden="false" customHeight="false" outlineLevel="0" collapsed="false">
      <c r="A721" s="81" t="s">
        <v>1364</v>
      </c>
      <c r="B721" s="82" t="n">
        <v>46088</v>
      </c>
      <c r="C721" s="81" t="s">
        <v>366</v>
      </c>
      <c r="D721" s="83" t="str">
        <f aca="false">IFERROR(INDEX(c_Name,MATCH($C721,c_ID,0)),"غير معرّف")</f>
        <v>ناصر العتيبي</v>
      </c>
      <c r="E721" s="83" t="str">
        <f aca="false">IFERROR(INDEX(c_Region,MATCH($C721,c_ID,0)),"غير معرّف")</f>
        <v>الغربية</v>
      </c>
      <c r="F721" s="81" t="s">
        <v>186</v>
      </c>
      <c r="G721" s="83" t="str">
        <f aca="false">IFERROR(INDEX(p_Name,MATCH($F721,p_ID,0)),"غير معرّف")</f>
        <v>مجفف شعر</v>
      </c>
      <c r="H721" s="83" t="str">
        <f aca="false">IFERROR(INDEX(p_Cat,MATCH($F721,p_ID,0)),"غير معرّف")</f>
        <v>عناية شخصية</v>
      </c>
      <c r="I721" s="81" t="s">
        <v>455</v>
      </c>
      <c r="J721" s="81" t="s">
        <v>93</v>
      </c>
      <c r="K721" s="81" t="n">
        <v>2</v>
      </c>
      <c r="L721" s="84" t="n">
        <f aca="false">IFERROR(INDEX(p_Price,MATCH($F721,p_ID,0)),0)</f>
        <v>280</v>
      </c>
      <c r="M721" s="85" t="n">
        <v>0.1</v>
      </c>
      <c r="N721" s="81" t="s">
        <v>644</v>
      </c>
      <c r="O721" s="84" t="n">
        <f aca="false">IF($N721="مرتجع",0,K721*L721*(1-M721))</f>
        <v>504</v>
      </c>
      <c r="P721" s="84" t="n">
        <f aca="false">IF($N721="مرتجع",0,K721*IFERROR(INDEX(p_Cost,MATCH($F721,p_ID,0)),0))</f>
        <v>280</v>
      </c>
      <c r="Q721" s="84" t="n">
        <f aca="false">O721-P721</f>
        <v>224</v>
      </c>
      <c r="R721" s="86" t="n">
        <f aca="false">DATE(YEAR(B721),MONTH(B721),1)</f>
        <v>46082</v>
      </c>
      <c r="S721" s="83" t="str">
        <f aca="false">YEAR(B721)&amp;"-Q"&amp;ROUNDUP(MONTH(B721)/3,0)</f>
        <v>2026-Q1</v>
      </c>
      <c r="T721" s="87" t="n">
        <f aca="false">IF(O721&gt;0,Q721/O721,"")</f>
        <v>0.444444444444444</v>
      </c>
      <c r="U721" s="84" t="n">
        <f aca="false">IF(O721&gt;0,O721,"")</f>
        <v>504</v>
      </c>
    </row>
    <row r="722" customFormat="false" ht="15" hidden="false" customHeight="false" outlineLevel="0" collapsed="false">
      <c r="A722" s="81" t="s">
        <v>1365</v>
      </c>
      <c r="B722" s="82" t="n">
        <v>46088</v>
      </c>
      <c r="C722" s="81" t="s">
        <v>379</v>
      </c>
      <c r="D722" s="83" t="str">
        <f aca="false">IFERROR(INDEX(c_Name,MATCH($C722,c_ID,0)),"غير معرّف")</f>
        <v>ناصر العنزي</v>
      </c>
      <c r="E722" s="83" t="str">
        <f aca="false">IFERROR(INDEX(c_Region,MATCH($C722,c_ID,0)),"غير معرّف")</f>
        <v>الغربية</v>
      </c>
      <c r="F722" s="81" t="s">
        <v>171</v>
      </c>
      <c r="G722" s="83" t="str">
        <f aca="false">IFERROR(INDEX(p_Name,MATCH($F722,p_ID,0)),"غير معرّف")</f>
        <v>قلاية هوائية</v>
      </c>
      <c r="H722" s="83" t="str">
        <f aca="false">IFERROR(INDEX(p_Cat,MATCH($F722,p_ID,0)),"غير معرّف")</f>
        <v>أجهزة منزلية</v>
      </c>
      <c r="I722" s="81" t="s">
        <v>455</v>
      </c>
      <c r="J722" s="81" t="s">
        <v>91</v>
      </c>
      <c r="K722" s="81" t="n">
        <v>1</v>
      </c>
      <c r="L722" s="84" t="n">
        <f aca="false">IFERROR(INDEX(p_Price,MATCH($F722,p_ID,0)),0)</f>
        <v>520</v>
      </c>
      <c r="M722" s="85" t="n">
        <v>0.05</v>
      </c>
      <c r="N722" s="81" t="s">
        <v>644</v>
      </c>
      <c r="O722" s="84" t="n">
        <f aca="false">IF($N722="مرتجع",0,K722*L722*(1-M722))</f>
        <v>494</v>
      </c>
      <c r="P722" s="84" t="n">
        <f aca="false">IF($N722="مرتجع",0,K722*IFERROR(INDEX(p_Cost,MATCH($F722,p_ID,0)),0))</f>
        <v>300</v>
      </c>
      <c r="Q722" s="84" t="n">
        <f aca="false">O722-P722</f>
        <v>194</v>
      </c>
      <c r="R722" s="86" t="n">
        <f aca="false">DATE(YEAR(B722),MONTH(B722),1)</f>
        <v>46082</v>
      </c>
      <c r="S722" s="83" t="str">
        <f aca="false">YEAR(B722)&amp;"-Q"&amp;ROUNDUP(MONTH(B722)/3,0)</f>
        <v>2026-Q1</v>
      </c>
      <c r="T722" s="87" t="n">
        <f aca="false">IF(O722&gt;0,Q722/O722,"")</f>
        <v>0.392712550607287</v>
      </c>
      <c r="U722" s="84" t="n">
        <f aca="false">IF(O722&gt;0,O722,"")</f>
        <v>494</v>
      </c>
    </row>
    <row r="723" customFormat="false" ht="15" hidden="false" customHeight="false" outlineLevel="0" collapsed="false">
      <c r="A723" s="81" t="s">
        <v>1366</v>
      </c>
      <c r="B723" s="82" t="n">
        <v>46088</v>
      </c>
      <c r="C723" s="81" t="s">
        <v>404</v>
      </c>
      <c r="D723" s="83" t="str">
        <f aca="false">IFERROR(INDEX(c_Name,MATCH($C723,c_ID,0)),"غير معرّف")</f>
        <v>عبدالله الحسيني</v>
      </c>
      <c r="E723" s="83" t="str">
        <f aca="false">IFERROR(INDEX(c_Region,MATCH($C723,c_ID,0)),"غير معرّف")</f>
        <v>الشرقية</v>
      </c>
      <c r="F723" s="81" t="s">
        <v>172</v>
      </c>
      <c r="G723" s="83" t="str">
        <f aca="false">IFERROR(INDEX(p_Name,MATCH($F723,p_ID,0)),"غير معرّف")</f>
        <v>مكتب عمل</v>
      </c>
      <c r="H723" s="83" t="str">
        <f aca="false">IFERROR(INDEX(p_Cat,MATCH($F723,p_ID,0)),"غير معرّف")</f>
        <v>أثاث</v>
      </c>
      <c r="I723" s="81" t="s">
        <v>463</v>
      </c>
      <c r="J723" s="81" t="s">
        <v>93</v>
      </c>
      <c r="K723" s="81" t="n">
        <v>1</v>
      </c>
      <c r="L723" s="84" t="n">
        <f aca="false">IFERROR(INDEX(p_Price,MATCH($F723,p_ID,0)),0)</f>
        <v>1200</v>
      </c>
      <c r="M723" s="85" t="n">
        <v>0</v>
      </c>
      <c r="N723" s="81" t="s">
        <v>644</v>
      </c>
      <c r="O723" s="84" t="n">
        <f aca="false">IF($N723="مرتجع",0,K723*L723*(1-M723))</f>
        <v>1200</v>
      </c>
      <c r="P723" s="84" t="n">
        <f aca="false">IF($N723="مرتجع",0,K723*IFERROR(INDEX(p_Cost,MATCH($F723,p_ID,0)),0))</f>
        <v>700</v>
      </c>
      <c r="Q723" s="84" t="n">
        <f aca="false">O723-P723</f>
        <v>500</v>
      </c>
      <c r="R723" s="86" t="n">
        <f aca="false">DATE(YEAR(B723),MONTH(B723),1)</f>
        <v>46082</v>
      </c>
      <c r="S723" s="83" t="str">
        <f aca="false">YEAR(B723)&amp;"-Q"&amp;ROUNDUP(MONTH(B723)/3,0)</f>
        <v>2026-Q1</v>
      </c>
      <c r="T723" s="87" t="n">
        <f aca="false">IF(O723&gt;0,Q723/O723,"")</f>
        <v>0.416666666666667</v>
      </c>
      <c r="U723" s="84" t="n">
        <f aca="false">IF(O723&gt;0,O723,"")</f>
        <v>1200</v>
      </c>
    </row>
    <row r="724" customFormat="false" ht="15" hidden="false" customHeight="false" outlineLevel="0" collapsed="false">
      <c r="A724" s="81" t="s">
        <v>1367</v>
      </c>
      <c r="B724" s="82" t="n">
        <v>46089</v>
      </c>
      <c r="C724" s="81" t="s">
        <v>352</v>
      </c>
      <c r="D724" s="83" t="str">
        <f aca="false">IFERROR(INDEX(c_Name,MATCH($C724,c_ID,0)),"غير معرّف")</f>
        <v>منى الزهراني</v>
      </c>
      <c r="E724" s="83" t="str">
        <f aca="false">IFERROR(INDEX(c_Region,MATCH($C724,c_ID,0)),"غير معرّف")</f>
        <v>الشرقية</v>
      </c>
      <c r="F724" s="81" t="s">
        <v>187</v>
      </c>
      <c r="G724" s="83" t="str">
        <f aca="false">IFERROR(INDEX(p_Name,MATCH($F724,p_ID,0)),"غير معرّف")</f>
        <v>جهاز تدليك</v>
      </c>
      <c r="H724" s="83" t="str">
        <f aca="false">IFERROR(INDEX(p_Cat,MATCH($F724,p_ID,0)),"غير معرّف")</f>
        <v>عناية شخصية</v>
      </c>
      <c r="I724" s="81" t="s">
        <v>461</v>
      </c>
      <c r="J724" s="81" t="s">
        <v>93</v>
      </c>
      <c r="K724" s="81" t="n">
        <v>1</v>
      </c>
      <c r="L724" s="84" t="n">
        <f aca="false">IFERROR(INDEX(p_Price,MATCH($F724,p_ID,0)),0)</f>
        <v>600</v>
      </c>
      <c r="M724" s="85" t="n">
        <v>0.05</v>
      </c>
      <c r="N724" s="81" t="s">
        <v>644</v>
      </c>
      <c r="O724" s="84" t="n">
        <f aca="false">IF($N724="مرتجع",0,K724*L724*(1-M724))</f>
        <v>570</v>
      </c>
      <c r="P724" s="84" t="n">
        <f aca="false">IF($N724="مرتجع",0,K724*IFERROR(INDEX(p_Cost,MATCH($F724,p_ID,0)),0))</f>
        <v>330</v>
      </c>
      <c r="Q724" s="84" t="n">
        <f aca="false">O724-P724</f>
        <v>240</v>
      </c>
      <c r="R724" s="86" t="n">
        <f aca="false">DATE(YEAR(B724),MONTH(B724),1)</f>
        <v>46082</v>
      </c>
      <c r="S724" s="83" t="str">
        <f aca="false">YEAR(B724)&amp;"-Q"&amp;ROUNDUP(MONTH(B724)/3,0)</f>
        <v>2026-Q1</v>
      </c>
      <c r="T724" s="87" t="n">
        <f aca="false">IF(O724&gt;0,Q724/O724,"")</f>
        <v>0.421052631578947</v>
      </c>
      <c r="U724" s="84" t="n">
        <f aca="false">IF(O724&gt;0,O724,"")</f>
        <v>570</v>
      </c>
    </row>
    <row r="725" customFormat="false" ht="15" hidden="false" customHeight="false" outlineLevel="0" collapsed="false">
      <c r="A725" s="81" t="s">
        <v>1368</v>
      </c>
      <c r="B725" s="82" t="n">
        <v>46089</v>
      </c>
      <c r="C725" s="81" t="s">
        <v>355</v>
      </c>
      <c r="D725" s="83" t="str">
        <f aca="false">IFERROR(INDEX(c_Name,MATCH($C725,c_ID,0)),"غير معرّف")</f>
        <v>جود القحطاني</v>
      </c>
      <c r="E725" s="83" t="str">
        <f aca="false">IFERROR(INDEX(c_Region,MATCH($C725,c_ID,0)),"غير معرّف")</f>
        <v>الجنوبية</v>
      </c>
      <c r="F725" s="81" t="s">
        <v>179</v>
      </c>
      <c r="G725" s="83" t="str">
        <f aca="false">IFERROR(INDEX(p_Name,MATCH($F725,p_ID,0)),"غير معرّف")</f>
        <v>طقم أدوات مكتبية</v>
      </c>
      <c r="H725" s="83" t="str">
        <f aca="false">IFERROR(INDEX(p_Cat,MATCH($F725,p_ID,0)),"غير معرّف")</f>
        <v>مستلزمات مكتبية</v>
      </c>
      <c r="I725" s="81" t="s">
        <v>467</v>
      </c>
      <c r="J725" s="81" t="s">
        <v>91</v>
      </c>
      <c r="K725" s="81" t="n">
        <v>4</v>
      </c>
      <c r="L725" s="84" t="n">
        <f aca="false">IFERROR(INDEX(p_Price,MATCH($F725,p_ID,0)),0)</f>
        <v>90</v>
      </c>
      <c r="M725" s="85" t="n">
        <v>0</v>
      </c>
      <c r="N725" s="81" t="s">
        <v>644</v>
      </c>
      <c r="O725" s="84" t="n">
        <f aca="false">IF($N725="مرتجع",0,K725*L725*(1-M725))</f>
        <v>360</v>
      </c>
      <c r="P725" s="84" t="n">
        <f aca="false">IF($N725="مرتجع",0,K725*IFERROR(INDEX(p_Cost,MATCH($F725,p_ID,0)),0))</f>
        <v>180</v>
      </c>
      <c r="Q725" s="84" t="n">
        <f aca="false">O725-P725</f>
        <v>180</v>
      </c>
      <c r="R725" s="86" t="n">
        <f aca="false">DATE(YEAR(B725),MONTH(B725),1)</f>
        <v>46082</v>
      </c>
      <c r="S725" s="83" t="str">
        <f aca="false">YEAR(B725)&amp;"-Q"&amp;ROUNDUP(MONTH(B725)/3,0)</f>
        <v>2026-Q1</v>
      </c>
      <c r="T725" s="87" t="n">
        <f aca="false">IF(O725&gt;0,Q725/O725,"")</f>
        <v>0.5</v>
      </c>
      <c r="U725" s="84" t="n">
        <f aca="false">IF(O725&gt;0,O725,"")</f>
        <v>360</v>
      </c>
    </row>
    <row r="726" customFormat="false" ht="15" hidden="false" customHeight="false" outlineLevel="0" collapsed="false">
      <c r="A726" s="81" t="s">
        <v>1369</v>
      </c>
      <c r="B726" s="82" t="n">
        <v>46089</v>
      </c>
      <c r="C726" s="81" t="s">
        <v>307</v>
      </c>
      <c r="D726" s="83" t="str">
        <f aca="false">IFERROR(INDEX(c_Name,MATCH($C726,c_ID,0)),"غير معرّف")</f>
        <v>ريم السبيعي</v>
      </c>
      <c r="E726" s="83" t="str">
        <f aca="false">IFERROR(INDEX(c_Region,MATCH($C726,c_ID,0)),"غير معرّف")</f>
        <v>الوسطى</v>
      </c>
      <c r="F726" s="81" t="s">
        <v>173</v>
      </c>
      <c r="G726" s="83" t="str">
        <f aca="false">IFERROR(INDEX(p_Name,MATCH($F726,p_ID,0)),"غير معرّف")</f>
        <v>كرسي مريح</v>
      </c>
      <c r="H726" s="83" t="str">
        <f aca="false">IFERROR(INDEX(p_Cat,MATCH($F726,p_ID,0)),"غير معرّف")</f>
        <v>أثاث</v>
      </c>
      <c r="I726" s="81" t="s">
        <v>446</v>
      </c>
      <c r="J726" s="81" t="s">
        <v>91</v>
      </c>
      <c r="K726" s="81" t="n">
        <v>1</v>
      </c>
      <c r="L726" s="84" t="n">
        <f aca="false">IFERROR(INDEX(p_Price,MATCH($F726,p_ID,0)),0)</f>
        <v>850</v>
      </c>
      <c r="M726" s="85" t="n">
        <v>0.1</v>
      </c>
      <c r="N726" s="81" t="s">
        <v>644</v>
      </c>
      <c r="O726" s="84" t="n">
        <f aca="false">IF($N726="مرتجع",0,K726*L726*(1-M726))</f>
        <v>765</v>
      </c>
      <c r="P726" s="84" t="n">
        <f aca="false">IF($N726="مرتجع",0,K726*IFERROR(INDEX(p_Cost,MATCH($F726,p_ID,0)),0))</f>
        <v>480</v>
      </c>
      <c r="Q726" s="84" t="n">
        <f aca="false">O726-P726</f>
        <v>285</v>
      </c>
      <c r="R726" s="86" t="n">
        <f aca="false">DATE(YEAR(B726),MONTH(B726),1)</f>
        <v>46082</v>
      </c>
      <c r="S726" s="83" t="str">
        <f aca="false">YEAR(B726)&amp;"-Q"&amp;ROUNDUP(MONTH(B726)/3,0)</f>
        <v>2026-Q1</v>
      </c>
      <c r="T726" s="87" t="n">
        <f aca="false">IF(O726&gt;0,Q726/O726,"")</f>
        <v>0.372549019607843</v>
      </c>
      <c r="U726" s="84" t="n">
        <f aca="false">IF(O726&gt;0,O726,"")</f>
        <v>765</v>
      </c>
    </row>
    <row r="727" customFormat="false" ht="15" hidden="false" customHeight="false" outlineLevel="0" collapsed="false">
      <c r="A727" s="81" t="s">
        <v>1370</v>
      </c>
      <c r="B727" s="82" t="n">
        <v>46089</v>
      </c>
      <c r="C727" s="81" t="s">
        <v>385</v>
      </c>
      <c r="D727" s="83" t="str">
        <f aca="false">IFERROR(INDEX(c_Name,MATCH($C727,c_ID,0)),"غير معرّف")</f>
        <v>سارة الشهري</v>
      </c>
      <c r="E727" s="83" t="str">
        <f aca="false">IFERROR(INDEX(c_Region,MATCH($C727,c_ID,0)),"غير معرّف")</f>
        <v>الشرقية</v>
      </c>
      <c r="F727" s="81" t="s">
        <v>185</v>
      </c>
      <c r="G727" s="83" t="str">
        <f aca="false">IFERROR(INDEX(p_Name,MATCH($F727,p_ID,0)),"غير معرّف")</f>
        <v>ماكينة حلاقة</v>
      </c>
      <c r="H727" s="83" t="str">
        <f aca="false">IFERROR(INDEX(p_Cat,MATCH($F727,p_ID,0)),"غير معرّف")</f>
        <v>عناية شخصية</v>
      </c>
      <c r="I727" s="81" t="s">
        <v>461</v>
      </c>
      <c r="J727" s="81" t="s">
        <v>91</v>
      </c>
      <c r="K727" s="81" t="n">
        <v>2</v>
      </c>
      <c r="L727" s="84" t="n">
        <f aca="false">IFERROR(INDEX(p_Price,MATCH($F727,p_ID,0)),0)</f>
        <v>340</v>
      </c>
      <c r="M727" s="85" t="n">
        <v>0.05</v>
      </c>
      <c r="N727" s="81" t="s">
        <v>644</v>
      </c>
      <c r="O727" s="84" t="n">
        <f aca="false">IF($N727="مرتجع",0,K727*L727*(1-M727))</f>
        <v>646</v>
      </c>
      <c r="P727" s="84" t="n">
        <f aca="false">IF($N727="مرتجع",0,K727*IFERROR(INDEX(p_Cost,MATCH($F727,p_ID,0)),0))</f>
        <v>340</v>
      </c>
      <c r="Q727" s="84" t="n">
        <f aca="false">O727-P727</f>
        <v>306</v>
      </c>
      <c r="R727" s="86" t="n">
        <f aca="false">DATE(YEAR(B727),MONTH(B727),1)</f>
        <v>46082</v>
      </c>
      <c r="S727" s="83" t="str">
        <f aca="false">YEAR(B727)&amp;"-Q"&amp;ROUNDUP(MONTH(B727)/3,0)</f>
        <v>2026-Q1</v>
      </c>
      <c r="T727" s="87" t="n">
        <f aca="false">IF(O727&gt;0,Q727/O727,"")</f>
        <v>0.473684210526316</v>
      </c>
      <c r="U727" s="84" t="n">
        <f aca="false">IF(O727&gt;0,O727,"")</f>
        <v>646</v>
      </c>
    </row>
    <row r="728" customFormat="false" ht="15" hidden="false" customHeight="false" outlineLevel="0" collapsed="false">
      <c r="A728" s="81" t="s">
        <v>1371</v>
      </c>
      <c r="B728" s="82" t="n">
        <v>46089</v>
      </c>
      <c r="C728" s="81" t="s">
        <v>310</v>
      </c>
      <c r="D728" s="83" t="str">
        <f aca="false">IFERROR(INDEX(c_Name,MATCH($C728,c_ID,0)),"غير معرّف")</f>
        <v>طارق السبيعي</v>
      </c>
      <c r="E728" s="83" t="str">
        <f aca="false">IFERROR(INDEX(c_Region,MATCH($C728,c_ID,0)),"غير معرّف")</f>
        <v>الوسطى</v>
      </c>
      <c r="F728" s="81" t="s">
        <v>171</v>
      </c>
      <c r="G728" s="83" t="str">
        <f aca="false">IFERROR(INDEX(p_Name,MATCH($F728,p_ID,0)),"غير معرّف")</f>
        <v>قلاية هوائية</v>
      </c>
      <c r="H728" s="83" t="str">
        <f aca="false">IFERROR(INDEX(p_Cat,MATCH($F728,p_ID,0)),"غير معرّف")</f>
        <v>أجهزة منزلية</v>
      </c>
      <c r="I728" s="81" t="s">
        <v>443</v>
      </c>
      <c r="J728" s="81" t="s">
        <v>91</v>
      </c>
      <c r="K728" s="81" t="n">
        <v>1</v>
      </c>
      <c r="L728" s="84" t="n">
        <f aca="false">IFERROR(INDEX(p_Price,MATCH($F728,p_ID,0)),0)</f>
        <v>520</v>
      </c>
      <c r="M728" s="85" t="n">
        <v>0.2</v>
      </c>
      <c r="N728" s="81" t="s">
        <v>644</v>
      </c>
      <c r="O728" s="84" t="n">
        <f aca="false">IF($N728="مرتجع",0,K728*L728*(1-M728))</f>
        <v>416</v>
      </c>
      <c r="P728" s="84" t="n">
        <f aca="false">IF($N728="مرتجع",0,K728*IFERROR(INDEX(p_Cost,MATCH($F728,p_ID,0)),0))</f>
        <v>300</v>
      </c>
      <c r="Q728" s="84" t="n">
        <f aca="false">O728-P728</f>
        <v>116</v>
      </c>
      <c r="R728" s="86" t="n">
        <f aca="false">DATE(YEAR(B728),MONTH(B728),1)</f>
        <v>46082</v>
      </c>
      <c r="S728" s="83" t="str">
        <f aca="false">YEAR(B728)&amp;"-Q"&amp;ROUNDUP(MONTH(B728)/3,0)</f>
        <v>2026-Q1</v>
      </c>
      <c r="T728" s="87" t="n">
        <f aca="false">IF(O728&gt;0,Q728/O728,"")</f>
        <v>0.278846153846154</v>
      </c>
      <c r="U728" s="84" t="n">
        <f aca="false">IF(O728&gt;0,O728,"")</f>
        <v>416</v>
      </c>
    </row>
    <row r="729" customFormat="false" ht="15" hidden="false" customHeight="false" outlineLevel="0" collapsed="false">
      <c r="A729" s="81" t="s">
        <v>1372</v>
      </c>
      <c r="B729" s="82" t="n">
        <v>46089</v>
      </c>
      <c r="C729" s="81" t="s">
        <v>310</v>
      </c>
      <c r="D729" s="83" t="str">
        <f aca="false">IFERROR(INDEX(c_Name,MATCH($C729,c_ID,0)),"غير معرّف")</f>
        <v>طارق السبيعي</v>
      </c>
      <c r="E729" s="83" t="str">
        <f aca="false">IFERROR(INDEX(c_Region,MATCH($C729,c_ID,0)),"غير معرّف")</f>
        <v>الوسطى</v>
      </c>
      <c r="F729" s="81" t="s">
        <v>172</v>
      </c>
      <c r="G729" s="83" t="str">
        <f aca="false">IFERROR(INDEX(p_Name,MATCH($F729,p_ID,0)),"غير معرّف")</f>
        <v>مكتب عمل</v>
      </c>
      <c r="H729" s="83" t="str">
        <f aca="false">IFERROR(INDEX(p_Cat,MATCH($F729,p_ID,0)),"غير معرّف")</f>
        <v>أثاث</v>
      </c>
      <c r="I729" s="81" t="s">
        <v>449</v>
      </c>
      <c r="J729" s="81" t="s">
        <v>91</v>
      </c>
      <c r="K729" s="81" t="n">
        <v>1</v>
      </c>
      <c r="L729" s="84" t="n">
        <f aca="false">IFERROR(INDEX(p_Price,MATCH($F729,p_ID,0)),0)</f>
        <v>1200</v>
      </c>
      <c r="M729" s="85" t="n">
        <v>0</v>
      </c>
      <c r="N729" s="81" t="s">
        <v>644</v>
      </c>
      <c r="O729" s="84" t="n">
        <f aca="false">IF($N729="مرتجع",0,K729*L729*(1-M729))</f>
        <v>1200</v>
      </c>
      <c r="P729" s="84" t="n">
        <f aca="false">IF($N729="مرتجع",0,K729*IFERROR(INDEX(p_Cost,MATCH($F729,p_ID,0)),0))</f>
        <v>700</v>
      </c>
      <c r="Q729" s="84" t="n">
        <f aca="false">O729-P729</f>
        <v>500</v>
      </c>
      <c r="R729" s="86" t="n">
        <f aca="false">DATE(YEAR(B729),MONTH(B729),1)</f>
        <v>46082</v>
      </c>
      <c r="S729" s="83" t="str">
        <f aca="false">YEAR(B729)&amp;"-Q"&amp;ROUNDUP(MONTH(B729)/3,0)</f>
        <v>2026-Q1</v>
      </c>
      <c r="T729" s="87" t="n">
        <f aca="false">IF(O729&gt;0,Q729/O729,"")</f>
        <v>0.416666666666667</v>
      </c>
      <c r="U729" s="84" t="n">
        <f aca="false">IF(O729&gt;0,O729,"")</f>
        <v>1200</v>
      </c>
    </row>
    <row r="730" customFormat="false" ht="15" hidden="false" customHeight="false" outlineLevel="0" collapsed="false">
      <c r="A730" s="81" t="s">
        <v>1373</v>
      </c>
      <c r="B730" s="82" t="n">
        <v>46090</v>
      </c>
      <c r="C730" s="81" t="s">
        <v>282</v>
      </c>
      <c r="D730" s="83" t="str">
        <f aca="false">IFERROR(INDEX(c_Name,MATCH($C730,c_ID,0)),"غير معرّف")</f>
        <v>لمى المطيري</v>
      </c>
      <c r="E730" s="83" t="str">
        <f aca="false">IFERROR(INDEX(c_Region,MATCH($C730,c_ID,0)),"غير معرّف")</f>
        <v>الوسطى</v>
      </c>
      <c r="F730" s="81" t="s">
        <v>178</v>
      </c>
      <c r="G730" s="83" t="str">
        <f aca="false">IFERROR(INDEX(p_Name,MATCH($F730,p_ID,0)),"غير معرّف")</f>
        <v>حقيبة لابتوب</v>
      </c>
      <c r="H730" s="83" t="str">
        <f aca="false">IFERROR(INDEX(p_Cat,MATCH($F730,p_ID,0)),"غير معرّف")</f>
        <v>مستلزمات مكتبية</v>
      </c>
      <c r="I730" s="81" t="s">
        <v>443</v>
      </c>
      <c r="J730" s="81" t="s">
        <v>91</v>
      </c>
      <c r="K730" s="81" t="n">
        <v>1</v>
      </c>
      <c r="L730" s="84" t="n">
        <f aca="false">IFERROR(INDEX(p_Price,MATCH($F730,p_ID,0)),0)</f>
        <v>260</v>
      </c>
      <c r="M730" s="85" t="n">
        <v>0.15</v>
      </c>
      <c r="N730" s="81" t="s">
        <v>644</v>
      </c>
      <c r="O730" s="84" t="n">
        <f aca="false">IF($N730="مرتجع",0,K730*L730*(1-M730))</f>
        <v>221</v>
      </c>
      <c r="P730" s="84" t="n">
        <f aca="false">IF($N730="مرتجع",0,K730*IFERROR(INDEX(p_Cost,MATCH($F730,p_ID,0)),0))</f>
        <v>120</v>
      </c>
      <c r="Q730" s="84" t="n">
        <f aca="false">O730-P730</f>
        <v>101</v>
      </c>
      <c r="R730" s="86" t="n">
        <f aca="false">DATE(YEAR(B730),MONTH(B730),1)</f>
        <v>46082</v>
      </c>
      <c r="S730" s="83" t="str">
        <f aca="false">YEAR(B730)&amp;"-Q"&amp;ROUNDUP(MONTH(B730)/3,0)</f>
        <v>2026-Q1</v>
      </c>
      <c r="T730" s="87" t="n">
        <f aca="false">IF(O730&gt;0,Q730/O730,"")</f>
        <v>0.457013574660633</v>
      </c>
      <c r="U730" s="84" t="n">
        <f aca="false">IF(O730&gt;0,O730,"")</f>
        <v>221</v>
      </c>
    </row>
    <row r="731" customFormat="false" ht="15" hidden="false" customHeight="false" outlineLevel="0" collapsed="false">
      <c r="A731" s="81" t="s">
        <v>1374</v>
      </c>
      <c r="B731" s="82" t="n">
        <v>46090</v>
      </c>
      <c r="C731" s="81" t="s">
        <v>268</v>
      </c>
      <c r="D731" s="83" t="str">
        <f aca="false">IFERROR(INDEX(c_Name,MATCH($C731,c_ID,0)),"غير معرّف")</f>
        <v>جود التميمي</v>
      </c>
      <c r="E731" s="83" t="str">
        <f aca="false">IFERROR(INDEX(c_Region,MATCH($C731,c_ID,0)),"غير معرّف")</f>
        <v>الغربية</v>
      </c>
      <c r="F731" s="81" t="s">
        <v>182</v>
      </c>
      <c r="G731" s="83" t="str">
        <f aca="false">IFERROR(INDEX(p_Name,MATCH($F731,p_ID,0)),"غير معرّف")</f>
        <v>طقم أوزان</v>
      </c>
      <c r="H731" s="83" t="str">
        <f aca="false">IFERROR(INDEX(p_Cat,MATCH($F731,p_ID,0)),"غير معرّف")</f>
        <v>رياضة</v>
      </c>
      <c r="I731" s="81" t="s">
        <v>452</v>
      </c>
      <c r="J731" s="81" t="s">
        <v>91</v>
      </c>
      <c r="K731" s="81" t="n">
        <v>1</v>
      </c>
      <c r="L731" s="84" t="n">
        <f aca="false">IFERROR(INDEX(p_Price,MATCH($F731,p_ID,0)),0)</f>
        <v>380</v>
      </c>
      <c r="M731" s="85" t="n">
        <v>0</v>
      </c>
      <c r="N731" s="81" t="s">
        <v>644</v>
      </c>
      <c r="O731" s="84" t="n">
        <f aca="false">IF($N731="مرتجع",0,K731*L731*(1-M731))</f>
        <v>380</v>
      </c>
      <c r="P731" s="84" t="n">
        <f aca="false">IF($N731="مرتجع",0,K731*IFERROR(INDEX(p_Cost,MATCH($F731,p_ID,0)),0))</f>
        <v>210</v>
      </c>
      <c r="Q731" s="84" t="n">
        <f aca="false">O731-P731</f>
        <v>170</v>
      </c>
      <c r="R731" s="86" t="n">
        <f aca="false">DATE(YEAR(B731),MONTH(B731),1)</f>
        <v>46082</v>
      </c>
      <c r="S731" s="83" t="str">
        <f aca="false">YEAR(B731)&amp;"-Q"&amp;ROUNDUP(MONTH(B731)/3,0)</f>
        <v>2026-Q1</v>
      </c>
      <c r="T731" s="87" t="n">
        <f aca="false">IF(O731&gt;0,Q731/O731,"")</f>
        <v>0.447368421052632</v>
      </c>
      <c r="U731" s="84" t="n">
        <f aca="false">IF(O731&gt;0,O731,"")</f>
        <v>380</v>
      </c>
    </row>
    <row r="732" customFormat="false" ht="15" hidden="false" customHeight="false" outlineLevel="0" collapsed="false">
      <c r="A732" s="81" t="s">
        <v>1375</v>
      </c>
      <c r="B732" s="82" t="n">
        <v>46091</v>
      </c>
      <c r="C732" s="81" t="s">
        <v>349</v>
      </c>
      <c r="D732" s="83" t="str">
        <f aca="false">IFERROR(INDEX(c_Name,MATCH($C732,c_ID,0)),"غير معرّف")</f>
        <v>خالد الزهراني</v>
      </c>
      <c r="E732" s="83" t="str">
        <f aca="false">IFERROR(INDEX(c_Region,MATCH($C732,c_ID,0)),"غير معرّف")</f>
        <v>الوسطى</v>
      </c>
      <c r="F732" s="81" t="s">
        <v>175</v>
      </c>
      <c r="G732" s="83" t="str">
        <f aca="false">IFERROR(INDEX(p_Name,MATCH($F732,p_ID,0)),"غير معرّف")</f>
        <v>رف كتب</v>
      </c>
      <c r="H732" s="83" t="str">
        <f aca="false">IFERROR(INDEX(p_Cat,MATCH($F732,p_ID,0)),"غير معرّف")</f>
        <v>أثاث</v>
      </c>
      <c r="I732" s="81" t="s">
        <v>443</v>
      </c>
      <c r="J732" s="81" t="s">
        <v>93</v>
      </c>
      <c r="K732" s="81" t="n">
        <v>4</v>
      </c>
      <c r="L732" s="84" t="n">
        <f aca="false">IFERROR(INDEX(p_Price,MATCH($F732,p_ID,0)),0)</f>
        <v>400</v>
      </c>
      <c r="M732" s="85" t="n">
        <v>0</v>
      </c>
      <c r="N732" s="81" t="s">
        <v>644</v>
      </c>
      <c r="O732" s="84" t="n">
        <f aca="false">IF($N732="مرتجع",0,K732*L732*(1-M732))</f>
        <v>1600</v>
      </c>
      <c r="P732" s="84" t="n">
        <f aca="false">IF($N732="مرتجع",0,K732*IFERROR(INDEX(p_Cost,MATCH($F732,p_ID,0)),0))</f>
        <v>880</v>
      </c>
      <c r="Q732" s="84" t="n">
        <f aca="false">O732-P732</f>
        <v>720</v>
      </c>
      <c r="R732" s="86" t="n">
        <f aca="false">DATE(YEAR(B732),MONTH(B732),1)</f>
        <v>46082</v>
      </c>
      <c r="S732" s="83" t="str">
        <f aca="false">YEAR(B732)&amp;"-Q"&amp;ROUNDUP(MONTH(B732)/3,0)</f>
        <v>2026-Q1</v>
      </c>
      <c r="T732" s="87" t="n">
        <f aca="false">IF(O732&gt;0,Q732/O732,"")</f>
        <v>0.45</v>
      </c>
      <c r="U732" s="84" t="n">
        <f aca="false">IF(O732&gt;0,O732,"")</f>
        <v>1600</v>
      </c>
    </row>
    <row r="733" customFormat="false" ht="15" hidden="false" customHeight="false" outlineLevel="0" collapsed="false">
      <c r="A733" s="81" t="s">
        <v>1376</v>
      </c>
      <c r="B733" s="82" t="n">
        <v>46091</v>
      </c>
      <c r="C733" s="81" t="s">
        <v>295</v>
      </c>
      <c r="D733" s="83" t="str">
        <f aca="false">IFERROR(INDEX(c_Name,MATCH($C733,c_ID,0)),"غير معرّف")</f>
        <v>عبير الزهراني</v>
      </c>
      <c r="E733" s="83" t="str">
        <f aca="false">IFERROR(INDEX(c_Region,MATCH($C733,c_ID,0)),"غير معرّف")</f>
        <v>الوسطى</v>
      </c>
      <c r="F733" s="81" t="s">
        <v>175</v>
      </c>
      <c r="G733" s="83" t="str">
        <f aca="false">IFERROR(INDEX(p_Name,MATCH($F733,p_ID,0)),"غير معرّف")</f>
        <v>رف كتب</v>
      </c>
      <c r="H733" s="83" t="str">
        <f aca="false">IFERROR(INDEX(p_Cat,MATCH($F733,p_ID,0)),"غير معرّف")</f>
        <v>أثاث</v>
      </c>
      <c r="I733" s="81" t="s">
        <v>446</v>
      </c>
      <c r="J733" s="81" t="s">
        <v>91</v>
      </c>
      <c r="K733" s="81" t="n">
        <v>3</v>
      </c>
      <c r="L733" s="84" t="n">
        <f aca="false">IFERROR(INDEX(p_Price,MATCH($F733,p_ID,0)),0)</f>
        <v>400</v>
      </c>
      <c r="M733" s="85" t="n">
        <v>0</v>
      </c>
      <c r="N733" s="81" t="s">
        <v>644</v>
      </c>
      <c r="O733" s="84" t="n">
        <f aca="false">IF($N733="مرتجع",0,K733*L733*(1-M733))</f>
        <v>1200</v>
      </c>
      <c r="P733" s="84" t="n">
        <f aca="false">IF($N733="مرتجع",0,K733*IFERROR(INDEX(p_Cost,MATCH($F733,p_ID,0)),0))</f>
        <v>660</v>
      </c>
      <c r="Q733" s="84" t="n">
        <f aca="false">O733-P733</f>
        <v>540</v>
      </c>
      <c r="R733" s="86" t="n">
        <f aca="false">DATE(YEAR(B733),MONTH(B733),1)</f>
        <v>46082</v>
      </c>
      <c r="S733" s="83" t="str">
        <f aca="false">YEAR(B733)&amp;"-Q"&amp;ROUNDUP(MONTH(B733)/3,0)</f>
        <v>2026-Q1</v>
      </c>
      <c r="T733" s="87" t="n">
        <f aca="false">IF(O733&gt;0,Q733/O733,"")</f>
        <v>0.45</v>
      </c>
      <c r="U733" s="84" t="n">
        <f aca="false">IF(O733&gt;0,O733,"")</f>
        <v>1200</v>
      </c>
    </row>
    <row r="734" customFormat="false" ht="15" hidden="false" customHeight="false" outlineLevel="0" collapsed="false">
      <c r="A734" s="81" t="s">
        <v>1377</v>
      </c>
      <c r="B734" s="82" t="n">
        <v>46091</v>
      </c>
      <c r="C734" s="81" t="s">
        <v>393</v>
      </c>
      <c r="D734" s="83" t="str">
        <f aca="false">IFERROR(INDEX(c_Name,MATCH($C734,c_ID,0)),"غير معرّف")</f>
        <v>عبير التميمي</v>
      </c>
      <c r="E734" s="83" t="str">
        <f aca="false">IFERROR(INDEX(c_Region,MATCH($C734,c_ID,0)),"غير معرّف")</f>
        <v>الغربية</v>
      </c>
      <c r="F734" s="81" t="s">
        <v>182</v>
      </c>
      <c r="G734" s="83" t="str">
        <f aca="false">IFERROR(INDEX(p_Name,MATCH($F734,p_ID,0)),"غير معرّف")</f>
        <v>طقم أوزان</v>
      </c>
      <c r="H734" s="83" t="str">
        <f aca="false">IFERROR(INDEX(p_Cat,MATCH($F734,p_ID,0)),"غير معرّف")</f>
        <v>رياضة</v>
      </c>
      <c r="I734" s="81" t="s">
        <v>452</v>
      </c>
      <c r="J734" s="81" t="s">
        <v>91</v>
      </c>
      <c r="K734" s="81" t="n">
        <v>1</v>
      </c>
      <c r="L734" s="84" t="n">
        <f aca="false">IFERROR(INDEX(p_Price,MATCH($F734,p_ID,0)),0)</f>
        <v>380</v>
      </c>
      <c r="M734" s="85" t="n">
        <v>0</v>
      </c>
      <c r="N734" s="81" t="s">
        <v>644</v>
      </c>
      <c r="O734" s="84" t="n">
        <f aca="false">IF($N734="مرتجع",0,K734*L734*(1-M734))</f>
        <v>380</v>
      </c>
      <c r="P734" s="84" t="n">
        <f aca="false">IF($N734="مرتجع",0,K734*IFERROR(INDEX(p_Cost,MATCH($F734,p_ID,0)),0))</f>
        <v>210</v>
      </c>
      <c r="Q734" s="84" t="n">
        <f aca="false">O734-P734</f>
        <v>170</v>
      </c>
      <c r="R734" s="86" t="n">
        <f aca="false">DATE(YEAR(B734),MONTH(B734),1)</f>
        <v>46082</v>
      </c>
      <c r="S734" s="83" t="str">
        <f aca="false">YEAR(B734)&amp;"-Q"&amp;ROUNDUP(MONTH(B734)/3,0)</f>
        <v>2026-Q1</v>
      </c>
      <c r="T734" s="87" t="n">
        <f aca="false">IF(O734&gt;0,Q734/O734,"")</f>
        <v>0.447368421052632</v>
      </c>
      <c r="U734" s="84" t="n">
        <f aca="false">IF(O734&gt;0,O734,"")</f>
        <v>380</v>
      </c>
    </row>
    <row r="735" customFormat="false" ht="15" hidden="false" customHeight="false" outlineLevel="0" collapsed="false">
      <c r="A735" s="81" t="s">
        <v>1378</v>
      </c>
      <c r="B735" s="82" t="n">
        <v>46092</v>
      </c>
      <c r="C735" s="81" t="s">
        <v>396</v>
      </c>
      <c r="D735" s="83" t="str">
        <f aca="false">IFERROR(INDEX(c_Name,MATCH($C735,c_ID,0)),"غير معرّف")</f>
        <v>ناصر الدوسري</v>
      </c>
      <c r="E735" s="83" t="str">
        <f aca="false">IFERROR(INDEX(c_Region,MATCH($C735,c_ID,0)),"غير معرّف")</f>
        <v>الشرقية</v>
      </c>
      <c r="F735" s="81" t="s">
        <v>176</v>
      </c>
      <c r="G735" s="83" t="str">
        <f aca="false">IFERROR(INDEX(p_Name,MATCH($F735,p_ID,0)),"غير معرّف")</f>
        <v>طابعة ليزر</v>
      </c>
      <c r="H735" s="83" t="str">
        <f aca="false">IFERROR(INDEX(p_Cat,MATCH($F735,p_ID,0)),"غير معرّف")</f>
        <v>مستلزمات مكتبية</v>
      </c>
      <c r="I735" s="81" t="s">
        <v>463</v>
      </c>
      <c r="J735" s="81" t="s">
        <v>91</v>
      </c>
      <c r="K735" s="81" t="n">
        <v>1</v>
      </c>
      <c r="L735" s="84" t="n">
        <f aca="false">IFERROR(INDEX(p_Price,MATCH($F735,p_ID,0)),0)</f>
        <v>1300</v>
      </c>
      <c r="M735" s="85" t="n">
        <v>0.2</v>
      </c>
      <c r="N735" s="81" t="s">
        <v>644</v>
      </c>
      <c r="O735" s="84" t="n">
        <f aca="false">IF($N735="مرتجع",0,K735*L735*(1-M735))</f>
        <v>1040</v>
      </c>
      <c r="P735" s="84" t="n">
        <f aca="false">IF($N735="مرتجع",0,K735*IFERROR(INDEX(p_Cost,MATCH($F735,p_ID,0)),0))</f>
        <v>950</v>
      </c>
      <c r="Q735" s="84" t="n">
        <f aca="false">O735-P735</f>
        <v>90</v>
      </c>
      <c r="R735" s="86" t="n">
        <f aca="false">DATE(YEAR(B735),MONTH(B735),1)</f>
        <v>46082</v>
      </c>
      <c r="S735" s="83" t="str">
        <f aca="false">YEAR(B735)&amp;"-Q"&amp;ROUNDUP(MONTH(B735)/3,0)</f>
        <v>2026-Q1</v>
      </c>
      <c r="T735" s="87" t="n">
        <f aca="false">IF(O735&gt;0,Q735/O735,"")</f>
        <v>0.0865384615384615</v>
      </c>
      <c r="U735" s="84" t="n">
        <f aca="false">IF(O735&gt;0,O735,"")</f>
        <v>1040</v>
      </c>
    </row>
    <row r="736" customFormat="false" ht="15" hidden="false" customHeight="false" outlineLevel="0" collapsed="false">
      <c r="A736" s="81" t="s">
        <v>1379</v>
      </c>
      <c r="B736" s="82" t="n">
        <v>46092</v>
      </c>
      <c r="C736" s="81" t="s">
        <v>364</v>
      </c>
      <c r="D736" s="83" t="str">
        <f aca="false">IFERROR(INDEX(c_Name,MATCH($C736,c_ID,0)),"غير معرّف")</f>
        <v>عبير الدوسري</v>
      </c>
      <c r="E736" s="83" t="str">
        <f aca="false">IFERROR(INDEX(c_Region,MATCH($C736,c_ID,0)),"غير معرّف")</f>
        <v>الشرقية</v>
      </c>
      <c r="F736" s="81" t="s">
        <v>185</v>
      </c>
      <c r="G736" s="83" t="str">
        <f aca="false">IFERROR(INDEX(p_Name,MATCH($F736,p_ID,0)),"غير معرّف")</f>
        <v>ماكينة حلاقة</v>
      </c>
      <c r="H736" s="83" t="str">
        <f aca="false">IFERROR(INDEX(p_Cat,MATCH($F736,p_ID,0)),"غير معرّف")</f>
        <v>عناية شخصية</v>
      </c>
      <c r="I736" s="81" t="s">
        <v>463</v>
      </c>
      <c r="J736" s="81" t="s">
        <v>93</v>
      </c>
      <c r="K736" s="81" t="n">
        <v>1</v>
      </c>
      <c r="L736" s="84" t="n">
        <f aca="false">IFERROR(INDEX(p_Price,MATCH($F736,p_ID,0)),0)</f>
        <v>340</v>
      </c>
      <c r="M736" s="85" t="n">
        <v>0</v>
      </c>
      <c r="N736" s="81" t="s">
        <v>644</v>
      </c>
      <c r="O736" s="84" t="n">
        <f aca="false">IF($N736="مرتجع",0,K736*L736*(1-M736))</f>
        <v>340</v>
      </c>
      <c r="P736" s="84" t="n">
        <f aca="false">IF($N736="مرتجع",0,K736*IFERROR(INDEX(p_Cost,MATCH($F736,p_ID,0)),0))</f>
        <v>170</v>
      </c>
      <c r="Q736" s="84" t="n">
        <f aca="false">O736-P736</f>
        <v>170</v>
      </c>
      <c r="R736" s="86" t="n">
        <f aca="false">DATE(YEAR(B736),MONTH(B736),1)</f>
        <v>46082</v>
      </c>
      <c r="S736" s="83" t="str">
        <f aca="false">YEAR(B736)&amp;"-Q"&amp;ROUNDUP(MONTH(B736)/3,0)</f>
        <v>2026-Q1</v>
      </c>
      <c r="T736" s="87" t="n">
        <f aca="false">IF(O736&gt;0,Q736/O736,"")</f>
        <v>0.5</v>
      </c>
      <c r="U736" s="84" t="n">
        <f aca="false">IF(O736&gt;0,O736,"")</f>
        <v>340</v>
      </c>
    </row>
    <row r="737" customFormat="false" ht="15" hidden="false" customHeight="false" outlineLevel="0" collapsed="false">
      <c r="A737" s="81" t="s">
        <v>1380</v>
      </c>
      <c r="B737" s="82" t="n">
        <v>46092</v>
      </c>
      <c r="C737" s="81" t="s">
        <v>311</v>
      </c>
      <c r="D737" s="83" t="str">
        <f aca="false">IFERROR(INDEX(c_Name,MATCH($C737,c_ID,0)),"غير معرّف")</f>
        <v>لمى الحسيني</v>
      </c>
      <c r="E737" s="83" t="str">
        <f aca="false">IFERROR(INDEX(c_Region,MATCH($C737,c_ID,0)),"غير معرّف")</f>
        <v>الوسطى</v>
      </c>
      <c r="F737" s="81" t="s">
        <v>174</v>
      </c>
      <c r="G737" s="83" t="str">
        <f aca="false">IFERROR(INDEX(p_Name,MATCH($F737,p_ID,0)),"غير معرّف")</f>
        <v>خزانة ملفات</v>
      </c>
      <c r="H737" s="83" t="str">
        <f aca="false">IFERROR(INDEX(p_Cat,MATCH($F737,p_ID,0)),"غير معرّف")</f>
        <v>أثاث</v>
      </c>
      <c r="I737" s="81" t="s">
        <v>443</v>
      </c>
      <c r="J737" s="81" t="s">
        <v>93</v>
      </c>
      <c r="K737" s="81" t="n">
        <v>2</v>
      </c>
      <c r="L737" s="84" t="n">
        <f aca="false">IFERROR(INDEX(p_Price,MATCH($F737,p_ID,0)),0)</f>
        <v>700</v>
      </c>
      <c r="M737" s="85" t="n">
        <v>0.15</v>
      </c>
      <c r="N737" s="81" t="s">
        <v>644</v>
      </c>
      <c r="O737" s="84" t="n">
        <f aca="false">IF($N737="مرتجع",0,K737*L737*(1-M737))</f>
        <v>1190</v>
      </c>
      <c r="P737" s="84" t="n">
        <f aca="false">IF($N737="مرتجع",0,K737*IFERROR(INDEX(p_Cost,MATCH($F737,p_ID,0)),0))</f>
        <v>820</v>
      </c>
      <c r="Q737" s="84" t="n">
        <f aca="false">O737-P737</f>
        <v>370</v>
      </c>
      <c r="R737" s="86" t="n">
        <f aca="false">DATE(YEAR(B737),MONTH(B737),1)</f>
        <v>46082</v>
      </c>
      <c r="S737" s="83" t="str">
        <f aca="false">YEAR(B737)&amp;"-Q"&amp;ROUNDUP(MONTH(B737)/3,0)</f>
        <v>2026-Q1</v>
      </c>
      <c r="T737" s="87" t="n">
        <f aca="false">IF(O737&gt;0,Q737/O737,"")</f>
        <v>0.310924369747899</v>
      </c>
      <c r="U737" s="84" t="n">
        <f aca="false">IF(O737&gt;0,O737,"")</f>
        <v>1190</v>
      </c>
    </row>
    <row r="738" customFormat="false" ht="15" hidden="false" customHeight="false" outlineLevel="0" collapsed="false">
      <c r="A738" s="81" t="s">
        <v>1381</v>
      </c>
      <c r="B738" s="82" t="n">
        <v>46092</v>
      </c>
      <c r="C738" s="81" t="s">
        <v>403</v>
      </c>
      <c r="D738" s="83" t="str">
        <f aca="false">IFERROR(INDEX(c_Name,MATCH($C738,c_ID,0)),"غير معرّف")</f>
        <v>ياسر المطيري</v>
      </c>
      <c r="E738" s="83" t="str">
        <f aca="false">IFERROR(INDEX(c_Region,MATCH($C738,c_ID,0)),"غير معرّف")</f>
        <v>الجنوبية</v>
      </c>
      <c r="F738" s="81" t="s">
        <v>168</v>
      </c>
      <c r="G738" s="83" t="str">
        <f aca="false">IFERROR(INDEX(p_Name,MATCH($F738,p_ID,0)),"غير معرّف")</f>
        <v>مكنسة كهربائية</v>
      </c>
      <c r="H738" s="83" t="str">
        <f aca="false">IFERROR(INDEX(p_Cat,MATCH($F738,p_ID,0)),"غير معرّف")</f>
        <v>أجهزة منزلية</v>
      </c>
      <c r="I738" s="81" t="s">
        <v>467</v>
      </c>
      <c r="J738" s="81" t="s">
        <v>91</v>
      </c>
      <c r="K738" s="81" t="n">
        <v>3</v>
      </c>
      <c r="L738" s="84" t="n">
        <f aca="false">IFERROR(INDEX(p_Price,MATCH($F738,p_ID,0)),0)</f>
        <v>650</v>
      </c>
      <c r="M738" s="85" t="n">
        <v>0</v>
      </c>
      <c r="N738" s="81" t="s">
        <v>644</v>
      </c>
      <c r="O738" s="84" t="n">
        <f aca="false">IF($N738="مرتجع",0,K738*L738*(1-M738))</f>
        <v>1950</v>
      </c>
      <c r="P738" s="84" t="n">
        <f aca="false">IF($N738="مرتجع",0,K738*IFERROR(INDEX(p_Cost,MATCH($F738,p_ID,0)),0))</f>
        <v>1260</v>
      </c>
      <c r="Q738" s="84" t="n">
        <f aca="false">O738-P738</f>
        <v>690</v>
      </c>
      <c r="R738" s="86" t="n">
        <f aca="false">DATE(YEAR(B738),MONTH(B738),1)</f>
        <v>46082</v>
      </c>
      <c r="S738" s="83" t="str">
        <f aca="false">YEAR(B738)&amp;"-Q"&amp;ROUNDUP(MONTH(B738)/3,0)</f>
        <v>2026-Q1</v>
      </c>
      <c r="T738" s="87" t="n">
        <f aca="false">IF(O738&gt;0,Q738/O738,"")</f>
        <v>0.353846153846154</v>
      </c>
      <c r="U738" s="84" t="n">
        <f aca="false">IF(O738&gt;0,O738,"")</f>
        <v>1950</v>
      </c>
    </row>
    <row r="739" customFormat="false" ht="15" hidden="false" customHeight="false" outlineLevel="0" collapsed="false">
      <c r="A739" s="81" t="s">
        <v>1382</v>
      </c>
      <c r="B739" s="82" t="n">
        <v>46092</v>
      </c>
      <c r="C739" s="81" t="s">
        <v>344</v>
      </c>
      <c r="D739" s="83" t="str">
        <f aca="false">IFERROR(INDEX(c_Name,MATCH($C739,c_ID,0)),"غير معرّف")</f>
        <v>خالد القحطاني</v>
      </c>
      <c r="E739" s="83" t="str">
        <f aca="false">IFERROR(INDEX(c_Region,MATCH($C739,c_ID,0)),"غير معرّف")</f>
        <v>الغربية</v>
      </c>
      <c r="F739" s="81" t="s">
        <v>185</v>
      </c>
      <c r="G739" s="83" t="str">
        <f aca="false">IFERROR(INDEX(p_Name,MATCH($F739,p_ID,0)),"غير معرّف")</f>
        <v>ماكينة حلاقة</v>
      </c>
      <c r="H739" s="83" t="str">
        <f aca="false">IFERROR(INDEX(p_Cat,MATCH($F739,p_ID,0)),"غير معرّف")</f>
        <v>عناية شخصية</v>
      </c>
      <c r="I739" s="81" t="s">
        <v>455</v>
      </c>
      <c r="J739" s="81" t="s">
        <v>91</v>
      </c>
      <c r="K739" s="81" t="n">
        <v>1</v>
      </c>
      <c r="L739" s="84" t="n">
        <f aca="false">IFERROR(INDEX(p_Price,MATCH($F739,p_ID,0)),0)</f>
        <v>340</v>
      </c>
      <c r="M739" s="85" t="n">
        <v>0</v>
      </c>
      <c r="N739" s="81" t="s">
        <v>644</v>
      </c>
      <c r="O739" s="84" t="n">
        <f aca="false">IF($N739="مرتجع",0,K739*L739*(1-M739))</f>
        <v>340</v>
      </c>
      <c r="P739" s="84" t="n">
        <f aca="false">IF($N739="مرتجع",0,K739*IFERROR(INDEX(p_Cost,MATCH($F739,p_ID,0)),0))</f>
        <v>170</v>
      </c>
      <c r="Q739" s="84" t="n">
        <f aca="false">O739-P739</f>
        <v>170</v>
      </c>
      <c r="R739" s="86" t="n">
        <f aca="false">DATE(YEAR(B739),MONTH(B739),1)</f>
        <v>46082</v>
      </c>
      <c r="S739" s="83" t="str">
        <f aca="false">YEAR(B739)&amp;"-Q"&amp;ROUNDUP(MONTH(B739)/3,0)</f>
        <v>2026-Q1</v>
      </c>
      <c r="T739" s="87" t="n">
        <f aca="false">IF(O739&gt;0,Q739/O739,"")</f>
        <v>0.5</v>
      </c>
      <c r="U739" s="84" t="n">
        <f aca="false">IF(O739&gt;0,O739,"")</f>
        <v>340</v>
      </c>
    </row>
    <row r="740" customFormat="false" ht="15" hidden="false" customHeight="false" outlineLevel="0" collapsed="false">
      <c r="A740" s="81" t="s">
        <v>1383</v>
      </c>
      <c r="B740" s="82" t="n">
        <v>46093</v>
      </c>
      <c r="C740" s="81" t="s">
        <v>410</v>
      </c>
      <c r="D740" s="83" t="str">
        <f aca="false">IFERROR(INDEX(c_Name,MATCH($C740,c_ID,0)),"غير معرّف")</f>
        <v>لمى الحربي</v>
      </c>
      <c r="E740" s="83" t="str">
        <f aca="false">IFERROR(INDEX(c_Region,MATCH($C740,c_ID,0)),"غير معرّف")</f>
        <v>الوسطى</v>
      </c>
      <c r="F740" s="81" t="s">
        <v>184</v>
      </c>
      <c r="G740" s="83" t="str">
        <f aca="false">IFERROR(INDEX(p_Name,MATCH($F740,p_ID,0)),"غير معرّف")</f>
        <v>عطر فاخر</v>
      </c>
      <c r="H740" s="83" t="str">
        <f aca="false">IFERROR(INDEX(p_Cat,MATCH($F740,p_ID,0)),"غير معرّف")</f>
        <v>عناية شخصية</v>
      </c>
      <c r="I740" s="81" t="s">
        <v>449</v>
      </c>
      <c r="J740" s="81" t="s">
        <v>91</v>
      </c>
      <c r="K740" s="81" t="n">
        <v>2</v>
      </c>
      <c r="L740" s="84" t="n">
        <f aca="false">IFERROR(INDEX(p_Price,MATCH($F740,p_ID,0)),0)</f>
        <v>520</v>
      </c>
      <c r="M740" s="85" t="n">
        <v>0</v>
      </c>
      <c r="N740" s="81" t="s">
        <v>644</v>
      </c>
      <c r="O740" s="84" t="n">
        <f aca="false">IF($N740="مرتجع",0,K740*L740*(1-M740))</f>
        <v>1040</v>
      </c>
      <c r="P740" s="84" t="n">
        <f aca="false">IF($N740="مرتجع",0,K740*IFERROR(INDEX(p_Cost,MATCH($F740,p_ID,0)),0))</f>
        <v>420</v>
      </c>
      <c r="Q740" s="84" t="n">
        <f aca="false">O740-P740</f>
        <v>620</v>
      </c>
      <c r="R740" s="86" t="n">
        <f aca="false">DATE(YEAR(B740),MONTH(B740),1)</f>
        <v>46082</v>
      </c>
      <c r="S740" s="83" t="str">
        <f aca="false">YEAR(B740)&amp;"-Q"&amp;ROUNDUP(MONTH(B740)/3,0)</f>
        <v>2026-Q1</v>
      </c>
      <c r="T740" s="87" t="n">
        <f aca="false">IF(O740&gt;0,Q740/O740,"")</f>
        <v>0.596153846153846</v>
      </c>
      <c r="U740" s="84" t="n">
        <f aca="false">IF(O740&gt;0,O740,"")</f>
        <v>1040</v>
      </c>
    </row>
    <row r="741" customFormat="false" ht="15" hidden="false" customHeight="false" outlineLevel="0" collapsed="false">
      <c r="A741" s="81" t="s">
        <v>1384</v>
      </c>
      <c r="B741" s="82" t="n">
        <v>46093</v>
      </c>
      <c r="C741" s="81" t="s">
        <v>274</v>
      </c>
      <c r="D741" s="83" t="str">
        <f aca="false">IFERROR(INDEX(c_Name,MATCH($C741,c_ID,0)),"غير معرّف")</f>
        <v>سلمان الغامدي</v>
      </c>
      <c r="E741" s="83" t="str">
        <f aca="false">IFERROR(INDEX(c_Region,MATCH($C741,c_ID,0)),"غير معرّف")</f>
        <v>الوسطى</v>
      </c>
      <c r="F741" s="81" t="s">
        <v>182</v>
      </c>
      <c r="G741" s="83" t="str">
        <f aca="false">IFERROR(INDEX(p_Name,MATCH($F741,p_ID,0)),"غير معرّف")</f>
        <v>طقم أوزان</v>
      </c>
      <c r="H741" s="83" t="str">
        <f aca="false">IFERROR(INDEX(p_Cat,MATCH($F741,p_ID,0)),"غير معرّف")</f>
        <v>رياضة</v>
      </c>
      <c r="I741" s="81" t="s">
        <v>449</v>
      </c>
      <c r="J741" s="81" t="s">
        <v>91</v>
      </c>
      <c r="K741" s="81" t="n">
        <v>5</v>
      </c>
      <c r="L741" s="84" t="n">
        <f aca="false">IFERROR(INDEX(p_Price,MATCH($F741,p_ID,0)),0)</f>
        <v>380</v>
      </c>
      <c r="M741" s="85" t="n">
        <v>0.1</v>
      </c>
      <c r="N741" s="81" t="s">
        <v>644</v>
      </c>
      <c r="O741" s="84" t="n">
        <f aca="false">IF($N741="مرتجع",0,K741*L741*(1-M741))</f>
        <v>1710</v>
      </c>
      <c r="P741" s="84" t="n">
        <f aca="false">IF($N741="مرتجع",0,K741*IFERROR(INDEX(p_Cost,MATCH($F741,p_ID,0)),0))</f>
        <v>1050</v>
      </c>
      <c r="Q741" s="84" t="n">
        <f aca="false">O741-P741</f>
        <v>660</v>
      </c>
      <c r="R741" s="86" t="n">
        <f aca="false">DATE(YEAR(B741),MONTH(B741),1)</f>
        <v>46082</v>
      </c>
      <c r="S741" s="83" t="str">
        <f aca="false">YEAR(B741)&amp;"-Q"&amp;ROUNDUP(MONTH(B741)/3,0)</f>
        <v>2026-Q1</v>
      </c>
      <c r="T741" s="87" t="n">
        <f aca="false">IF(O741&gt;0,Q741/O741,"")</f>
        <v>0.385964912280702</v>
      </c>
      <c r="U741" s="84" t="n">
        <f aca="false">IF(O741&gt;0,O741,"")</f>
        <v>1710</v>
      </c>
    </row>
    <row r="742" customFormat="false" ht="15" hidden="false" customHeight="false" outlineLevel="0" collapsed="false">
      <c r="A742" s="81" t="s">
        <v>1385</v>
      </c>
      <c r="B742" s="82" t="n">
        <v>46093</v>
      </c>
      <c r="C742" s="81" t="s">
        <v>294</v>
      </c>
      <c r="D742" s="83" t="str">
        <f aca="false">IFERROR(INDEX(c_Name,MATCH($C742,c_ID,0)),"غير معرّف")</f>
        <v>خالد البلوي</v>
      </c>
      <c r="E742" s="83" t="str">
        <f aca="false">IFERROR(INDEX(c_Region,MATCH($C742,c_ID,0)),"غير معرّف")</f>
        <v>الوسطى</v>
      </c>
      <c r="F742" s="81" t="s">
        <v>177</v>
      </c>
      <c r="G742" s="83" t="str">
        <f aca="false">IFERROR(INDEX(p_Name,MATCH($F742,p_ID,0)),"غير معرّف")</f>
        <v>ورق A4 (صندوق)</v>
      </c>
      <c r="H742" s="83" t="str">
        <f aca="false">IFERROR(INDEX(p_Cat,MATCH($F742,p_ID,0)),"غير معرّف")</f>
        <v>مستلزمات مكتبية</v>
      </c>
      <c r="I742" s="81" t="s">
        <v>446</v>
      </c>
      <c r="J742" s="81" t="s">
        <v>95</v>
      </c>
      <c r="K742" s="81" t="n">
        <v>24</v>
      </c>
      <c r="L742" s="84" t="n">
        <f aca="false">IFERROR(INDEX(p_Price,MATCH($F742,p_ID,0)),0)</f>
        <v>140</v>
      </c>
      <c r="M742" s="85" t="n">
        <v>0.1</v>
      </c>
      <c r="N742" s="81" t="s">
        <v>644</v>
      </c>
      <c r="O742" s="84" t="n">
        <f aca="false">IF($N742="مرتجع",0,K742*L742*(1-M742))</f>
        <v>3024</v>
      </c>
      <c r="P742" s="84" t="n">
        <f aca="false">IF($N742="مرتجع",0,K742*IFERROR(INDEX(p_Cost,MATCH($F742,p_ID,0)),0))</f>
        <v>2280</v>
      </c>
      <c r="Q742" s="84" t="n">
        <f aca="false">O742-P742</f>
        <v>744</v>
      </c>
      <c r="R742" s="86" t="n">
        <f aca="false">DATE(YEAR(B742),MONTH(B742),1)</f>
        <v>46082</v>
      </c>
      <c r="S742" s="83" t="str">
        <f aca="false">YEAR(B742)&amp;"-Q"&amp;ROUNDUP(MONTH(B742)/3,0)</f>
        <v>2026-Q1</v>
      </c>
      <c r="T742" s="87" t="n">
        <f aca="false">IF(O742&gt;0,Q742/O742,"")</f>
        <v>0.246031746031746</v>
      </c>
      <c r="U742" s="84" t="n">
        <f aca="false">IF(O742&gt;0,O742,"")</f>
        <v>3024</v>
      </c>
    </row>
    <row r="743" customFormat="false" ht="15" hidden="false" customHeight="false" outlineLevel="0" collapsed="false">
      <c r="A743" s="81" t="s">
        <v>1386</v>
      </c>
      <c r="B743" s="82" t="n">
        <v>46093</v>
      </c>
      <c r="C743" s="81" t="s">
        <v>388</v>
      </c>
      <c r="D743" s="83" t="str">
        <f aca="false">IFERROR(INDEX(c_Name,MATCH($C743,c_ID,0)),"غير معرّف")</f>
        <v>منى الخالدي</v>
      </c>
      <c r="E743" s="83" t="str">
        <f aca="false">IFERROR(INDEX(c_Region,MATCH($C743,c_ID,0)),"غير معرّف")</f>
        <v>الجنوبية</v>
      </c>
      <c r="F743" s="81" t="s">
        <v>169</v>
      </c>
      <c r="G743" s="83" t="str">
        <f aca="false">IFERROR(INDEX(p_Name,MATCH($F743,p_ID,0)),"غير معرّف")</f>
        <v>خلاط</v>
      </c>
      <c r="H743" s="83" t="str">
        <f aca="false">IFERROR(INDEX(p_Cat,MATCH($F743,p_ID,0)),"غير معرّف")</f>
        <v>أجهزة منزلية</v>
      </c>
      <c r="I743" s="81" t="s">
        <v>465</v>
      </c>
      <c r="J743" s="81" t="s">
        <v>93</v>
      </c>
      <c r="K743" s="81" t="n">
        <v>4</v>
      </c>
      <c r="L743" s="84" t="n">
        <f aca="false">IFERROR(INDEX(p_Price,MATCH($F743,p_ID,0)),0)</f>
        <v>300</v>
      </c>
      <c r="M743" s="85" t="n">
        <v>0.2</v>
      </c>
      <c r="N743" s="81" t="s">
        <v>644</v>
      </c>
      <c r="O743" s="84" t="n">
        <f aca="false">IF($N743="مرتجع",0,K743*L743*(1-M743))</f>
        <v>960</v>
      </c>
      <c r="P743" s="84" t="n">
        <f aca="false">IF($N743="مرتجع",0,K743*IFERROR(INDEX(p_Cost,MATCH($F743,p_ID,0)),0))</f>
        <v>700</v>
      </c>
      <c r="Q743" s="84" t="n">
        <f aca="false">O743-P743</f>
        <v>260</v>
      </c>
      <c r="R743" s="86" t="n">
        <f aca="false">DATE(YEAR(B743),MONTH(B743),1)</f>
        <v>46082</v>
      </c>
      <c r="S743" s="83" t="str">
        <f aca="false">YEAR(B743)&amp;"-Q"&amp;ROUNDUP(MONTH(B743)/3,0)</f>
        <v>2026-Q1</v>
      </c>
      <c r="T743" s="87" t="n">
        <f aca="false">IF(O743&gt;0,Q743/O743,"")</f>
        <v>0.270833333333333</v>
      </c>
      <c r="U743" s="84" t="n">
        <f aca="false">IF(O743&gt;0,O743,"")</f>
        <v>960</v>
      </c>
    </row>
    <row r="744" customFormat="false" ht="15" hidden="false" customHeight="false" outlineLevel="0" collapsed="false">
      <c r="A744" s="81" t="s">
        <v>1387</v>
      </c>
      <c r="B744" s="82" t="n">
        <v>46094</v>
      </c>
      <c r="C744" s="81" t="s">
        <v>315</v>
      </c>
      <c r="D744" s="83" t="str">
        <f aca="false">IFERROR(INDEX(c_Name,MATCH($C744,c_ID,0)),"غير معرّف")</f>
        <v>أحمد الحربي</v>
      </c>
      <c r="E744" s="83" t="str">
        <f aca="false">IFERROR(INDEX(c_Region,MATCH($C744,c_ID,0)),"غير معرّف")</f>
        <v>الغربية</v>
      </c>
      <c r="F744" s="81" t="s">
        <v>167</v>
      </c>
      <c r="G744" s="83" t="str">
        <f aca="false">IFERROR(INDEX(p_Name,MATCH($F744,p_ID,0)),"غير معرّف")</f>
        <v>شاشة 27 بوصة</v>
      </c>
      <c r="H744" s="83" t="str">
        <f aca="false">IFERROR(INDEX(p_Cat,MATCH($F744,p_ID,0)),"غير معرّف")</f>
        <v>إلكترونيات</v>
      </c>
      <c r="I744" s="81" t="s">
        <v>455</v>
      </c>
      <c r="J744" s="81" t="s">
        <v>95</v>
      </c>
      <c r="K744" s="81" t="n">
        <v>19</v>
      </c>
      <c r="L744" s="84" t="n">
        <f aca="false">IFERROR(INDEX(p_Price,MATCH($F744,p_ID,0)),0)</f>
        <v>1100</v>
      </c>
      <c r="M744" s="85" t="n">
        <v>0.2</v>
      </c>
      <c r="N744" s="81" t="s">
        <v>644</v>
      </c>
      <c r="O744" s="84" t="n">
        <f aca="false">IF($N744="مرتجع",0,K744*L744*(1-M744))</f>
        <v>16720</v>
      </c>
      <c r="P744" s="84" t="n">
        <f aca="false">IF($N744="مرتجع",0,K744*IFERROR(INDEX(p_Cost,MATCH($F744,p_ID,0)),0))</f>
        <v>14820</v>
      </c>
      <c r="Q744" s="84" t="n">
        <f aca="false">O744-P744</f>
        <v>1900</v>
      </c>
      <c r="R744" s="86" t="n">
        <f aca="false">DATE(YEAR(B744),MONTH(B744),1)</f>
        <v>46082</v>
      </c>
      <c r="S744" s="83" t="str">
        <f aca="false">YEAR(B744)&amp;"-Q"&amp;ROUNDUP(MONTH(B744)/3,0)</f>
        <v>2026-Q1</v>
      </c>
      <c r="T744" s="87" t="n">
        <f aca="false">IF(O744&gt;0,Q744/O744,"")</f>
        <v>0.113636363636364</v>
      </c>
      <c r="U744" s="84" t="n">
        <f aca="false">IF(O744&gt;0,O744,"")</f>
        <v>16720</v>
      </c>
    </row>
    <row r="745" customFormat="false" ht="15" hidden="false" customHeight="false" outlineLevel="0" collapsed="false">
      <c r="A745" s="81" t="s">
        <v>1388</v>
      </c>
      <c r="B745" s="82" t="n">
        <v>46094</v>
      </c>
      <c r="C745" s="81" t="s">
        <v>371</v>
      </c>
      <c r="D745" s="83" t="str">
        <f aca="false">IFERROR(INDEX(c_Name,MATCH($C745,c_ID,0)),"غير معرّف")</f>
        <v>جود العنزي</v>
      </c>
      <c r="E745" s="83" t="str">
        <f aca="false">IFERROR(INDEX(c_Region,MATCH($C745,c_ID,0)),"غير معرّف")</f>
        <v>الشرقية</v>
      </c>
      <c r="F745" s="81" t="s">
        <v>185</v>
      </c>
      <c r="G745" s="83" t="str">
        <f aca="false">IFERROR(INDEX(p_Name,MATCH($F745,p_ID,0)),"غير معرّف")</f>
        <v>ماكينة حلاقة</v>
      </c>
      <c r="H745" s="83" t="str">
        <f aca="false">IFERROR(INDEX(p_Cat,MATCH($F745,p_ID,0)),"غير معرّف")</f>
        <v>عناية شخصية</v>
      </c>
      <c r="I745" s="81" t="s">
        <v>461</v>
      </c>
      <c r="J745" s="81" t="s">
        <v>93</v>
      </c>
      <c r="K745" s="81" t="n">
        <v>1</v>
      </c>
      <c r="L745" s="84" t="n">
        <f aca="false">IFERROR(INDEX(p_Price,MATCH($F745,p_ID,0)),0)</f>
        <v>340</v>
      </c>
      <c r="M745" s="85" t="n">
        <v>0.15</v>
      </c>
      <c r="N745" s="81" t="s">
        <v>644</v>
      </c>
      <c r="O745" s="84" t="n">
        <f aca="false">IF($N745="مرتجع",0,K745*L745*(1-M745))</f>
        <v>289</v>
      </c>
      <c r="P745" s="84" t="n">
        <f aca="false">IF($N745="مرتجع",0,K745*IFERROR(INDEX(p_Cost,MATCH($F745,p_ID,0)),0))</f>
        <v>170</v>
      </c>
      <c r="Q745" s="84" t="n">
        <f aca="false">O745-P745</f>
        <v>119</v>
      </c>
      <c r="R745" s="86" t="n">
        <f aca="false">DATE(YEAR(B745),MONTH(B745),1)</f>
        <v>46082</v>
      </c>
      <c r="S745" s="83" t="str">
        <f aca="false">YEAR(B745)&amp;"-Q"&amp;ROUNDUP(MONTH(B745)/3,0)</f>
        <v>2026-Q1</v>
      </c>
      <c r="T745" s="87" t="n">
        <f aca="false">IF(O745&gt;0,Q745/O745,"")</f>
        <v>0.411764705882353</v>
      </c>
      <c r="U745" s="84" t="n">
        <f aca="false">IF(O745&gt;0,O745,"")</f>
        <v>289</v>
      </c>
    </row>
    <row r="746" customFormat="false" ht="15" hidden="false" customHeight="false" outlineLevel="0" collapsed="false">
      <c r="A746" s="81" t="s">
        <v>1389</v>
      </c>
      <c r="B746" s="82" t="n">
        <v>46094</v>
      </c>
      <c r="C746" s="81" t="s">
        <v>236</v>
      </c>
      <c r="D746" s="83" t="str">
        <f aca="false">IFERROR(INDEX(c_Name,MATCH($C746,c_ID,0)),"غير معرّف")</f>
        <v>ناصر البلوي</v>
      </c>
      <c r="E746" s="83" t="str">
        <f aca="false">IFERROR(INDEX(c_Region,MATCH($C746,c_ID,0)),"غير معرّف")</f>
        <v>الوسطى</v>
      </c>
      <c r="F746" s="81" t="s">
        <v>166</v>
      </c>
      <c r="G746" s="83" t="str">
        <f aca="false">IFERROR(INDEX(p_Name,MATCH($F746,p_ID,0)),"غير معرّف")</f>
        <v>سماعات لاسلكية</v>
      </c>
      <c r="H746" s="83" t="str">
        <f aca="false">IFERROR(INDEX(p_Cat,MATCH($F746,p_ID,0)),"غير معرّف")</f>
        <v>إلكترونيات</v>
      </c>
      <c r="I746" s="81" t="s">
        <v>446</v>
      </c>
      <c r="J746" s="81" t="s">
        <v>91</v>
      </c>
      <c r="K746" s="81" t="n">
        <v>1</v>
      </c>
      <c r="L746" s="84" t="n">
        <f aca="false">IFERROR(INDEX(p_Price,MATCH($F746,p_ID,0)),0)</f>
        <v>450</v>
      </c>
      <c r="M746" s="85" t="n">
        <v>0.05</v>
      </c>
      <c r="N746" s="81" t="s">
        <v>644</v>
      </c>
      <c r="O746" s="84" t="n">
        <f aca="false">IF($N746="مرتجع",0,K746*L746*(1-M746))</f>
        <v>427.5</v>
      </c>
      <c r="P746" s="84" t="n">
        <f aca="false">IF($N746="مرتجع",0,K746*IFERROR(INDEX(p_Cost,MATCH($F746,p_ID,0)),0))</f>
        <v>260</v>
      </c>
      <c r="Q746" s="84" t="n">
        <f aca="false">O746-P746</f>
        <v>167.5</v>
      </c>
      <c r="R746" s="86" t="n">
        <f aca="false">DATE(YEAR(B746),MONTH(B746),1)</f>
        <v>46082</v>
      </c>
      <c r="S746" s="83" t="str">
        <f aca="false">YEAR(B746)&amp;"-Q"&amp;ROUNDUP(MONTH(B746)/3,0)</f>
        <v>2026-Q1</v>
      </c>
      <c r="T746" s="87" t="n">
        <f aca="false">IF(O746&gt;0,Q746/O746,"")</f>
        <v>0.391812865497076</v>
      </c>
      <c r="U746" s="84" t="n">
        <f aca="false">IF(O746&gt;0,O746,"")</f>
        <v>427.5</v>
      </c>
    </row>
    <row r="747" customFormat="false" ht="15" hidden="false" customHeight="false" outlineLevel="0" collapsed="false">
      <c r="A747" s="81" t="s">
        <v>1390</v>
      </c>
      <c r="B747" s="82" t="n">
        <v>46095</v>
      </c>
      <c r="C747" s="81" t="s">
        <v>376</v>
      </c>
      <c r="D747" s="83" t="str">
        <f aca="false">IFERROR(INDEX(c_Name,MATCH($C747,c_ID,0)),"غير معرّف")</f>
        <v>لمى السبيعي</v>
      </c>
      <c r="E747" s="83" t="str">
        <f aca="false">IFERROR(INDEX(c_Region,MATCH($C747,c_ID,0)),"غير معرّف")</f>
        <v>الشرقية</v>
      </c>
      <c r="F747" s="81" t="s">
        <v>184</v>
      </c>
      <c r="G747" s="83" t="str">
        <f aca="false">IFERROR(INDEX(p_Name,MATCH($F747,p_ID,0)),"غير معرّف")</f>
        <v>عطر فاخر</v>
      </c>
      <c r="H747" s="83" t="str">
        <f aca="false">IFERROR(INDEX(p_Cat,MATCH($F747,p_ID,0)),"غير معرّف")</f>
        <v>عناية شخصية</v>
      </c>
      <c r="I747" s="81" t="s">
        <v>461</v>
      </c>
      <c r="J747" s="81" t="s">
        <v>91</v>
      </c>
      <c r="K747" s="81" t="n">
        <v>2</v>
      </c>
      <c r="L747" s="84" t="n">
        <f aca="false">IFERROR(INDEX(p_Price,MATCH($F747,p_ID,0)),0)</f>
        <v>520</v>
      </c>
      <c r="M747" s="85" t="n">
        <v>0</v>
      </c>
      <c r="N747" s="81" t="s">
        <v>644</v>
      </c>
      <c r="O747" s="84" t="n">
        <f aca="false">IF($N747="مرتجع",0,K747*L747*(1-M747))</f>
        <v>1040</v>
      </c>
      <c r="P747" s="84" t="n">
        <f aca="false">IF($N747="مرتجع",0,K747*IFERROR(INDEX(p_Cost,MATCH($F747,p_ID,0)),0))</f>
        <v>420</v>
      </c>
      <c r="Q747" s="84" t="n">
        <f aca="false">O747-P747</f>
        <v>620</v>
      </c>
      <c r="R747" s="86" t="n">
        <f aca="false">DATE(YEAR(B747),MONTH(B747),1)</f>
        <v>46082</v>
      </c>
      <c r="S747" s="83" t="str">
        <f aca="false">YEAR(B747)&amp;"-Q"&amp;ROUNDUP(MONTH(B747)/3,0)</f>
        <v>2026-Q1</v>
      </c>
      <c r="T747" s="87" t="n">
        <f aca="false">IF(O747&gt;0,Q747/O747,"")</f>
        <v>0.596153846153846</v>
      </c>
      <c r="U747" s="84" t="n">
        <f aca="false">IF(O747&gt;0,O747,"")</f>
        <v>1040</v>
      </c>
    </row>
    <row r="748" customFormat="false" ht="15" hidden="false" customHeight="false" outlineLevel="0" collapsed="false">
      <c r="A748" s="81" t="s">
        <v>1391</v>
      </c>
      <c r="B748" s="82" t="n">
        <v>46095</v>
      </c>
      <c r="C748" s="81" t="s">
        <v>296</v>
      </c>
      <c r="D748" s="83" t="str">
        <f aca="false">IFERROR(INDEX(c_Name,MATCH($C748,c_ID,0)),"غير معرّف")</f>
        <v>محمد الزهراني</v>
      </c>
      <c r="E748" s="83" t="str">
        <f aca="false">IFERROR(INDEX(c_Region,MATCH($C748,c_ID,0)),"غير معرّف")</f>
        <v>الغربية</v>
      </c>
      <c r="F748" s="81" t="s">
        <v>173</v>
      </c>
      <c r="G748" s="83" t="str">
        <f aca="false">IFERROR(INDEX(p_Name,MATCH($F748,p_ID,0)),"غير معرّف")</f>
        <v>كرسي مريح</v>
      </c>
      <c r="H748" s="83" t="str">
        <f aca="false">IFERROR(INDEX(p_Cat,MATCH($F748,p_ID,0)),"غير معرّف")</f>
        <v>أثاث</v>
      </c>
      <c r="I748" s="81" t="s">
        <v>458</v>
      </c>
      <c r="J748" s="81" t="s">
        <v>93</v>
      </c>
      <c r="K748" s="81" t="n">
        <v>2</v>
      </c>
      <c r="L748" s="84" t="n">
        <f aca="false">IFERROR(INDEX(p_Price,MATCH($F748,p_ID,0)),0)</f>
        <v>850</v>
      </c>
      <c r="M748" s="85" t="n">
        <v>0.1</v>
      </c>
      <c r="N748" s="81" t="s">
        <v>644</v>
      </c>
      <c r="O748" s="84" t="n">
        <f aca="false">IF($N748="مرتجع",0,K748*L748*(1-M748))</f>
        <v>1530</v>
      </c>
      <c r="P748" s="84" t="n">
        <f aca="false">IF($N748="مرتجع",0,K748*IFERROR(INDEX(p_Cost,MATCH($F748,p_ID,0)),0))</f>
        <v>960</v>
      </c>
      <c r="Q748" s="84" t="n">
        <f aca="false">O748-P748</f>
        <v>570</v>
      </c>
      <c r="R748" s="86" t="n">
        <f aca="false">DATE(YEAR(B748),MONTH(B748),1)</f>
        <v>46082</v>
      </c>
      <c r="S748" s="83" t="str">
        <f aca="false">YEAR(B748)&amp;"-Q"&amp;ROUNDUP(MONTH(B748)/3,0)</f>
        <v>2026-Q1</v>
      </c>
      <c r="T748" s="87" t="n">
        <f aca="false">IF(O748&gt;0,Q748/O748,"")</f>
        <v>0.372549019607843</v>
      </c>
      <c r="U748" s="84" t="n">
        <f aca="false">IF(O748&gt;0,O748,"")</f>
        <v>1530</v>
      </c>
    </row>
    <row r="749" customFormat="false" ht="15" hidden="false" customHeight="false" outlineLevel="0" collapsed="false">
      <c r="A749" s="81" t="s">
        <v>1392</v>
      </c>
      <c r="B749" s="82" t="n">
        <v>46095</v>
      </c>
      <c r="C749" s="81" t="s">
        <v>371</v>
      </c>
      <c r="D749" s="83" t="str">
        <f aca="false">IFERROR(INDEX(c_Name,MATCH($C749,c_ID,0)),"غير معرّف")</f>
        <v>جود العنزي</v>
      </c>
      <c r="E749" s="83" t="str">
        <f aca="false">IFERROR(INDEX(c_Region,MATCH($C749,c_ID,0)),"غير معرّف")</f>
        <v>الشرقية</v>
      </c>
      <c r="F749" s="81" t="s">
        <v>181</v>
      </c>
      <c r="G749" s="83" t="str">
        <f aca="false">IFERROR(INDEX(p_Name,MATCH($F749,p_ID,0)),"غير معرّف")</f>
        <v>دراجة ثابتة</v>
      </c>
      <c r="H749" s="83" t="str">
        <f aca="false">IFERROR(INDEX(p_Cat,MATCH($F749,p_ID,0)),"غير معرّف")</f>
        <v>رياضة</v>
      </c>
      <c r="I749" s="81" t="s">
        <v>461</v>
      </c>
      <c r="J749" s="81" t="s">
        <v>91</v>
      </c>
      <c r="K749" s="81" t="n">
        <v>1</v>
      </c>
      <c r="L749" s="84" t="n">
        <f aca="false">IFERROR(INDEX(p_Price,MATCH($F749,p_ID,0)),0)</f>
        <v>1800</v>
      </c>
      <c r="M749" s="85" t="n">
        <v>0.1</v>
      </c>
      <c r="N749" s="81" t="s">
        <v>644</v>
      </c>
      <c r="O749" s="84" t="n">
        <f aca="false">IF($N749="مرتجع",0,K749*L749*(1-M749))</f>
        <v>1620</v>
      </c>
      <c r="P749" s="84" t="n">
        <f aca="false">IF($N749="مرتجع",0,K749*IFERROR(INDEX(p_Cost,MATCH($F749,p_ID,0)),0))</f>
        <v>1200</v>
      </c>
      <c r="Q749" s="84" t="n">
        <f aca="false">O749-P749</f>
        <v>420</v>
      </c>
      <c r="R749" s="86" t="n">
        <f aca="false">DATE(YEAR(B749),MONTH(B749),1)</f>
        <v>46082</v>
      </c>
      <c r="S749" s="83" t="str">
        <f aca="false">YEAR(B749)&amp;"-Q"&amp;ROUNDUP(MONTH(B749)/3,0)</f>
        <v>2026-Q1</v>
      </c>
      <c r="T749" s="87" t="n">
        <f aca="false">IF(O749&gt;0,Q749/O749,"")</f>
        <v>0.259259259259259</v>
      </c>
      <c r="U749" s="84" t="n">
        <f aca="false">IF(O749&gt;0,O749,"")</f>
        <v>1620</v>
      </c>
    </row>
    <row r="750" customFormat="false" ht="15" hidden="false" customHeight="false" outlineLevel="0" collapsed="false">
      <c r="A750" s="81" t="s">
        <v>1393</v>
      </c>
      <c r="B750" s="82" t="n">
        <v>46096</v>
      </c>
      <c r="C750" s="81" t="s">
        <v>264</v>
      </c>
      <c r="D750" s="83" t="str">
        <f aca="false">IFERROR(INDEX(c_Name,MATCH($C750,c_ID,0)),"غير معرّف")</f>
        <v>عبدالله التميمي</v>
      </c>
      <c r="E750" s="83" t="str">
        <f aca="false">IFERROR(INDEX(c_Region,MATCH($C750,c_ID,0)),"غير معرّف")</f>
        <v>الوسطى</v>
      </c>
      <c r="F750" s="81" t="s">
        <v>184</v>
      </c>
      <c r="G750" s="83" t="str">
        <f aca="false">IFERROR(INDEX(p_Name,MATCH($F750,p_ID,0)),"غير معرّف")</f>
        <v>عطر فاخر</v>
      </c>
      <c r="H750" s="83" t="str">
        <f aca="false">IFERROR(INDEX(p_Cat,MATCH($F750,p_ID,0)),"غير معرّف")</f>
        <v>عناية شخصية</v>
      </c>
      <c r="I750" s="81" t="s">
        <v>443</v>
      </c>
      <c r="J750" s="81" t="s">
        <v>93</v>
      </c>
      <c r="K750" s="81" t="n">
        <v>3</v>
      </c>
      <c r="L750" s="84" t="n">
        <f aca="false">IFERROR(INDEX(p_Price,MATCH($F750,p_ID,0)),0)</f>
        <v>520</v>
      </c>
      <c r="M750" s="85" t="n">
        <v>0.05</v>
      </c>
      <c r="N750" s="81" t="s">
        <v>644</v>
      </c>
      <c r="O750" s="84" t="n">
        <f aca="false">IF($N750="مرتجع",0,K750*L750*(1-M750))</f>
        <v>1482</v>
      </c>
      <c r="P750" s="84" t="n">
        <f aca="false">IF($N750="مرتجع",0,K750*IFERROR(INDEX(p_Cost,MATCH($F750,p_ID,0)),0))</f>
        <v>630</v>
      </c>
      <c r="Q750" s="84" t="n">
        <f aca="false">O750-P750</f>
        <v>852</v>
      </c>
      <c r="R750" s="86" t="n">
        <f aca="false">DATE(YEAR(B750),MONTH(B750),1)</f>
        <v>46082</v>
      </c>
      <c r="S750" s="83" t="str">
        <f aca="false">YEAR(B750)&amp;"-Q"&amp;ROUNDUP(MONTH(B750)/3,0)</f>
        <v>2026-Q1</v>
      </c>
      <c r="T750" s="87" t="n">
        <f aca="false">IF(O750&gt;0,Q750/O750,"")</f>
        <v>0.574898785425101</v>
      </c>
      <c r="U750" s="84" t="n">
        <f aca="false">IF(O750&gt;0,O750,"")</f>
        <v>1482</v>
      </c>
    </row>
    <row r="751" customFormat="false" ht="15" hidden="false" customHeight="false" outlineLevel="0" collapsed="false">
      <c r="A751" s="81" t="s">
        <v>1394</v>
      </c>
      <c r="B751" s="82" t="n">
        <v>46096</v>
      </c>
      <c r="C751" s="81" t="s">
        <v>322</v>
      </c>
      <c r="D751" s="83" t="str">
        <f aca="false">IFERROR(INDEX(c_Name,MATCH($C751,c_ID,0)),"غير معرّف")</f>
        <v>نورة البلوي</v>
      </c>
      <c r="E751" s="83" t="str">
        <f aca="false">IFERROR(INDEX(c_Region,MATCH($C751,c_ID,0)),"غير معرّف")</f>
        <v>الغربية</v>
      </c>
      <c r="F751" s="81" t="s">
        <v>179</v>
      </c>
      <c r="G751" s="83" t="str">
        <f aca="false">IFERROR(INDEX(p_Name,MATCH($F751,p_ID,0)),"غير معرّف")</f>
        <v>طقم أدوات مكتبية</v>
      </c>
      <c r="H751" s="83" t="str">
        <f aca="false">IFERROR(INDEX(p_Cat,MATCH($F751,p_ID,0)),"غير معرّف")</f>
        <v>مستلزمات مكتبية</v>
      </c>
      <c r="I751" s="81" t="s">
        <v>452</v>
      </c>
      <c r="J751" s="81" t="s">
        <v>93</v>
      </c>
      <c r="K751" s="81" t="n">
        <v>1</v>
      </c>
      <c r="L751" s="84" t="n">
        <f aca="false">IFERROR(INDEX(p_Price,MATCH($F751,p_ID,0)),0)</f>
        <v>90</v>
      </c>
      <c r="M751" s="85" t="n">
        <v>0</v>
      </c>
      <c r="N751" s="81" t="s">
        <v>650</v>
      </c>
      <c r="O751" s="84" t="n">
        <f aca="false">IF($N751="مرتجع",0,K751*L751*(1-M751))</f>
        <v>0</v>
      </c>
      <c r="P751" s="84" t="n">
        <f aca="false">IF($N751="مرتجع",0,K751*IFERROR(INDEX(p_Cost,MATCH($F751,p_ID,0)),0))</f>
        <v>0</v>
      </c>
      <c r="Q751" s="84" t="n">
        <f aca="false">O751-P751</f>
        <v>0</v>
      </c>
      <c r="R751" s="86" t="n">
        <f aca="false">DATE(YEAR(B751),MONTH(B751),1)</f>
        <v>46082</v>
      </c>
      <c r="S751" s="83" t="str">
        <f aca="false">YEAR(B751)&amp;"-Q"&amp;ROUNDUP(MONTH(B751)/3,0)</f>
        <v>2026-Q1</v>
      </c>
      <c r="T751" s="87" t="str">
        <f aca="false">IF(O751&gt;0,Q751/O751,"")</f>
        <v/>
      </c>
      <c r="U751" s="84" t="str">
        <f aca="false">IF(O751&gt;0,O751,"")</f>
        <v/>
      </c>
    </row>
    <row r="752" customFormat="false" ht="15" hidden="false" customHeight="false" outlineLevel="0" collapsed="false">
      <c r="A752" s="81" t="s">
        <v>1395</v>
      </c>
      <c r="B752" s="82" t="n">
        <v>46096</v>
      </c>
      <c r="C752" s="81" t="s">
        <v>265</v>
      </c>
      <c r="D752" s="83" t="str">
        <f aca="false">IFERROR(INDEX(c_Name,MATCH($C752,c_ID,0)),"غير معرّف")</f>
        <v>منى العنزي</v>
      </c>
      <c r="E752" s="83" t="str">
        <f aca="false">IFERROR(INDEX(c_Region,MATCH($C752,c_ID,0)),"غير معرّف")</f>
        <v>الشرقية</v>
      </c>
      <c r="F752" s="81" t="s">
        <v>187</v>
      </c>
      <c r="G752" s="83" t="str">
        <f aca="false">IFERROR(INDEX(p_Name,MATCH($F752,p_ID,0)),"غير معرّف")</f>
        <v>جهاز تدليك</v>
      </c>
      <c r="H752" s="83" t="str">
        <f aca="false">IFERROR(INDEX(p_Cat,MATCH($F752,p_ID,0)),"غير معرّف")</f>
        <v>عناية شخصية</v>
      </c>
      <c r="I752" s="81" t="s">
        <v>461</v>
      </c>
      <c r="J752" s="81" t="s">
        <v>91</v>
      </c>
      <c r="K752" s="81" t="n">
        <v>3</v>
      </c>
      <c r="L752" s="84" t="n">
        <f aca="false">IFERROR(INDEX(p_Price,MATCH($F752,p_ID,0)),0)</f>
        <v>600</v>
      </c>
      <c r="M752" s="85" t="n">
        <v>0.15</v>
      </c>
      <c r="N752" s="81" t="s">
        <v>644</v>
      </c>
      <c r="O752" s="84" t="n">
        <f aca="false">IF($N752="مرتجع",0,K752*L752*(1-M752))</f>
        <v>1530</v>
      </c>
      <c r="P752" s="84" t="n">
        <f aca="false">IF($N752="مرتجع",0,K752*IFERROR(INDEX(p_Cost,MATCH($F752,p_ID,0)),0))</f>
        <v>990</v>
      </c>
      <c r="Q752" s="84" t="n">
        <f aca="false">O752-P752</f>
        <v>540</v>
      </c>
      <c r="R752" s="86" t="n">
        <f aca="false">DATE(YEAR(B752),MONTH(B752),1)</f>
        <v>46082</v>
      </c>
      <c r="S752" s="83" t="str">
        <f aca="false">YEAR(B752)&amp;"-Q"&amp;ROUNDUP(MONTH(B752)/3,0)</f>
        <v>2026-Q1</v>
      </c>
      <c r="T752" s="87" t="n">
        <f aca="false">IF(O752&gt;0,Q752/O752,"")</f>
        <v>0.352941176470588</v>
      </c>
      <c r="U752" s="84" t="n">
        <f aca="false">IF(O752&gt;0,O752,"")</f>
        <v>1530</v>
      </c>
    </row>
    <row r="753" customFormat="false" ht="15" hidden="false" customHeight="false" outlineLevel="0" collapsed="false">
      <c r="A753" s="81" t="s">
        <v>1396</v>
      </c>
      <c r="B753" s="82" t="n">
        <v>46096</v>
      </c>
      <c r="C753" s="81" t="s">
        <v>410</v>
      </c>
      <c r="D753" s="83" t="str">
        <f aca="false">IFERROR(INDEX(c_Name,MATCH($C753,c_ID,0)),"غير معرّف")</f>
        <v>لمى الحربي</v>
      </c>
      <c r="E753" s="83" t="str">
        <f aca="false">IFERROR(INDEX(c_Region,MATCH($C753,c_ID,0)),"غير معرّف")</f>
        <v>الوسطى</v>
      </c>
      <c r="F753" s="81" t="s">
        <v>178</v>
      </c>
      <c r="G753" s="83" t="str">
        <f aca="false">IFERROR(INDEX(p_Name,MATCH($F753,p_ID,0)),"غير معرّف")</f>
        <v>حقيبة لابتوب</v>
      </c>
      <c r="H753" s="83" t="str">
        <f aca="false">IFERROR(INDEX(p_Cat,MATCH($F753,p_ID,0)),"غير معرّف")</f>
        <v>مستلزمات مكتبية</v>
      </c>
      <c r="I753" s="81" t="s">
        <v>443</v>
      </c>
      <c r="J753" s="81" t="s">
        <v>91</v>
      </c>
      <c r="K753" s="81" t="n">
        <v>3</v>
      </c>
      <c r="L753" s="84" t="n">
        <f aca="false">IFERROR(INDEX(p_Price,MATCH($F753,p_ID,0)),0)</f>
        <v>260</v>
      </c>
      <c r="M753" s="85" t="n">
        <v>0</v>
      </c>
      <c r="N753" s="81" t="s">
        <v>644</v>
      </c>
      <c r="O753" s="84" t="n">
        <f aca="false">IF($N753="مرتجع",0,K753*L753*(1-M753))</f>
        <v>780</v>
      </c>
      <c r="P753" s="84" t="n">
        <f aca="false">IF($N753="مرتجع",0,K753*IFERROR(INDEX(p_Cost,MATCH($F753,p_ID,0)),0))</f>
        <v>360</v>
      </c>
      <c r="Q753" s="84" t="n">
        <f aca="false">O753-P753</f>
        <v>420</v>
      </c>
      <c r="R753" s="86" t="n">
        <f aca="false">DATE(YEAR(B753),MONTH(B753),1)</f>
        <v>46082</v>
      </c>
      <c r="S753" s="83" t="str">
        <f aca="false">YEAR(B753)&amp;"-Q"&amp;ROUNDUP(MONTH(B753)/3,0)</f>
        <v>2026-Q1</v>
      </c>
      <c r="T753" s="87" t="n">
        <f aca="false">IF(O753&gt;0,Q753/O753,"")</f>
        <v>0.538461538461538</v>
      </c>
      <c r="U753" s="84" t="n">
        <f aca="false">IF(O753&gt;0,O753,"")</f>
        <v>780</v>
      </c>
    </row>
    <row r="754" customFormat="false" ht="15" hidden="false" customHeight="false" outlineLevel="0" collapsed="false">
      <c r="A754" s="81" t="s">
        <v>1397</v>
      </c>
      <c r="B754" s="82" t="n">
        <v>46096</v>
      </c>
      <c r="C754" s="81" t="s">
        <v>249</v>
      </c>
      <c r="D754" s="83" t="str">
        <f aca="false">IFERROR(INDEX(c_Name,MATCH($C754,c_ID,0)),"غير معرّف")</f>
        <v>ريم الحسيني</v>
      </c>
      <c r="E754" s="83" t="str">
        <f aca="false">IFERROR(INDEX(c_Region,MATCH($C754,c_ID,0)),"غير معرّف")</f>
        <v>الوسطى</v>
      </c>
      <c r="F754" s="81" t="s">
        <v>169</v>
      </c>
      <c r="G754" s="83" t="str">
        <f aca="false">IFERROR(INDEX(p_Name,MATCH($F754,p_ID,0)),"غير معرّف")</f>
        <v>خلاط</v>
      </c>
      <c r="H754" s="83" t="str">
        <f aca="false">IFERROR(INDEX(p_Cat,MATCH($F754,p_ID,0)),"غير معرّف")</f>
        <v>أجهزة منزلية</v>
      </c>
      <c r="I754" s="81" t="s">
        <v>446</v>
      </c>
      <c r="J754" s="81" t="s">
        <v>91</v>
      </c>
      <c r="K754" s="81" t="n">
        <v>1</v>
      </c>
      <c r="L754" s="84" t="n">
        <f aca="false">IFERROR(INDEX(p_Price,MATCH($F754,p_ID,0)),0)</f>
        <v>300</v>
      </c>
      <c r="M754" s="85" t="n">
        <v>0.05</v>
      </c>
      <c r="N754" s="81" t="s">
        <v>644</v>
      </c>
      <c r="O754" s="84" t="n">
        <f aca="false">IF($N754="مرتجع",0,K754*L754*(1-M754))</f>
        <v>285</v>
      </c>
      <c r="P754" s="84" t="n">
        <f aca="false">IF($N754="مرتجع",0,K754*IFERROR(INDEX(p_Cost,MATCH($F754,p_ID,0)),0))</f>
        <v>175</v>
      </c>
      <c r="Q754" s="84" t="n">
        <f aca="false">O754-P754</f>
        <v>110</v>
      </c>
      <c r="R754" s="86" t="n">
        <f aca="false">DATE(YEAR(B754),MONTH(B754),1)</f>
        <v>46082</v>
      </c>
      <c r="S754" s="83" t="str">
        <f aca="false">YEAR(B754)&amp;"-Q"&amp;ROUNDUP(MONTH(B754)/3,0)</f>
        <v>2026-Q1</v>
      </c>
      <c r="T754" s="87" t="n">
        <f aca="false">IF(O754&gt;0,Q754/O754,"")</f>
        <v>0.385964912280702</v>
      </c>
      <c r="U754" s="84" t="n">
        <f aca="false">IF(O754&gt;0,O754,"")</f>
        <v>285</v>
      </c>
    </row>
    <row r="755" customFormat="false" ht="15" hidden="false" customHeight="false" outlineLevel="0" collapsed="false">
      <c r="A755" s="81" t="s">
        <v>1398</v>
      </c>
      <c r="B755" s="82" t="n">
        <v>46097</v>
      </c>
      <c r="C755" s="81" t="s">
        <v>254</v>
      </c>
      <c r="D755" s="83" t="str">
        <f aca="false">IFERROR(INDEX(c_Name,MATCH($C755,c_ID,0)),"غير معرّف")</f>
        <v>عبدالله العتيبي</v>
      </c>
      <c r="E755" s="83" t="str">
        <f aca="false">IFERROR(INDEX(c_Region,MATCH($C755,c_ID,0)),"غير معرّف")</f>
        <v>الغربية</v>
      </c>
      <c r="F755" s="81" t="s">
        <v>169</v>
      </c>
      <c r="G755" s="83" t="str">
        <f aca="false">IFERROR(INDEX(p_Name,MATCH($F755,p_ID,0)),"غير معرّف")</f>
        <v>خلاط</v>
      </c>
      <c r="H755" s="83" t="str">
        <f aca="false">IFERROR(INDEX(p_Cat,MATCH($F755,p_ID,0)),"غير معرّف")</f>
        <v>أجهزة منزلية</v>
      </c>
      <c r="I755" s="81" t="s">
        <v>452</v>
      </c>
      <c r="J755" s="81" t="s">
        <v>91</v>
      </c>
      <c r="K755" s="81" t="n">
        <v>4</v>
      </c>
      <c r="L755" s="84" t="n">
        <f aca="false">IFERROR(INDEX(p_Price,MATCH($F755,p_ID,0)),0)</f>
        <v>300</v>
      </c>
      <c r="M755" s="85" t="n">
        <v>0.05</v>
      </c>
      <c r="N755" s="81" t="s">
        <v>644</v>
      </c>
      <c r="O755" s="84" t="n">
        <f aca="false">IF($N755="مرتجع",0,K755*L755*(1-M755))</f>
        <v>1140</v>
      </c>
      <c r="P755" s="84" t="n">
        <f aca="false">IF($N755="مرتجع",0,K755*IFERROR(INDEX(p_Cost,MATCH($F755,p_ID,0)),0))</f>
        <v>700</v>
      </c>
      <c r="Q755" s="84" t="n">
        <f aca="false">O755-P755</f>
        <v>440</v>
      </c>
      <c r="R755" s="86" t="n">
        <f aca="false">DATE(YEAR(B755),MONTH(B755),1)</f>
        <v>46082</v>
      </c>
      <c r="S755" s="83" t="str">
        <f aca="false">YEAR(B755)&amp;"-Q"&amp;ROUNDUP(MONTH(B755)/3,0)</f>
        <v>2026-Q1</v>
      </c>
      <c r="T755" s="87" t="n">
        <f aca="false">IF(O755&gt;0,Q755/O755,"")</f>
        <v>0.385964912280702</v>
      </c>
      <c r="U755" s="84" t="n">
        <f aca="false">IF(O755&gt;0,O755,"")</f>
        <v>1140</v>
      </c>
    </row>
    <row r="756" customFormat="false" ht="15" hidden="false" customHeight="false" outlineLevel="0" collapsed="false">
      <c r="A756" s="81" t="s">
        <v>1399</v>
      </c>
      <c r="B756" s="82" t="n">
        <v>46097</v>
      </c>
      <c r="C756" s="81" t="s">
        <v>362</v>
      </c>
      <c r="D756" s="83" t="str">
        <f aca="false">IFERROR(INDEX(c_Name,MATCH($C756,c_ID,0)),"غير معرّف")</f>
        <v>محمد العتيبي</v>
      </c>
      <c r="E756" s="83" t="str">
        <f aca="false">IFERROR(INDEX(c_Region,MATCH($C756,c_ID,0)),"غير معرّف")</f>
        <v>الغربية</v>
      </c>
      <c r="F756" s="81" t="s">
        <v>178</v>
      </c>
      <c r="G756" s="83" t="str">
        <f aca="false">IFERROR(INDEX(p_Name,MATCH($F756,p_ID,0)),"غير معرّف")</f>
        <v>حقيبة لابتوب</v>
      </c>
      <c r="H756" s="83" t="str">
        <f aca="false">IFERROR(INDEX(p_Cat,MATCH($F756,p_ID,0)),"غير معرّف")</f>
        <v>مستلزمات مكتبية</v>
      </c>
      <c r="I756" s="81" t="s">
        <v>458</v>
      </c>
      <c r="J756" s="81" t="s">
        <v>91</v>
      </c>
      <c r="K756" s="81" t="n">
        <v>3</v>
      </c>
      <c r="L756" s="84" t="n">
        <f aca="false">IFERROR(INDEX(p_Price,MATCH($F756,p_ID,0)),0)</f>
        <v>260</v>
      </c>
      <c r="M756" s="85" t="n">
        <v>0.1</v>
      </c>
      <c r="N756" s="81" t="s">
        <v>644</v>
      </c>
      <c r="O756" s="84" t="n">
        <f aca="false">IF($N756="مرتجع",0,K756*L756*(1-M756))</f>
        <v>702</v>
      </c>
      <c r="P756" s="84" t="n">
        <f aca="false">IF($N756="مرتجع",0,K756*IFERROR(INDEX(p_Cost,MATCH($F756,p_ID,0)),0))</f>
        <v>360</v>
      </c>
      <c r="Q756" s="84" t="n">
        <f aca="false">O756-P756</f>
        <v>342</v>
      </c>
      <c r="R756" s="86" t="n">
        <f aca="false">DATE(YEAR(B756),MONTH(B756),1)</f>
        <v>46082</v>
      </c>
      <c r="S756" s="83" t="str">
        <f aca="false">YEAR(B756)&amp;"-Q"&amp;ROUNDUP(MONTH(B756)/3,0)</f>
        <v>2026-Q1</v>
      </c>
      <c r="T756" s="87" t="n">
        <f aca="false">IF(O756&gt;0,Q756/O756,"")</f>
        <v>0.487179487179487</v>
      </c>
      <c r="U756" s="84" t="n">
        <f aca="false">IF(O756&gt;0,O756,"")</f>
        <v>702</v>
      </c>
    </row>
    <row r="757" customFormat="false" ht="15" hidden="false" customHeight="false" outlineLevel="0" collapsed="false">
      <c r="A757" s="81" t="s">
        <v>1400</v>
      </c>
      <c r="B757" s="82" t="n">
        <v>46097</v>
      </c>
      <c r="C757" s="81" t="s">
        <v>423</v>
      </c>
      <c r="D757" s="83" t="str">
        <f aca="false">IFERROR(INDEX(c_Name,MATCH($C757,c_ID,0)),"غير معرّف")</f>
        <v>ناصر المطيري</v>
      </c>
      <c r="E757" s="83" t="str">
        <f aca="false">IFERROR(INDEX(c_Region,MATCH($C757,c_ID,0)),"غير معرّف")</f>
        <v>الغربية</v>
      </c>
      <c r="F757" s="81" t="s">
        <v>187</v>
      </c>
      <c r="G757" s="83" t="str">
        <f aca="false">IFERROR(INDEX(p_Name,MATCH($F757,p_ID,0)),"غير معرّف")</f>
        <v>جهاز تدليك</v>
      </c>
      <c r="H757" s="83" t="str">
        <f aca="false">IFERROR(INDEX(p_Cat,MATCH($F757,p_ID,0)),"غير معرّف")</f>
        <v>عناية شخصية</v>
      </c>
      <c r="I757" s="81" t="s">
        <v>452</v>
      </c>
      <c r="J757" s="81" t="s">
        <v>91</v>
      </c>
      <c r="K757" s="81" t="n">
        <v>3</v>
      </c>
      <c r="L757" s="84" t="n">
        <f aca="false">IFERROR(INDEX(p_Price,MATCH($F757,p_ID,0)),0)</f>
        <v>600</v>
      </c>
      <c r="M757" s="85" t="n">
        <v>0.1</v>
      </c>
      <c r="N757" s="81" t="s">
        <v>644</v>
      </c>
      <c r="O757" s="84" t="n">
        <f aca="false">IF($N757="مرتجع",0,K757*L757*(1-M757))</f>
        <v>1620</v>
      </c>
      <c r="P757" s="84" t="n">
        <f aca="false">IF($N757="مرتجع",0,K757*IFERROR(INDEX(p_Cost,MATCH($F757,p_ID,0)),0))</f>
        <v>990</v>
      </c>
      <c r="Q757" s="84" t="n">
        <f aca="false">O757-P757</f>
        <v>630</v>
      </c>
      <c r="R757" s="86" t="n">
        <f aca="false">DATE(YEAR(B757),MONTH(B757),1)</f>
        <v>46082</v>
      </c>
      <c r="S757" s="83" t="str">
        <f aca="false">YEAR(B757)&amp;"-Q"&amp;ROUNDUP(MONTH(B757)/3,0)</f>
        <v>2026-Q1</v>
      </c>
      <c r="T757" s="87" t="n">
        <f aca="false">IF(O757&gt;0,Q757/O757,"")</f>
        <v>0.388888888888889</v>
      </c>
      <c r="U757" s="84" t="n">
        <f aca="false">IF(O757&gt;0,O757,"")</f>
        <v>1620</v>
      </c>
    </row>
    <row r="758" customFormat="false" ht="15" hidden="false" customHeight="false" outlineLevel="0" collapsed="false">
      <c r="A758" s="81" t="s">
        <v>1401</v>
      </c>
      <c r="B758" s="82" t="n">
        <v>46097</v>
      </c>
      <c r="C758" s="81" t="s">
        <v>361</v>
      </c>
      <c r="D758" s="83" t="str">
        <f aca="false">IFERROR(INDEX(c_Name,MATCH($C758,c_ID,0)),"غير معرّف")</f>
        <v>دانة المطيري</v>
      </c>
      <c r="E758" s="83" t="str">
        <f aca="false">IFERROR(INDEX(c_Region,MATCH($C758,c_ID,0)),"غير معرّف")</f>
        <v>الشرقية</v>
      </c>
      <c r="F758" s="81" t="s">
        <v>179</v>
      </c>
      <c r="G758" s="83" t="str">
        <f aca="false">IFERROR(INDEX(p_Name,MATCH($F758,p_ID,0)),"غير معرّف")</f>
        <v>طقم أدوات مكتبية</v>
      </c>
      <c r="H758" s="83" t="str">
        <f aca="false">IFERROR(INDEX(p_Cat,MATCH($F758,p_ID,0)),"غير معرّف")</f>
        <v>مستلزمات مكتبية</v>
      </c>
      <c r="I758" s="81" t="s">
        <v>461</v>
      </c>
      <c r="J758" s="81" t="s">
        <v>93</v>
      </c>
      <c r="K758" s="81" t="n">
        <v>1</v>
      </c>
      <c r="L758" s="84" t="n">
        <f aca="false">IFERROR(INDEX(p_Price,MATCH($F758,p_ID,0)),0)</f>
        <v>90</v>
      </c>
      <c r="M758" s="85" t="n">
        <v>0.1</v>
      </c>
      <c r="N758" s="81" t="s">
        <v>650</v>
      </c>
      <c r="O758" s="84" t="n">
        <f aca="false">IF($N758="مرتجع",0,K758*L758*(1-M758))</f>
        <v>0</v>
      </c>
      <c r="P758" s="84" t="n">
        <f aca="false">IF($N758="مرتجع",0,K758*IFERROR(INDEX(p_Cost,MATCH($F758,p_ID,0)),0))</f>
        <v>0</v>
      </c>
      <c r="Q758" s="84" t="n">
        <f aca="false">O758-P758</f>
        <v>0</v>
      </c>
      <c r="R758" s="86" t="n">
        <f aca="false">DATE(YEAR(B758),MONTH(B758),1)</f>
        <v>46082</v>
      </c>
      <c r="S758" s="83" t="str">
        <f aca="false">YEAR(B758)&amp;"-Q"&amp;ROUNDUP(MONTH(B758)/3,0)</f>
        <v>2026-Q1</v>
      </c>
      <c r="T758" s="87" t="str">
        <f aca="false">IF(O758&gt;0,Q758/O758,"")</f>
        <v/>
      </c>
      <c r="U758" s="84" t="str">
        <f aca="false">IF(O758&gt;0,O758,"")</f>
        <v/>
      </c>
    </row>
    <row r="759" customFormat="false" ht="15" hidden="false" customHeight="false" outlineLevel="0" collapsed="false">
      <c r="A759" s="81" t="s">
        <v>1402</v>
      </c>
      <c r="B759" s="82" t="n">
        <v>46097</v>
      </c>
      <c r="C759" s="81" t="s">
        <v>288</v>
      </c>
      <c r="D759" s="83" t="str">
        <f aca="false">IFERROR(INDEX(c_Name,MATCH($C759,c_ID,0)),"غير معرّف")</f>
        <v>خالد الشمري</v>
      </c>
      <c r="E759" s="83" t="str">
        <f aca="false">IFERROR(INDEX(c_Region,MATCH($C759,c_ID,0)),"غير معرّف")</f>
        <v>الجنوبية</v>
      </c>
      <c r="F759" s="81" t="s">
        <v>177</v>
      </c>
      <c r="G759" s="83" t="str">
        <f aca="false">IFERROR(INDEX(p_Name,MATCH($F759,p_ID,0)),"غير معرّف")</f>
        <v>ورق A4 (صندوق)</v>
      </c>
      <c r="H759" s="83" t="str">
        <f aca="false">IFERROR(INDEX(p_Cat,MATCH($F759,p_ID,0)),"غير معرّف")</f>
        <v>مستلزمات مكتبية</v>
      </c>
      <c r="I759" s="81" t="s">
        <v>465</v>
      </c>
      <c r="J759" s="81" t="s">
        <v>93</v>
      </c>
      <c r="K759" s="81" t="n">
        <v>2</v>
      </c>
      <c r="L759" s="84" t="n">
        <f aca="false">IFERROR(INDEX(p_Price,MATCH($F759,p_ID,0)),0)</f>
        <v>140</v>
      </c>
      <c r="M759" s="85" t="n">
        <v>0.2</v>
      </c>
      <c r="N759" s="81" t="s">
        <v>644</v>
      </c>
      <c r="O759" s="84" t="n">
        <f aca="false">IF($N759="مرتجع",0,K759*L759*(1-M759))</f>
        <v>224</v>
      </c>
      <c r="P759" s="84" t="n">
        <f aca="false">IF($N759="مرتجع",0,K759*IFERROR(INDEX(p_Cost,MATCH($F759,p_ID,0)),0))</f>
        <v>190</v>
      </c>
      <c r="Q759" s="84" t="n">
        <f aca="false">O759-P759</f>
        <v>34</v>
      </c>
      <c r="R759" s="86" t="n">
        <f aca="false">DATE(YEAR(B759),MONTH(B759),1)</f>
        <v>46082</v>
      </c>
      <c r="S759" s="83" t="str">
        <f aca="false">YEAR(B759)&amp;"-Q"&amp;ROUNDUP(MONTH(B759)/3,0)</f>
        <v>2026-Q1</v>
      </c>
      <c r="T759" s="87" t="n">
        <f aca="false">IF(O759&gt;0,Q759/O759,"")</f>
        <v>0.151785714285714</v>
      </c>
      <c r="U759" s="84" t="n">
        <f aca="false">IF(O759&gt;0,O759,"")</f>
        <v>224</v>
      </c>
    </row>
    <row r="760" customFormat="false" ht="15" hidden="false" customHeight="false" outlineLevel="0" collapsed="false">
      <c r="A760" s="81" t="s">
        <v>1403</v>
      </c>
      <c r="B760" s="82" t="n">
        <v>46097</v>
      </c>
      <c r="C760" s="81" t="s">
        <v>283</v>
      </c>
      <c r="D760" s="83" t="str">
        <f aca="false">IFERROR(INDEX(c_Name,MATCH($C760,c_ID,0)),"غير معرّف")</f>
        <v>فهد السبيعي</v>
      </c>
      <c r="E760" s="83" t="str">
        <f aca="false">IFERROR(INDEX(c_Region,MATCH($C760,c_ID,0)),"غير معرّف")</f>
        <v>الغربية</v>
      </c>
      <c r="F760" s="81" t="s">
        <v>185</v>
      </c>
      <c r="G760" s="83" t="str">
        <f aca="false">IFERROR(INDEX(p_Name,MATCH($F760,p_ID,0)),"غير معرّف")</f>
        <v>ماكينة حلاقة</v>
      </c>
      <c r="H760" s="83" t="str">
        <f aca="false">IFERROR(INDEX(p_Cat,MATCH($F760,p_ID,0)),"غير معرّف")</f>
        <v>عناية شخصية</v>
      </c>
      <c r="I760" s="81" t="s">
        <v>452</v>
      </c>
      <c r="J760" s="81" t="s">
        <v>91</v>
      </c>
      <c r="K760" s="81" t="n">
        <v>2</v>
      </c>
      <c r="L760" s="84" t="n">
        <f aca="false">IFERROR(INDEX(p_Price,MATCH($F760,p_ID,0)),0)</f>
        <v>340</v>
      </c>
      <c r="M760" s="85" t="n">
        <v>0.05</v>
      </c>
      <c r="N760" s="81" t="s">
        <v>644</v>
      </c>
      <c r="O760" s="84" t="n">
        <f aca="false">IF($N760="مرتجع",0,K760*L760*(1-M760))</f>
        <v>646</v>
      </c>
      <c r="P760" s="84" t="n">
        <f aca="false">IF($N760="مرتجع",0,K760*IFERROR(INDEX(p_Cost,MATCH($F760,p_ID,0)),0))</f>
        <v>340</v>
      </c>
      <c r="Q760" s="84" t="n">
        <f aca="false">O760-P760</f>
        <v>306</v>
      </c>
      <c r="R760" s="86" t="n">
        <f aca="false">DATE(YEAR(B760),MONTH(B760),1)</f>
        <v>46082</v>
      </c>
      <c r="S760" s="83" t="str">
        <f aca="false">YEAR(B760)&amp;"-Q"&amp;ROUNDUP(MONTH(B760)/3,0)</f>
        <v>2026-Q1</v>
      </c>
      <c r="T760" s="87" t="n">
        <f aca="false">IF(O760&gt;0,Q760/O760,"")</f>
        <v>0.473684210526316</v>
      </c>
      <c r="U760" s="84" t="n">
        <f aca="false">IF(O760&gt;0,O760,"")</f>
        <v>646</v>
      </c>
    </row>
    <row r="761" customFormat="false" ht="15" hidden="false" customHeight="false" outlineLevel="0" collapsed="false">
      <c r="A761" s="81" t="s">
        <v>1404</v>
      </c>
      <c r="B761" s="82" t="n">
        <v>46097</v>
      </c>
      <c r="C761" s="81" t="s">
        <v>423</v>
      </c>
      <c r="D761" s="83" t="str">
        <f aca="false">IFERROR(INDEX(c_Name,MATCH($C761,c_ID,0)),"غير معرّف")</f>
        <v>ناصر المطيري</v>
      </c>
      <c r="E761" s="83" t="str">
        <f aca="false">IFERROR(INDEX(c_Region,MATCH($C761,c_ID,0)),"غير معرّف")</f>
        <v>الغربية</v>
      </c>
      <c r="F761" s="81" t="s">
        <v>171</v>
      </c>
      <c r="G761" s="83" t="str">
        <f aca="false">IFERROR(INDEX(p_Name,MATCH($F761,p_ID,0)),"غير معرّف")</f>
        <v>قلاية هوائية</v>
      </c>
      <c r="H761" s="83" t="str">
        <f aca="false">IFERROR(INDEX(p_Cat,MATCH($F761,p_ID,0)),"غير معرّف")</f>
        <v>أجهزة منزلية</v>
      </c>
      <c r="I761" s="81" t="s">
        <v>458</v>
      </c>
      <c r="J761" s="81" t="s">
        <v>93</v>
      </c>
      <c r="K761" s="81" t="n">
        <v>1</v>
      </c>
      <c r="L761" s="84" t="n">
        <f aca="false">IFERROR(INDEX(p_Price,MATCH($F761,p_ID,0)),0)</f>
        <v>520</v>
      </c>
      <c r="M761" s="85" t="n">
        <v>0.15</v>
      </c>
      <c r="N761" s="81" t="s">
        <v>644</v>
      </c>
      <c r="O761" s="84" t="n">
        <f aca="false">IF($N761="مرتجع",0,K761*L761*(1-M761))</f>
        <v>442</v>
      </c>
      <c r="P761" s="84" t="n">
        <f aca="false">IF($N761="مرتجع",0,K761*IFERROR(INDEX(p_Cost,MATCH($F761,p_ID,0)),0))</f>
        <v>300</v>
      </c>
      <c r="Q761" s="84" t="n">
        <f aca="false">O761-P761</f>
        <v>142</v>
      </c>
      <c r="R761" s="86" t="n">
        <f aca="false">DATE(YEAR(B761),MONTH(B761),1)</f>
        <v>46082</v>
      </c>
      <c r="S761" s="83" t="str">
        <f aca="false">YEAR(B761)&amp;"-Q"&amp;ROUNDUP(MONTH(B761)/3,0)</f>
        <v>2026-Q1</v>
      </c>
      <c r="T761" s="87" t="n">
        <f aca="false">IF(O761&gt;0,Q761/O761,"")</f>
        <v>0.321266968325792</v>
      </c>
      <c r="U761" s="84" t="n">
        <f aca="false">IF(O761&gt;0,O761,"")</f>
        <v>442</v>
      </c>
    </row>
    <row r="762" customFormat="false" ht="15" hidden="false" customHeight="false" outlineLevel="0" collapsed="false">
      <c r="A762" s="81" t="s">
        <v>1405</v>
      </c>
      <c r="B762" s="82" t="n">
        <v>46098</v>
      </c>
      <c r="C762" s="81" t="s">
        <v>338</v>
      </c>
      <c r="D762" s="83" t="str">
        <f aca="false">IFERROR(INDEX(c_Name,MATCH($C762,c_ID,0)),"غير معرّف")</f>
        <v>سارة الزهراني</v>
      </c>
      <c r="E762" s="83" t="str">
        <f aca="false">IFERROR(INDEX(c_Region,MATCH($C762,c_ID,0)),"غير معرّف")</f>
        <v>الغربية</v>
      </c>
      <c r="F762" s="81" t="s">
        <v>171</v>
      </c>
      <c r="G762" s="83" t="str">
        <f aca="false">IFERROR(INDEX(p_Name,MATCH($F762,p_ID,0)),"غير معرّف")</f>
        <v>قلاية هوائية</v>
      </c>
      <c r="H762" s="83" t="str">
        <f aca="false">IFERROR(INDEX(p_Cat,MATCH($F762,p_ID,0)),"غير معرّف")</f>
        <v>أجهزة منزلية</v>
      </c>
      <c r="I762" s="81" t="s">
        <v>452</v>
      </c>
      <c r="J762" s="81" t="s">
        <v>91</v>
      </c>
      <c r="K762" s="81" t="n">
        <v>1</v>
      </c>
      <c r="L762" s="84" t="n">
        <f aca="false">IFERROR(INDEX(p_Price,MATCH($F762,p_ID,0)),0)</f>
        <v>520</v>
      </c>
      <c r="M762" s="85" t="n">
        <v>0.05</v>
      </c>
      <c r="N762" s="81" t="s">
        <v>644</v>
      </c>
      <c r="O762" s="84" t="n">
        <f aca="false">IF($N762="مرتجع",0,K762*L762*(1-M762))</f>
        <v>494</v>
      </c>
      <c r="P762" s="84" t="n">
        <f aca="false">IF($N762="مرتجع",0,K762*IFERROR(INDEX(p_Cost,MATCH($F762,p_ID,0)),0))</f>
        <v>300</v>
      </c>
      <c r="Q762" s="84" t="n">
        <f aca="false">O762-P762</f>
        <v>194</v>
      </c>
      <c r="R762" s="86" t="n">
        <f aca="false">DATE(YEAR(B762),MONTH(B762),1)</f>
        <v>46082</v>
      </c>
      <c r="S762" s="83" t="str">
        <f aca="false">YEAR(B762)&amp;"-Q"&amp;ROUNDUP(MONTH(B762)/3,0)</f>
        <v>2026-Q1</v>
      </c>
      <c r="T762" s="87" t="n">
        <f aca="false">IF(O762&gt;0,Q762/O762,"")</f>
        <v>0.392712550607287</v>
      </c>
      <c r="U762" s="84" t="n">
        <f aca="false">IF(O762&gt;0,O762,"")</f>
        <v>494</v>
      </c>
    </row>
    <row r="763" customFormat="false" ht="15" hidden="false" customHeight="false" outlineLevel="0" collapsed="false">
      <c r="A763" s="81" t="s">
        <v>1406</v>
      </c>
      <c r="B763" s="82" t="n">
        <v>46098</v>
      </c>
      <c r="C763" s="81" t="s">
        <v>385</v>
      </c>
      <c r="D763" s="83" t="str">
        <f aca="false">IFERROR(INDEX(c_Name,MATCH($C763,c_ID,0)),"غير معرّف")</f>
        <v>سارة الشهري</v>
      </c>
      <c r="E763" s="83" t="str">
        <f aca="false">IFERROR(INDEX(c_Region,MATCH($C763,c_ID,0)),"غير معرّف")</f>
        <v>الشرقية</v>
      </c>
      <c r="F763" s="81" t="s">
        <v>184</v>
      </c>
      <c r="G763" s="83" t="str">
        <f aca="false">IFERROR(INDEX(p_Name,MATCH($F763,p_ID,0)),"غير معرّف")</f>
        <v>عطر فاخر</v>
      </c>
      <c r="H763" s="83" t="str">
        <f aca="false">IFERROR(INDEX(p_Cat,MATCH($F763,p_ID,0)),"غير معرّف")</f>
        <v>عناية شخصية</v>
      </c>
      <c r="I763" s="81" t="s">
        <v>461</v>
      </c>
      <c r="J763" s="81" t="s">
        <v>93</v>
      </c>
      <c r="K763" s="81" t="n">
        <v>2</v>
      </c>
      <c r="L763" s="84" t="n">
        <f aca="false">IFERROR(INDEX(p_Price,MATCH($F763,p_ID,0)),0)</f>
        <v>520</v>
      </c>
      <c r="M763" s="85" t="n">
        <v>0</v>
      </c>
      <c r="N763" s="81" t="s">
        <v>644</v>
      </c>
      <c r="O763" s="84" t="n">
        <f aca="false">IF($N763="مرتجع",0,K763*L763*(1-M763))</f>
        <v>1040</v>
      </c>
      <c r="P763" s="84" t="n">
        <f aca="false">IF($N763="مرتجع",0,K763*IFERROR(INDEX(p_Cost,MATCH($F763,p_ID,0)),0))</f>
        <v>420</v>
      </c>
      <c r="Q763" s="84" t="n">
        <f aca="false">O763-P763</f>
        <v>620</v>
      </c>
      <c r="R763" s="86" t="n">
        <f aca="false">DATE(YEAR(B763),MONTH(B763),1)</f>
        <v>46082</v>
      </c>
      <c r="S763" s="83" t="str">
        <f aca="false">YEAR(B763)&amp;"-Q"&amp;ROUNDUP(MONTH(B763)/3,0)</f>
        <v>2026-Q1</v>
      </c>
      <c r="T763" s="87" t="n">
        <f aca="false">IF(O763&gt;0,Q763/O763,"")</f>
        <v>0.596153846153846</v>
      </c>
      <c r="U763" s="84" t="n">
        <f aca="false">IF(O763&gt;0,O763,"")</f>
        <v>1040</v>
      </c>
    </row>
    <row r="764" customFormat="false" ht="15" hidden="false" customHeight="false" outlineLevel="0" collapsed="false">
      <c r="A764" s="81" t="s">
        <v>1407</v>
      </c>
      <c r="B764" s="82" t="n">
        <v>46099</v>
      </c>
      <c r="C764" s="81" t="s">
        <v>404</v>
      </c>
      <c r="D764" s="83" t="str">
        <f aca="false">IFERROR(INDEX(c_Name,MATCH($C764,c_ID,0)),"غير معرّف")</f>
        <v>عبدالله الحسيني</v>
      </c>
      <c r="E764" s="83" t="str">
        <f aca="false">IFERROR(INDEX(c_Region,MATCH($C764,c_ID,0)),"غير معرّف")</f>
        <v>الشرقية</v>
      </c>
      <c r="F764" s="81" t="s">
        <v>171</v>
      </c>
      <c r="G764" s="83" t="str">
        <f aca="false">IFERROR(INDEX(p_Name,MATCH($F764,p_ID,0)),"غير معرّف")</f>
        <v>قلاية هوائية</v>
      </c>
      <c r="H764" s="83" t="str">
        <f aca="false">IFERROR(INDEX(p_Cat,MATCH($F764,p_ID,0)),"غير معرّف")</f>
        <v>أجهزة منزلية</v>
      </c>
      <c r="I764" s="81" t="s">
        <v>461</v>
      </c>
      <c r="J764" s="81" t="s">
        <v>93</v>
      </c>
      <c r="K764" s="81" t="n">
        <v>1</v>
      </c>
      <c r="L764" s="84" t="n">
        <f aca="false">IFERROR(INDEX(p_Price,MATCH($F764,p_ID,0)),0)</f>
        <v>520</v>
      </c>
      <c r="M764" s="85" t="n">
        <v>0.05</v>
      </c>
      <c r="N764" s="81" t="s">
        <v>644</v>
      </c>
      <c r="O764" s="84" t="n">
        <f aca="false">IF($N764="مرتجع",0,K764*L764*(1-M764))</f>
        <v>494</v>
      </c>
      <c r="P764" s="84" t="n">
        <f aca="false">IF($N764="مرتجع",0,K764*IFERROR(INDEX(p_Cost,MATCH($F764,p_ID,0)),0))</f>
        <v>300</v>
      </c>
      <c r="Q764" s="84" t="n">
        <f aca="false">O764-P764</f>
        <v>194</v>
      </c>
      <c r="R764" s="86" t="n">
        <f aca="false">DATE(YEAR(B764),MONTH(B764),1)</f>
        <v>46082</v>
      </c>
      <c r="S764" s="83" t="str">
        <f aca="false">YEAR(B764)&amp;"-Q"&amp;ROUNDUP(MONTH(B764)/3,0)</f>
        <v>2026-Q1</v>
      </c>
      <c r="T764" s="87" t="n">
        <f aca="false">IF(O764&gt;0,Q764/O764,"")</f>
        <v>0.392712550607287</v>
      </c>
      <c r="U764" s="84" t="n">
        <f aca="false">IF(O764&gt;0,O764,"")</f>
        <v>494</v>
      </c>
    </row>
    <row r="765" customFormat="false" ht="15" hidden="false" customHeight="false" outlineLevel="0" collapsed="false">
      <c r="A765" s="81" t="s">
        <v>1408</v>
      </c>
      <c r="B765" s="82" t="n">
        <v>46099</v>
      </c>
      <c r="C765" s="81" t="s">
        <v>423</v>
      </c>
      <c r="D765" s="83" t="str">
        <f aca="false">IFERROR(INDEX(c_Name,MATCH($C765,c_ID,0)),"غير معرّف")</f>
        <v>ناصر المطيري</v>
      </c>
      <c r="E765" s="83" t="str">
        <f aca="false">IFERROR(INDEX(c_Region,MATCH($C765,c_ID,0)),"غير معرّف")</f>
        <v>الغربية</v>
      </c>
      <c r="F765" s="81" t="s">
        <v>164</v>
      </c>
      <c r="G765" s="83" t="str">
        <f aca="false">IFERROR(INDEX(p_Name,MATCH($F765,p_ID,0)),"غير معرّف")</f>
        <v>هاتف ذكي</v>
      </c>
      <c r="H765" s="83" t="str">
        <f aca="false">IFERROR(INDEX(p_Cat,MATCH($F765,p_ID,0)),"غير معرّف")</f>
        <v>إلكترونيات</v>
      </c>
      <c r="I765" s="81" t="s">
        <v>458</v>
      </c>
      <c r="J765" s="81" t="s">
        <v>93</v>
      </c>
      <c r="K765" s="81" t="n">
        <v>1</v>
      </c>
      <c r="L765" s="84" t="n">
        <f aca="false">IFERROR(INDEX(p_Price,MATCH($F765,p_ID,0)),0)</f>
        <v>2400</v>
      </c>
      <c r="M765" s="85" t="n">
        <v>0</v>
      </c>
      <c r="N765" s="81" t="s">
        <v>644</v>
      </c>
      <c r="O765" s="84" t="n">
        <f aca="false">IF($N765="مرتجع",0,K765*L765*(1-M765))</f>
        <v>2400</v>
      </c>
      <c r="P765" s="84" t="n">
        <f aca="false">IF($N765="مرتجع",0,K765*IFERROR(INDEX(p_Cost,MATCH($F765,p_ID,0)),0))</f>
        <v>1750</v>
      </c>
      <c r="Q765" s="84" t="n">
        <f aca="false">O765-P765</f>
        <v>650</v>
      </c>
      <c r="R765" s="86" t="n">
        <f aca="false">DATE(YEAR(B765),MONTH(B765),1)</f>
        <v>46082</v>
      </c>
      <c r="S765" s="83" t="str">
        <f aca="false">YEAR(B765)&amp;"-Q"&amp;ROUNDUP(MONTH(B765)/3,0)</f>
        <v>2026-Q1</v>
      </c>
      <c r="T765" s="87" t="n">
        <f aca="false">IF(O765&gt;0,Q765/O765,"")</f>
        <v>0.270833333333333</v>
      </c>
      <c r="U765" s="84" t="n">
        <f aca="false">IF(O765&gt;0,O765,"")</f>
        <v>2400</v>
      </c>
    </row>
    <row r="766" customFormat="false" ht="15" hidden="false" customHeight="false" outlineLevel="0" collapsed="false">
      <c r="A766" s="81" t="s">
        <v>1409</v>
      </c>
      <c r="B766" s="82" t="n">
        <v>46099</v>
      </c>
      <c r="C766" s="81" t="s">
        <v>348</v>
      </c>
      <c r="D766" s="83" t="str">
        <f aca="false">IFERROR(INDEX(c_Name,MATCH($C766,c_ID,0)),"غير معرّف")</f>
        <v>عبير القحطاني</v>
      </c>
      <c r="E766" s="83" t="str">
        <f aca="false">IFERROR(INDEX(c_Region,MATCH($C766,c_ID,0)),"غير معرّف")</f>
        <v>الغربية</v>
      </c>
      <c r="F766" s="81" t="s">
        <v>169</v>
      </c>
      <c r="G766" s="83" t="str">
        <f aca="false">IFERROR(INDEX(p_Name,MATCH($F766,p_ID,0)),"غير معرّف")</f>
        <v>خلاط</v>
      </c>
      <c r="H766" s="83" t="str">
        <f aca="false">IFERROR(INDEX(p_Cat,MATCH($F766,p_ID,0)),"غير معرّف")</f>
        <v>أجهزة منزلية</v>
      </c>
      <c r="I766" s="81" t="s">
        <v>452</v>
      </c>
      <c r="J766" s="81" t="s">
        <v>91</v>
      </c>
      <c r="K766" s="81" t="n">
        <v>5</v>
      </c>
      <c r="L766" s="84" t="n">
        <f aca="false">IFERROR(INDEX(p_Price,MATCH($F766,p_ID,0)),0)</f>
        <v>300</v>
      </c>
      <c r="M766" s="85" t="n">
        <v>0</v>
      </c>
      <c r="N766" s="81" t="s">
        <v>644</v>
      </c>
      <c r="O766" s="84" t="n">
        <f aca="false">IF($N766="مرتجع",0,K766*L766*(1-M766))</f>
        <v>1500</v>
      </c>
      <c r="P766" s="84" t="n">
        <f aca="false">IF($N766="مرتجع",0,K766*IFERROR(INDEX(p_Cost,MATCH($F766,p_ID,0)),0))</f>
        <v>875</v>
      </c>
      <c r="Q766" s="84" t="n">
        <f aca="false">O766-P766</f>
        <v>625</v>
      </c>
      <c r="R766" s="86" t="n">
        <f aca="false">DATE(YEAR(B766),MONTH(B766),1)</f>
        <v>46082</v>
      </c>
      <c r="S766" s="83" t="str">
        <f aca="false">YEAR(B766)&amp;"-Q"&amp;ROUNDUP(MONTH(B766)/3,0)</f>
        <v>2026-Q1</v>
      </c>
      <c r="T766" s="87" t="n">
        <f aca="false">IF(O766&gt;0,Q766/O766,"")</f>
        <v>0.416666666666667</v>
      </c>
      <c r="U766" s="84" t="n">
        <f aca="false">IF(O766&gt;0,O766,"")</f>
        <v>1500</v>
      </c>
    </row>
    <row r="767" customFormat="false" ht="15" hidden="false" customHeight="false" outlineLevel="0" collapsed="false">
      <c r="A767" s="81" t="s">
        <v>1410</v>
      </c>
      <c r="B767" s="82" t="n">
        <v>46100</v>
      </c>
      <c r="C767" s="81" t="s">
        <v>378</v>
      </c>
      <c r="D767" s="83" t="str">
        <f aca="false">IFERROR(INDEX(c_Name,MATCH($C767,c_ID,0)),"غير معرّف")</f>
        <v>هند الغامدي</v>
      </c>
      <c r="E767" s="83" t="str">
        <f aca="false">IFERROR(INDEX(c_Region,MATCH($C767,c_ID,0)),"غير معرّف")</f>
        <v>الوسطى</v>
      </c>
      <c r="F767" s="81" t="s">
        <v>187</v>
      </c>
      <c r="G767" s="83" t="str">
        <f aca="false">IFERROR(INDEX(p_Name,MATCH($F767,p_ID,0)),"غير معرّف")</f>
        <v>جهاز تدليك</v>
      </c>
      <c r="H767" s="83" t="str">
        <f aca="false">IFERROR(INDEX(p_Cat,MATCH($F767,p_ID,0)),"غير معرّف")</f>
        <v>عناية شخصية</v>
      </c>
      <c r="I767" s="81" t="s">
        <v>443</v>
      </c>
      <c r="J767" s="81" t="s">
        <v>91</v>
      </c>
      <c r="K767" s="81" t="n">
        <v>1</v>
      </c>
      <c r="L767" s="84" t="n">
        <f aca="false">IFERROR(INDEX(p_Price,MATCH($F767,p_ID,0)),0)</f>
        <v>600</v>
      </c>
      <c r="M767" s="85" t="n">
        <v>0</v>
      </c>
      <c r="N767" s="81" t="s">
        <v>644</v>
      </c>
      <c r="O767" s="84" t="n">
        <f aca="false">IF($N767="مرتجع",0,K767*L767*(1-M767))</f>
        <v>600</v>
      </c>
      <c r="P767" s="84" t="n">
        <f aca="false">IF($N767="مرتجع",0,K767*IFERROR(INDEX(p_Cost,MATCH($F767,p_ID,0)),0))</f>
        <v>330</v>
      </c>
      <c r="Q767" s="84" t="n">
        <f aca="false">O767-P767</f>
        <v>270</v>
      </c>
      <c r="R767" s="86" t="n">
        <f aca="false">DATE(YEAR(B767),MONTH(B767),1)</f>
        <v>46082</v>
      </c>
      <c r="S767" s="83" t="str">
        <f aca="false">YEAR(B767)&amp;"-Q"&amp;ROUNDUP(MONTH(B767)/3,0)</f>
        <v>2026-Q1</v>
      </c>
      <c r="T767" s="87" t="n">
        <f aca="false">IF(O767&gt;0,Q767/O767,"")</f>
        <v>0.45</v>
      </c>
      <c r="U767" s="84" t="n">
        <f aca="false">IF(O767&gt;0,O767,"")</f>
        <v>600</v>
      </c>
    </row>
    <row r="768" customFormat="false" ht="15" hidden="false" customHeight="false" outlineLevel="0" collapsed="false">
      <c r="A768" s="81" t="s">
        <v>1411</v>
      </c>
      <c r="B768" s="82" t="n">
        <v>46101</v>
      </c>
      <c r="C768" s="81" t="s">
        <v>292</v>
      </c>
      <c r="D768" s="83" t="str">
        <f aca="false">IFERROR(INDEX(c_Name,MATCH($C768,c_ID,0)),"غير معرّف")</f>
        <v>نورة المطيري</v>
      </c>
      <c r="E768" s="83" t="str">
        <f aca="false">IFERROR(INDEX(c_Region,MATCH($C768,c_ID,0)),"غير معرّف")</f>
        <v>الوسطى</v>
      </c>
      <c r="F768" s="81" t="s">
        <v>183</v>
      </c>
      <c r="G768" s="83" t="str">
        <f aca="false">IFERROR(INDEX(p_Name,MATCH($F768,p_ID,0)),"غير معرّف")</f>
        <v>سجادة يوغا</v>
      </c>
      <c r="H768" s="83" t="str">
        <f aca="false">IFERROR(INDEX(p_Cat,MATCH($F768,p_ID,0)),"غير معرّف")</f>
        <v>رياضة</v>
      </c>
      <c r="I768" s="81" t="s">
        <v>443</v>
      </c>
      <c r="J768" s="81" t="s">
        <v>93</v>
      </c>
      <c r="K768" s="81" t="n">
        <v>1</v>
      </c>
      <c r="L768" s="84" t="n">
        <f aca="false">IFERROR(INDEX(p_Price,MATCH($F768,p_ID,0)),0)</f>
        <v>120</v>
      </c>
      <c r="M768" s="85" t="n">
        <v>0.15</v>
      </c>
      <c r="N768" s="81" t="s">
        <v>644</v>
      </c>
      <c r="O768" s="84" t="n">
        <f aca="false">IF($N768="مرتجع",0,K768*L768*(1-M768))</f>
        <v>102</v>
      </c>
      <c r="P768" s="84" t="n">
        <f aca="false">IF($N768="مرتجع",0,K768*IFERROR(INDEX(p_Cost,MATCH($F768,p_ID,0)),0))</f>
        <v>50</v>
      </c>
      <c r="Q768" s="84" t="n">
        <f aca="false">O768-P768</f>
        <v>52</v>
      </c>
      <c r="R768" s="86" t="n">
        <f aca="false">DATE(YEAR(B768),MONTH(B768),1)</f>
        <v>46082</v>
      </c>
      <c r="S768" s="83" t="str">
        <f aca="false">YEAR(B768)&amp;"-Q"&amp;ROUNDUP(MONTH(B768)/3,0)</f>
        <v>2026-Q1</v>
      </c>
      <c r="T768" s="87" t="n">
        <f aca="false">IF(O768&gt;0,Q768/O768,"")</f>
        <v>0.509803921568627</v>
      </c>
      <c r="U768" s="84" t="n">
        <f aca="false">IF(O768&gt;0,O768,"")</f>
        <v>102</v>
      </c>
    </row>
    <row r="769" customFormat="false" ht="15" hidden="false" customHeight="false" outlineLevel="0" collapsed="false">
      <c r="A769" s="81" t="s">
        <v>1412</v>
      </c>
      <c r="B769" s="82" t="n">
        <v>46101</v>
      </c>
      <c r="C769" s="81" t="s">
        <v>256</v>
      </c>
      <c r="D769" s="83" t="str">
        <f aca="false">IFERROR(INDEX(c_Name,MATCH($C769,c_ID,0)),"غير معرّف")</f>
        <v>فهد البلوي</v>
      </c>
      <c r="E769" s="83" t="str">
        <f aca="false">IFERROR(INDEX(c_Region,MATCH($C769,c_ID,0)),"غير معرّف")</f>
        <v>الجنوبية</v>
      </c>
      <c r="F769" s="81" t="s">
        <v>174</v>
      </c>
      <c r="G769" s="83" t="str">
        <f aca="false">IFERROR(INDEX(p_Name,MATCH($F769,p_ID,0)),"غير معرّف")</f>
        <v>خزانة ملفات</v>
      </c>
      <c r="H769" s="83" t="str">
        <f aca="false">IFERROR(INDEX(p_Cat,MATCH($F769,p_ID,0)),"غير معرّف")</f>
        <v>أثاث</v>
      </c>
      <c r="I769" s="81" t="s">
        <v>465</v>
      </c>
      <c r="J769" s="81" t="s">
        <v>95</v>
      </c>
      <c r="K769" s="81" t="n">
        <v>6</v>
      </c>
      <c r="L769" s="84" t="n">
        <f aca="false">IFERROR(INDEX(p_Price,MATCH($F769,p_ID,0)),0)</f>
        <v>700</v>
      </c>
      <c r="M769" s="85" t="n">
        <v>0.1</v>
      </c>
      <c r="N769" s="81" t="s">
        <v>644</v>
      </c>
      <c r="O769" s="84" t="n">
        <f aca="false">IF($N769="مرتجع",0,K769*L769*(1-M769))</f>
        <v>3780</v>
      </c>
      <c r="P769" s="84" t="n">
        <f aca="false">IF($N769="مرتجع",0,K769*IFERROR(INDEX(p_Cost,MATCH($F769,p_ID,0)),0))</f>
        <v>2460</v>
      </c>
      <c r="Q769" s="84" t="n">
        <f aca="false">O769-P769</f>
        <v>1320</v>
      </c>
      <c r="R769" s="86" t="n">
        <f aca="false">DATE(YEAR(B769),MONTH(B769),1)</f>
        <v>46082</v>
      </c>
      <c r="S769" s="83" t="str">
        <f aca="false">YEAR(B769)&amp;"-Q"&amp;ROUNDUP(MONTH(B769)/3,0)</f>
        <v>2026-Q1</v>
      </c>
      <c r="T769" s="87" t="n">
        <f aca="false">IF(O769&gt;0,Q769/O769,"")</f>
        <v>0.349206349206349</v>
      </c>
      <c r="U769" s="84" t="n">
        <f aca="false">IF(O769&gt;0,O769,"")</f>
        <v>3780</v>
      </c>
    </row>
    <row r="770" customFormat="false" ht="15" hidden="false" customHeight="false" outlineLevel="0" collapsed="false">
      <c r="A770" s="81" t="s">
        <v>1413</v>
      </c>
      <c r="B770" s="82" t="n">
        <v>46101</v>
      </c>
      <c r="C770" s="81" t="s">
        <v>346</v>
      </c>
      <c r="D770" s="83" t="str">
        <f aca="false">IFERROR(INDEX(c_Name,MATCH($C770,c_ID,0)),"غير معرّف")</f>
        <v>لمى التميمي</v>
      </c>
      <c r="E770" s="83" t="str">
        <f aca="false">IFERROR(INDEX(c_Region,MATCH($C770,c_ID,0)),"غير معرّف")</f>
        <v>الشرقية</v>
      </c>
      <c r="F770" s="81" t="s">
        <v>185</v>
      </c>
      <c r="G770" s="83" t="str">
        <f aca="false">IFERROR(INDEX(p_Name,MATCH($F770,p_ID,0)),"غير معرّف")</f>
        <v>ماكينة حلاقة</v>
      </c>
      <c r="H770" s="83" t="str">
        <f aca="false">IFERROR(INDEX(p_Cat,MATCH($F770,p_ID,0)),"غير معرّف")</f>
        <v>عناية شخصية</v>
      </c>
      <c r="I770" s="81" t="s">
        <v>461</v>
      </c>
      <c r="J770" s="81" t="s">
        <v>93</v>
      </c>
      <c r="K770" s="81" t="n">
        <v>1</v>
      </c>
      <c r="L770" s="84" t="n">
        <f aca="false">IFERROR(INDEX(p_Price,MATCH($F770,p_ID,0)),0)</f>
        <v>340</v>
      </c>
      <c r="M770" s="85" t="n">
        <v>0.05</v>
      </c>
      <c r="N770" s="81" t="s">
        <v>644</v>
      </c>
      <c r="O770" s="84" t="n">
        <f aca="false">IF($N770="مرتجع",0,K770*L770*(1-M770))</f>
        <v>323</v>
      </c>
      <c r="P770" s="84" t="n">
        <f aca="false">IF($N770="مرتجع",0,K770*IFERROR(INDEX(p_Cost,MATCH($F770,p_ID,0)),0))</f>
        <v>170</v>
      </c>
      <c r="Q770" s="84" t="n">
        <f aca="false">O770-P770</f>
        <v>153</v>
      </c>
      <c r="R770" s="86" t="n">
        <f aca="false">DATE(YEAR(B770),MONTH(B770),1)</f>
        <v>46082</v>
      </c>
      <c r="S770" s="83" t="str">
        <f aca="false">YEAR(B770)&amp;"-Q"&amp;ROUNDUP(MONTH(B770)/3,0)</f>
        <v>2026-Q1</v>
      </c>
      <c r="T770" s="87" t="n">
        <f aca="false">IF(O770&gt;0,Q770/O770,"")</f>
        <v>0.473684210526316</v>
      </c>
      <c r="U770" s="84" t="n">
        <f aca="false">IF(O770&gt;0,O770,"")</f>
        <v>323</v>
      </c>
    </row>
    <row r="771" customFormat="false" ht="15" hidden="false" customHeight="false" outlineLevel="0" collapsed="false">
      <c r="A771" s="81" t="s">
        <v>1414</v>
      </c>
      <c r="B771" s="82" t="n">
        <v>46101</v>
      </c>
      <c r="C771" s="81" t="s">
        <v>333</v>
      </c>
      <c r="D771" s="83" t="str">
        <f aca="false">IFERROR(INDEX(c_Name,MATCH($C771,c_ID,0)),"غير معرّف")</f>
        <v>جود الحربي</v>
      </c>
      <c r="E771" s="83" t="str">
        <f aca="false">IFERROR(INDEX(c_Region,MATCH($C771,c_ID,0)),"غير معرّف")</f>
        <v>الوسطى</v>
      </c>
      <c r="F771" s="81" t="s">
        <v>167</v>
      </c>
      <c r="G771" s="83" t="str">
        <f aca="false">IFERROR(INDEX(p_Name,MATCH($F771,p_ID,0)),"غير معرّف")</f>
        <v>شاشة 27 بوصة</v>
      </c>
      <c r="H771" s="83" t="str">
        <f aca="false">IFERROR(INDEX(p_Cat,MATCH($F771,p_ID,0)),"غير معرّف")</f>
        <v>إلكترونيات</v>
      </c>
      <c r="I771" s="81" t="s">
        <v>443</v>
      </c>
      <c r="J771" s="81" t="s">
        <v>93</v>
      </c>
      <c r="K771" s="81" t="n">
        <v>3</v>
      </c>
      <c r="L771" s="84" t="n">
        <f aca="false">IFERROR(INDEX(p_Price,MATCH($F771,p_ID,0)),0)</f>
        <v>1100</v>
      </c>
      <c r="M771" s="85" t="n">
        <v>0.05</v>
      </c>
      <c r="N771" s="81" t="s">
        <v>644</v>
      </c>
      <c r="O771" s="84" t="n">
        <f aca="false">IF($N771="مرتجع",0,K771*L771*(1-M771))</f>
        <v>3135</v>
      </c>
      <c r="P771" s="84" t="n">
        <f aca="false">IF($N771="مرتجع",0,K771*IFERROR(INDEX(p_Cost,MATCH($F771,p_ID,0)),0))</f>
        <v>2340</v>
      </c>
      <c r="Q771" s="84" t="n">
        <f aca="false">O771-P771</f>
        <v>795</v>
      </c>
      <c r="R771" s="86" t="n">
        <f aca="false">DATE(YEAR(B771),MONTH(B771),1)</f>
        <v>46082</v>
      </c>
      <c r="S771" s="83" t="str">
        <f aca="false">YEAR(B771)&amp;"-Q"&amp;ROUNDUP(MONTH(B771)/3,0)</f>
        <v>2026-Q1</v>
      </c>
      <c r="T771" s="87" t="n">
        <f aca="false">IF(O771&gt;0,Q771/O771,"")</f>
        <v>0.253588516746412</v>
      </c>
      <c r="U771" s="84" t="n">
        <f aca="false">IF(O771&gt;0,O771,"")</f>
        <v>3135</v>
      </c>
    </row>
    <row r="772" customFormat="false" ht="15" hidden="false" customHeight="false" outlineLevel="0" collapsed="false">
      <c r="A772" s="81" t="s">
        <v>1415</v>
      </c>
      <c r="B772" s="82" t="n">
        <v>46101</v>
      </c>
      <c r="C772" s="81" t="s">
        <v>234</v>
      </c>
      <c r="D772" s="83" t="str">
        <f aca="false">IFERROR(INDEX(c_Name,MATCH($C772,c_ID,0)),"غير معرّف")</f>
        <v>هند الخالدي</v>
      </c>
      <c r="E772" s="83" t="str">
        <f aca="false">IFERROR(INDEX(c_Region,MATCH($C772,c_ID,0)),"غير معرّف")</f>
        <v>الوسطى</v>
      </c>
      <c r="F772" s="81" t="s">
        <v>175</v>
      </c>
      <c r="G772" s="83" t="str">
        <f aca="false">IFERROR(INDEX(p_Name,MATCH($F772,p_ID,0)),"غير معرّف")</f>
        <v>رف كتب</v>
      </c>
      <c r="H772" s="83" t="str">
        <f aca="false">IFERROR(INDEX(p_Cat,MATCH($F772,p_ID,0)),"غير معرّف")</f>
        <v>أثاث</v>
      </c>
      <c r="I772" s="81" t="s">
        <v>446</v>
      </c>
      <c r="J772" s="81" t="s">
        <v>91</v>
      </c>
      <c r="K772" s="81" t="n">
        <v>2</v>
      </c>
      <c r="L772" s="84" t="n">
        <f aca="false">IFERROR(INDEX(p_Price,MATCH($F772,p_ID,0)),0)</f>
        <v>400</v>
      </c>
      <c r="M772" s="85" t="n">
        <v>0.05</v>
      </c>
      <c r="N772" s="81" t="s">
        <v>644</v>
      </c>
      <c r="O772" s="84" t="n">
        <f aca="false">IF($N772="مرتجع",0,K772*L772*(1-M772))</f>
        <v>760</v>
      </c>
      <c r="P772" s="84" t="n">
        <f aca="false">IF($N772="مرتجع",0,K772*IFERROR(INDEX(p_Cost,MATCH($F772,p_ID,0)),0))</f>
        <v>440</v>
      </c>
      <c r="Q772" s="84" t="n">
        <f aca="false">O772-P772</f>
        <v>320</v>
      </c>
      <c r="R772" s="86" t="n">
        <f aca="false">DATE(YEAR(B772),MONTH(B772),1)</f>
        <v>46082</v>
      </c>
      <c r="S772" s="83" t="str">
        <f aca="false">YEAR(B772)&amp;"-Q"&amp;ROUNDUP(MONTH(B772)/3,0)</f>
        <v>2026-Q1</v>
      </c>
      <c r="T772" s="87" t="n">
        <f aca="false">IF(O772&gt;0,Q772/O772,"")</f>
        <v>0.421052631578947</v>
      </c>
      <c r="U772" s="84" t="n">
        <f aca="false">IF(O772&gt;0,O772,"")</f>
        <v>760</v>
      </c>
    </row>
    <row r="773" customFormat="false" ht="15" hidden="false" customHeight="false" outlineLevel="0" collapsed="false">
      <c r="A773" s="81" t="s">
        <v>1416</v>
      </c>
      <c r="B773" s="82" t="n">
        <v>46101</v>
      </c>
      <c r="C773" s="81" t="s">
        <v>340</v>
      </c>
      <c r="D773" s="83" t="str">
        <f aca="false">IFERROR(INDEX(c_Name,MATCH($C773,c_ID,0)),"غير معرّف")</f>
        <v>سعد الشهري</v>
      </c>
      <c r="E773" s="83" t="str">
        <f aca="false">IFERROR(INDEX(c_Region,MATCH($C773,c_ID,0)),"غير معرّف")</f>
        <v>الوسطى</v>
      </c>
      <c r="F773" s="81" t="s">
        <v>164</v>
      </c>
      <c r="G773" s="83" t="str">
        <f aca="false">IFERROR(INDEX(p_Name,MATCH($F773,p_ID,0)),"غير معرّف")</f>
        <v>هاتف ذكي</v>
      </c>
      <c r="H773" s="83" t="str">
        <f aca="false">IFERROR(INDEX(p_Cat,MATCH($F773,p_ID,0)),"غير معرّف")</f>
        <v>إلكترونيات</v>
      </c>
      <c r="I773" s="81" t="s">
        <v>446</v>
      </c>
      <c r="J773" s="81" t="s">
        <v>91</v>
      </c>
      <c r="K773" s="81" t="n">
        <v>1</v>
      </c>
      <c r="L773" s="84" t="n">
        <f aca="false">IFERROR(INDEX(p_Price,MATCH($F773,p_ID,0)),0)</f>
        <v>2400</v>
      </c>
      <c r="M773" s="85" t="n">
        <v>0</v>
      </c>
      <c r="N773" s="81" t="s">
        <v>644</v>
      </c>
      <c r="O773" s="84" t="n">
        <f aca="false">IF($N773="مرتجع",0,K773*L773*(1-M773))</f>
        <v>2400</v>
      </c>
      <c r="P773" s="84" t="n">
        <f aca="false">IF($N773="مرتجع",0,K773*IFERROR(INDEX(p_Cost,MATCH($F773,p_ID,0)),0))</f>
        <v>1750</v>
      </c>
      <c r="Q773" s="84" t="n">
        <f aca="false">O773-P773</f>
        <v>650</v>
      </c>
      <c r="R773" s="86" t="n">
        <f aca="false">DATE(YEAR(B773),MONTH(B773),1)</f>
        <v>46082</v>
      </c>
      <c r="S773" s="83" t="str">
        <f aca="false">YEAR(B773)&amp;"-Q"&amp;ROUNDUP(MONTH(B773)/3,0)</f>
        <v>2026-Q1</v>
      </c>
      <c r="T773" s="87" t="n">
        <f aca="false">IF(O773&gt;0,Q773/O773,"")</f>
        <v>0.270833333333333</v>
      </c>
      <c r="U773" s="84" t="n">
        <f aca="false">IF(O773&gt;0,O773,"")</f>
        <v>2400</v>
      </c>
    </row>
    <row r="774" customFormat="false" ht="15" hidden="false" customHeight="false" outlineLevel="0" collapsed="false">
      <c r="A774" s="81" t="s">
        <v>1417</v>
      </c>
      <c r="B774" s="82" t="n">
        <v>46102</v>
      </c>
      <c r="C774" s="81" t="s">
        <v>345</v>
      </c>
      <c r="D774" s="83" t="str">
        <f aca="false">IFERROR(INDEX(c_Name,MATCH($C774,c_ID,0)),"غير معرّف")</f>
        <v>عبدالله العنزي</v>
      </c>
      <c r="E774" s="83" t="str">
        <f aca="false">IFERROR(INDEX(c_Region,MATCH($C774,c_ID,0)),"غير معرّف")</f>
        <v>الغربية</v>
      </c>
      <c r="F774" s="81" t="s">
        <v>168</v>
      </c>
      <c r="G774" s="83" t="str">
        <f aca="false">IFERROR(INDEX(p_Name,MATCH($F774,p_ID,0)),"غير معرّف")</f>
        <v>مكنسة كهربائية</v>
      </c>
      <c r="H774" s="83" t="str">
        <f aca="false">IFERROR(INDEX(p_Cat,MATCH($F774,p_ID,0)),"غير معرّف")</f>
        <v>أجهزة منزلية</v>
      </c>
      <c r="I774" s="81" t="s">
        <v>452</v>
      </c>
      <c r="J774" s="81" t="s">
        <v>91</v>
      </c>
      <c r="K774" s="81" t="n">
        <v>1</v>
      </c>
      <c r="L774" s="84" t="n">
        <f aca="false">IFERROR(INDEX(p_Price,MATCH($F774,p_ID,0)),0)</f>
        <v>650</v>
      </c>
      <c r="M774" s="85" t="n">
        <v>0.2</v>
      </c>
      <c r="N774" s="81" t="s">
        <v>644</v>
      </c>
      <c r="O774" s="84" t="n">
        <f aca="false">IF($N774="مرتجع",0,K774*L774*(1-M774))</f>
        <v>520</v>
      </c>
      <c r="P774" s="84" t="n">
        <f aca="false">IF($N774="مرتجع",0,K774*IFERROR(INDEX(p_Cost,MATCH($F774,p_ID,0)),0))</f>
        <v>420</v>
      </c>
      <c r="Q774" s="84" t="n">
        <f aca="false">O774-P774</f>
        <v>100</v>
      </c>
      <c r="R774" s="86" t="n">
        <f aca="false">DATE(YEAR(B774),MONTH(B774),1)</f>
        <v>46082</v>
      </c>
      <c r="S774" s="83" t="str">
        <f aca="false">YEAR(B774)&amp;"-Q"&amp;ROUNDUP(MONTH(B774)/3,0)</f>
        <v>2026-Q1</v>
      </c>
      <c r="T774" s="87" t="n">
        <f aca="false">IF(O774&gt;0,Q774/O774,"")</f>
        <v>0.192307692307692</v>
      </c>
      <c r="U774" s="84" t="n">
        <f aca="false">IF(O774&gt;0,O774,"")</f>
        <v>520</v>
      </c>
    </row>
    <row r="775" customFormat="false" ht="15" hidden="false" customHeight="false" outlineLevel="0" collapsed="false">
      <c r="A775" s="81" t="s">
        <v>1418</v>
      </c>
      <c r="B775" s="82" t="n">
        <v>46102</v>
      </c>
      <c r="C775" s="81" t="s">
        <v>253</v>
      </c>
      <c r="D775" s="83" t="str">
        <f aca="false">IFERROR(INDEX(c_Name,MATCH($C775,c_ID,0)),"غير معرّف")</f>
        <v>هند القحطاني</v>
      </c>
      <c r="E775" s="83" t="str">
        <f aca="false">IFERROR(INDEX(c_Region,MATCH($C775,c_ID,0)),"غير معرّف")</f>
        <v>الشرقية</v>
      </c>
      <c r="F775" s="81" t="s">
        <v>171</v>
      </c>
      <c r="G775" s="83" t="str">
        <f aca="false">IFERROR(INDEX(p_Name,MATCH($F775,p_ID,0)),"غير معرّف")</f>
        <v>قلاية هوائية</v>
      </c>
      <c r="H775" s="83" t="str">
        <f aca="false">IFERROR(INDEX(p_Cat,MATCH($F775,p_ID,0)),"غير معرّف")</f>
        <v>أجهزة منزلية</v>
      </c>
      <c r="I775" s="81" t="s">
        <v>461</v>
      </c>
      <c r="J775" s="81" t="s">
        <v>93</v>
      </c>
      <c r="K775" s="81" t="n">
        <v>2</v>
      </c>
      <c r="L775" s="84" t="n">
        <f aca="false">IFERROR(INDEX(p_Price,MATCH($F775,p_ID,0)),0)</f>
        <v>520</v>
      </c>
      <c r="M775" s="85" t="n">
        <v>0.15</v>
      </c>
      <c r="N775" s="81" t="s">
        <v>644</v>
      </c>
      <c r="O775" s="84" t="n">
        <f aca="false">IF($N775="مرتجع",0,K775*L775*(1-M775))</f>
        <v>884</v>
      </c>
      <c r="P775" s="84" t="n">
        <f aca="false">IF($N775="مرتجع",0,K775*IFERROR(INDEX(p_Cost,MATCH($F775,p_ID,0)),0))</f>
        <v>600</v>
      </c>
      <c r="Q775" s="84" t="n">
        <f aca="false">O775-P775</f>
        <v>284</v>
      </c>
      <c r="R775" s="86" t="n">
        <f aca="false">DATE(YEAR(B775),MONTH(B775),1)</f>
        <v>46082</v>
      </c>
      <c r="S775" s="83" t="str">
        <f aca="false">YEAR(B775)&amp;"-Q"&amp;ROUNDUP(MONTH(B775)/3,0)</f>
        <v>2026-Q1</v>
      </c>
      <c r="T775" s="87" t="n">
        <f aca="false">IF(O775&gt;0,Q775/O775,"")</f>
        <v>0.321266968325792</v>
      </c>
      <c r="U775" s="84" t="n">
        <f aca="false">IF(O775&gt;0,O775,"")</f>
        <v>884</v>
      </c>
    </row>
    <row r="776" customFormat="false" ht="15" hidden="false" customHeight="false" outlineLevel="0" collapsed="false">
      <c r="A776" s="81" t="s">
        <v>1419</v>
      </c>
      <c r="B776" s="82" t="n">
        <v>46102</v>
      </c>
      <c r="C776" s="81" t="s">
        <v>349</v>
      </c>
      <c r="D776" s="83" t="str">
        <f aca="false">IFERROR(INDEX(c_Name,MATCH($C776,c_ID,0)),"غير معرّف")</f>
        <v>خالد الزهراني</v>
      </c>
      <c r="E776" s="83" t="str">
        <f aca="false">IFERROR(INDEX(c_Region,MATCH($C776,c_ID,0)),"غير معرّف")</f>
        <v>الوسطى</v>
      </c>
      <c r="F776" s="81" t="s">
        <v>185</v>
      </c>
      <c r="G776" s="83" t="str">
        <f aca="false">IFERROR(INDEX(p_Name,MATCH($F776,p_ID,0)),"غير معرّف")</f>
        <v>ماكينة حلاقة</v>
      </c>
      <c r="H776" s="83" t="str">
        <f aca="false">IFERROR(INDEX(p_Cat,MATCH($F776,p_ID,0)),"غير معرّف")</f>
        <v>عناية شخصية</v>
      </c>
      <c r="I776" s="81" t="s">
        <v>449</v>
      </c>
      <c r="J776" s="81" t="s">
        <v>91</v>
      </c>
      <c r="K776" s="81" t="n">
        <v>1</v>
      </c>
      <c r="L776" s="84" t="n">
        <f aca="false">IFERROR(INDEX(p_Price,MATCH($F776,p_ID,0)),0)</f>
        <v>340</v>
      </c>
      <c r="M776" s="85" t="n">
        <v>0.1</v>
      </c>
      <c r="N776" s="81" t="s">
        <v>644</v>
      </c>
      <c r="O776" s="84" t="n">
        <f aca="false">IF($N776="مرتجع",0,K776*L776*(1-M776))</f>
        <v>306</v>
      </c>
      <c r="P776" s="84" t="n">
        <f aca="false">IF($N776="مرتجع",0,K776*IFERROR(INDEX(p_Cost,MATCH($F776,p_ID,0)),0))</f>
        <v>170</v>
      </c>
      <c r="Q776" s="84" t="n">
        <f aca="false">O776-P776</f>
        <v>136</v>
      </c>
      <c r="R776" s="86" t="n">
        <f aca="false">DATE(YEAR(B776),MONTH(B776),1)</f>
        <v>46082</v>
      </c>
      <c r="S776" s="83" t="str">
        <f aca="false">YEAR(B776)&amp;"-Q"&amp;ROUNDUP(MONTH(B776)/3,0)</f>
        <v>2026-Q1</v>
      </c>
      <c r="T776" s="87" t="n">
        <f aca="false">IF(O776&gt;0,Q776/O776,"")</f>
        <v>0.444444444444444</v>
      </c>
      <c r="U776" s="84" t="n">
        <f aca="false">IF(O776&gt;0,O776,"")</f>
        <v>306</v>
      </c>
    </row>
    <row r="777" customFormat="false" ht="15" hidden="false" customHeight="false" outlineLevel="0" collapsed="false">
      <c r="A777" s="81" t="s">
        <v>1420</v>
      </c>
      <c r="B777" s="82" t="n">
        <v>46102</v>
      </c>
      <c r="C777" s="81" t="s">
        <v>312</v>
      </c>
      <c r="D777" s="83" t="str">
        <f aca="false">IFERROR(INDEX(c_Name,MATCH($C777,c_ID,0)),"غير معرّف")</f>
        <v>دانة الدوسري</v>
      </c>
      <c r="E777" s="83" t="str">
        <f aca="false">IFERROR(INDEX(c_Region,MATCH($C777,c_ID,0)),"غير معرّف")</f>
        <v>الشرقية</v>
      </c>
      <c r="F777" s="81" t="s">
        <v>184</v>
      </c>
      <c r="G777" s="83" t="str">
        <f aca="false">IFERROR(INDEX(p_Name,MATCH($F777,p_ID,0)),"غير معرّف")</f>
        <v>عطر فاخر</v>
      </c>
      <c r="H777" s="83" t="str">
        <f aca="false">IFERROR(INDEX(p_Cat,MATCH($F777,p_ID,0)),"غير معرّف")</f>
        <v>عناية شخصية</v>
      </c>
      <c r="I777" s="81" t="s">
        <v>461</v>
      </c>
      <c r="J777" s="81" t="s">
        <v>93</v>
      </c>
      <c r="K777" s="81" t="n">
        <v>2</v>
      </c>
      <c r="L777" s="84" t="n">
        <f aca="false">IFERROR(INDEX(p_Price,MATCH($F777,p_ID,0)),0)</f>
        <v>520</v>
      </c>
      <c r="M777" s="85" t="n">
        <v>0.1</v>
      </c>
      <c r="N777" s="81" t="s">
        <v>644</v>
      </c>
      <c r="O777" s="84" t="n">
        <f aca="false">IF($N777="مرتجع",0,K777*L777*(1-M777))</f>
        <v>936</v>
      </c>
      <c r="P777" s="84" t="n">
        <f aca="false">IF($N777="مرتجع",0,K777*IFERROR(INDEX(p_Cost,MATCH($F777,p_ID,0)),0))</f>
        <v>420</v>
      </c>
      <c r="Q777" s="84" t="n">
        <f aca="false">O777-P777</f>
        <v>516</v>
      </c>
      <c r="R777" s="86" t="n">
        <f aca="false">DATE(YEAR(B777),MONTH(B777),1)</f>
        <v>46082</v>
      </c>
      <c r="S777" s="83" t="str">
        <f aca="false">YEAR(B777)&amp;"-Q"&amp;ROUNDUP(MONTH(B777)/3,0)</f>
        <v>2026-Q1</v>
      </c>
      <c r="T777" s="87" t="n">
        <f aca="false">IF(O777&gt;0,Q777/O777,"")</f>
        <v>0.551282051282051</v>
      </c>
      <c r="U777" s="84" t="n">
        <f aca="false">IF(O777&gt;0,O777,"")</f>
        <v>936</v>
      </c>
    </row>
    <row r="778" customFormat="false" ht="15" hidden="false" customHeight="false" outlineLevel="0" collapsed="false">
      <c r="A778" s="81" t="s">
        <v>1421</v>
      </c>
      <c r="B778" s="82" t="n">
        <v>46102</v>
      </c>
      <c r="C778" s="81" t="s">
        <v>387</v>
      </c>
      <c r="D778" s="83" t="str">
        <f aca="false">IFERROR(INDEX(c_Name,MATCH($C778,c_ID,0)),"غير معرّف")</f>
        <v>لمى الشمري</v>
      </c>
      <c r="E778" s="83" t="str">
        <f aca="false">IFERROR(INDEX(c_Region,MATCH($C778,c_ID,0)),"غير معرّف")</f>
        <v>الوسطى</v>
      </c>
      <c r="F778" s="81" t="s">
        <v>180</v>
      </c>
      <c r="G778" s="83" t="str">
        <f aca="false">IFERROR(INDEX(p_Name,MATCH($F778,p_ID,0)),"غير معرّف")</f>
        <v>جهاز مشي</v>
      </c>
      <c r="H778" s="83" t="str">
        <f aca="false">IFERROR(INDEX(p_Cat,MATCH($F778,p_ID,0)),"غير معرّف")</f>
        <v>رياضة</v>
      </c>
      <c r="I778" s="81" t="s">
        <v>446</v>
      </c>
      <c r="J778" s="81" t="s">
        <v>91</v>
      </c>
      <c r="K778" s="81" t="n">
        <v>1</v>
      </c>
      <c r="L778" s="84" t="n">
        <f aca="false">IFERROR(INDEX(p_Price,MATCH($F778,p_ID,0)),0)</f>
        <v>3200</v>
      </c>
      <c r="M778" s="85" t="n">
        <v>0</v>
      </c>
      <c r="N778" s="81" t="s">
        <v>644</v>
      </c>
      <c r="O778" s="84" t="n">
        <f aca="false">IF($N778="مرتجع",0,K778*L778*(1-M778))</f>
        <v>3200</v>
      </c>
      <c r="P778" s="84" t="n">
        <f aca="false">IF($N778="مرتجع",0,K778*IFERROR(INDEX(p_Cost,MATCH($F778,p_ID,0)),0))</f>
        <v>2200</v>
      </c>
      <c r="Q778" s="84" t="n">
        <f aca="false">O778-P778</f>
        <v>1000</v>
      </c>
      <c r="R778" s="86" t="n">
        <f aca="false">DATE(YEAR(B778),MONTH(B778),1)</f>
        <v>46082</v>
      </c>
      <c r="S778" s="83" t="str">
        <f aca="false">YEAR(B778)&amp;"-Q"&amp;ROUNDUP(MONTH(B778)/3,0)</f>
        <v>2026-Q1</v>
      </c>
      <c r="T778" s="87" t="n">
        <f aca="false">IF(O778&gt;0,Q778/O778,"")</f>
        <v>0.3125</v>
      </c>
      <c r="U778" s="84" t="n">
        <f aca="false">IF(O778&gt;0,O778,"")</f>
        <v>3200</v>
      </c>
    </row>
    <row r="779" customFormat="false" ht="15" hidden="false" customHeight="false" outlineLevel="0" collapsed="false">
      <c r="A779" s="81" t="s">
        <v>1422</v>
      </c>
      <c r="B779" s="82" t="n">
        <v>46102</v>
      </c>
      <c r="C779" s="81" t="s">
        <v>394</v>
      </c>
      <c r="D779" s="83" t="str">
        <f aca="false">IFERROR(INDEX(c_Name,MATCH($C779,c_ID,0)),"غير معرّف")</f>
        <v>طارق الغامدي</v>
      </c>
      <c r="E779" s="83" t="str">
        <f aca="false">IFERROR(INDEX(c_Region,MATCH($C779,c_ID,0)),"غير معرّف")</f>
        <v>الشرقية</v>
      </c>
      <c r="F779" s="81" t="s">
        <v>185</v>
      </c>
      <c r="G779" s="83" t="str">
        <f aca="false">IFERROR(INDEX(p_Name,MATCH($F779,p_ID,0)),"غير معرّف")</f>
        <v>ماكينة حلاقة</v>
      </c>
      <c r="H779" s="83" t="str">
        <f aca="false">IFERROR(INDEX(p_Cat,MATCH($F779,p_ID,0)),"غير معرّف")</f>
        <v>عناية شخصية</v>
      </c>
      <c r="I779" s="81" t="s">
        <v>461</v>
      </c>
      <c r="J779" s="81" t="s">
        <v>93</v>
      </c>
      <c r="K779" s="81" t="n">
        <v>4</v>
      </c>
      <c r="L779" s="84" t="n">
        <f aca="false">IFERROR(INDEX(p_Price,MATCH($F779,p_ID,0)),0)</f>
        <v>340</v>
      </c>
      <c r="M779" s="85" t="n">
        <v>0.15</v>
      </c>
      <c r="N779" s="81" t="s">
        <v>644</v>
      </c>
      <c r="O779" s="84" t="n">
        <f aca="false">IF($N779="مرتجع",0,K779*L779*(1-M779))</f>
        <v>1156</v>
      </c>
      <c r="P779" s="84" t="n">
        <f aca="false">IF($N779="مرتجع",0,K779*IFERROR(INDEX(p_Cost,MATCH($F779,p_ID,0)),0))</f>
        <v>680</v>
      </c>
      <c r="Q779" s="84" t="n">
        <f aca="false">O779-P779</f>
        <v>476</v>
      </c>
      <c r="R779" s="86" t="n">
        <f aca="false">DATE(YEAR(B779),MONTH(B779),1)</f>
        <v>46082</v>
      </c>
      <c r="S779" s="83" t="str">
        <f aca="false">YEAR(B779)&amp;"-Q"&amp;ROUNDUP(MONTH(B779)/3,0)</f>
        <v>2026-Q1</v>
      </c>
      <c r="T779" s="87" t="n">
        <f aca="false">IF(O779&gt;0,Q779/O779,"")</f>
        <v>0.411764705882353</v>
      </c>
      <c r="U779" s="84" t="n">
        <f aca="false">IF(O779&gt;0,O779,"")</f>
        <v>1156</v>
      </c>
    </row>
    <row r="780" customFormat="false" ht="15" hidden="false" customHeight="false" outlineLevel="0" collapsed="false">
      <c r="A780" s="81" t="s">
        <v>1423</v>
      </c>
      <c r="B780" s="82" t="n">
        <v>46103</v>
      </c>
      <c r="C780" s="81" t="s">
        <v>249</v>
      </c>
      <c r="D780" s="83" t="str">
        <f aca="false">IFERROR(INDEX(c_Name,MATCH($C780,c_ID,0)),"غير معرّف")</f>
        <v>ريم الحسيني</v>
      </c>
      <c r="E780" s="83" t="str">
        <f aca="false">IFERROR(INDEX(c_Region,MATCH($C780,c_ID,0)),"غير معرّف")</f>
        <v>الوسطى</v>
      </c>
      <c r="F780" s="81" t="s">
        <v>171</v>
      </c>
      <c r="G780" s="83" t="str">
        <f aca="false">IFERROR(INDEX(p_Name,MATCH($F780,p_ID,0)),"غير معرّف")</f>
        <v>قلاية هوائية</v>
      </c>
      <c r="H780" s="83" t="str">
        <f aca="false">IFERROR(INDEX(p_Cat,MATCH($F780,p_ID,0)),"غير معرّف")</f>
        <v>أجهزة منزلية</v>
      </c>
      <c r="I780" s="81" t="s">
        <v>446</v>
      </c>
      <c r="J780" s="81" t="s">
        <v>91</v>
      </c>
      <c r="K780" s="81" t="n">
        <v>1</v>
      </c>
      <c r="L780" s="84" t="n">
        <f aca="false">IFERROR(INDEX(p_Price,MATCH($F780,p_ID,0)),0)</f>
        <v>520</v>
      </c>
      <c r="M780" s="85" t="n">
        <v>0.05</v>
      </c>
      <c r="N780" s="81" t="s">
        <v>644</v>
      </c>
      <c r="O780" s="84" t="n">
        <f aca="false">IF($N780="مرتجع",0,K780*L780*(1-M780))</f>
        <v>494</v>
      </c>
      <c r="P780" s="84" t="n">
        <f aca="false">IF($N780="مرتجع",0,K780*IFERROR(INDEX(p_Cost,MATCH($F780,p_ID,0)),0))</f>
        <v>300</v>
      </c>
      <c r="Q780" s="84" t="n">
        <f aca="false">O780-P780</f>
        <v>194</v>
      </c>
      <c r="R780" s="86" t="n">
        <f aca="false">DATE(YEAR(B780),MONTH(B780),1)</f>
        <v>46082</v>
      </c>
      <c r="S780" s="83" t="str">
        <f aca="false">YEAR(B780)&amp;"-Q"&amp;ROUNDUP(MONTH(B780)/3,0)</f>
        <v>2026-Q1</v>
      </c>
      <c r="T780" s="87" t="n">
        <f aca="false">IF(O780&gt;0,Q780/O780,"")</f>
        <v>0.392712550607287</v>
      </c>
      <c r="U780" s="84" t="n">
        <f aca="false">IF(O780&gt;0,O780,"")</f>
        <v>494</v>
      </c>
    </row>
    <row r="781" customFormat="false" ht="15" hidden="false" customHeight="false" outlineLevel="0" collapsed="false">
      <c r="A781" s="81" t="s">
        <v>1424</v>
      </c>
      <c r="B781" s="82" t="n">
        <v>46104</v>
      </c>
      <c r="C781" s="81" t="s">
        <v>268</v>
      </c>
      <c r="D781" s="83" t="str">
        <f aca="false">IFERROR(INDEX(c_Name,MATCH($C781,c_ID,0)),"غير معرّف")</f>
        <v>جود التميمي</v>
      </c>
      <c r="E781" s="83" t="str">
        <f aca="false">IFERROR(INDEX(c_Region,MATCH($C781,c_ID,0)),"غير معرّف")</f>
        <v>الغربية</v>
      </c>
      <c r="F781" s="81" t="s">
        <v>186</v>
      </c>
      <c r="G781" s="83" t="str">
        <f aca="false">IFERROR(INDEX(p_Name,MATCH($F781,p_ID,0)),"غير معرّف")</f>
        <v>مجفف شعر</v>
      </c>
      <c r="H781" s="83" t="str">
        <f aca="false">IFERROR(INDEX(p_Cat,MATCH($F781,p_ID,0)),"غير معرّف")</f>
        <v>عناية شخصية</v>
      </c>
      <c r="I781" s="81" t="s">
        <v>452</v>
      </c>
      <c r="J781" s="81" t="s">
        <v>91</v>
      </c>
      <c r="K781" s="81" t="n">
        <v>2</v>
      </c>
      <c r="L781" s="84" t="n">
        <f aca="false">IFERROR(INDEX(p_Price,MATCH($F781,p_ID,0)),0)</f>
        <v>280</v>
      </c>
      <c r="M781" s="85" t="n">
        <v>0</v>
      </c>
      <c r="N781" s="81" t="s">
        <v>644</v>
      </c>
      <c r="O781" s="84" t="n">
        <f aca="false">IF($N781="مرتجع",0,K781*L781*(1-M781))</f>
        <v>560</v>
      </c>
      <c r="P781" s="84" t="n">
        <f aca="false">IF($N781="مرتجع",0,K781*IFERROR(INDEX(p_Cost,MATCH($F781,p_ID,0)),0))</f>
        <v>280</v>
      </c>
      <c r="Q781" s="84" t="n">
        <f aca="false">O781-P781</f>
        <v>280</v>
      </c>
      <c r="R781" s="86" t="n">
        <f aca="false">DATE(YEAR(B781),MONTH(B781),1)</f>
        <v>46082</v>
      </c>
      <c r="S781" s="83" t="str">
        <f aca="false">YEAR(B781)&amp;"-Q"&amp;ROUNDUP(MONTH(B781)/3,0)</f>
        <v>2026-Q1</v>
      </c>
      <c r="T781" s="87" t="n">
        <f aca="false">IF(O781&gt;0,Q781/O781,"")</f>
        <v>0.5</v>
      </c>
      <c r="U781" s="84" t="n">
        <f aca="false">IF(O781&gt;0,O781,"")</f>
        <v>560</v>
      </c>
    </row>
    <row r="782" customFormat="false" ht="15" hidden="false" customHeight="false" outlineLevel="0" collapsed="false">
      <c r="A782" s="81" t="s">
        <v>1425</v>
      </c>
      <c r="B782" s="82" t="n">
        <v>46105</v>
      </c>
      <c r="C782" s="81" t="s">
        <v>392</v>
      </c>
      <c r="D782" s="83" t="str">
        <f aca="false">IFERROR(INDEX(c_Name,MATCH($C782,c_ID,0)),"غير معرّف")</f>
        <v>ريم الزهراني</v>
      </c>
      <c r="E782" s="83" t="str">
        <f aca="false">IFERROR(INDEX(c_Region,MATCH($C782,c_ID,0)),"غير معرّف")</f>
        <v>الوسطى</v>
      </c>
      <c r="F782" s="81" t="s">
        <v>186</v>
      </c>
      <c r="G782" s="83" t="str">
        <f aca="false">IFERROR(INDEX(p_Name,MATCH($F782,p_ID,0)),"غير معرّف")</f>
        <v>مجفف شعر</v>
      </c>
      <c r="H782" s="83" t="str">
        <f aca="false">IFERROR(INDEX(p_Cat,MATCH($F782,p_ID,0)),"غير معرّف")</f>
        <v>عناية شخصية</v>
      </c>
      <c r="I782" s="81" t="s">
        <v>449</v>
      </c>
      <c r="J782" s="81" t="s">
        <v>93</v>
      </c>
      <c r="K782" s="81" t="n">
        <v>1</v>
      </c>
      <c r="L782" s="84" t="n">
        <f aca="false">IFERROR(INDEX(p_Price,MATCH($F782,p_ID,0)),0)</f>
        <v>280</v>
      </c>
      <c r="M782" s="85" t="n">
        <v>0</v>
      </c>
      <c r="N782" s="81" t="s">
        <v>644</v>
      </c>
      <c r="O782" s="84" t="n">
        <f aca="false">IF($N782="مرتجع",0,K782*L782*(1-M782))</f>
        <v>280</v>
      </c>
      <c r="P782" s="84" t="n">
        <f aca="false">IF($N782="مرتجع",0,K782*IFERROR(INDEX(p_Cost,MATCH($F782,p_ID,0)),0))</f>
        <v>140</v>
      </c>
      <c r="Q782" s="84" t="n">
        <f aca="false">O782-P782</f>
        <v>140</v>
      </c>
      <c r="R782" s="86" t="n">
        <f aca="false">DATE(YEAR(B782),MONTH(B782),1)</f>
        <v>46082</v>
      </c>
      <c r="S782" s="83" t="str">
        <f aca="false">YEAR(B782)&amp;"-Q"&amp;ROUNDUP(MONTH(B782)/3,0)</f>
        <v>2026-Q1</v>
      </c>
      <c r="T782" s="87" t="n">
        <f aca="false">IF(O782&gt;0,Q782/O782,"")</f>
        <v>0.5</v>
      </c>
      <c r="U782" s="84" t="n">
        <f aca="false">IF(O782&gt;0,O782,"")</f>
        <v>280</v>
      </c>
    </row>
    <row r="783" customFormat="false" ht="15" hidden="false" customHeight="false" outlineLevel="0" collapsed="false">
      <c r="A783" s="81" t="s">
        <v>1426</v>
      </c>
      <c r="B783" s="82" t="n">
        <v>46105</v>
      </c>
      <c r="C783" s="81" t="s">
        <v>249</v>
      </c>
      <c r="D783" s="83" t="str">
        <f aca="false">IFERROR(INDEX(c_Name,MATCH($C783,c_ID,0)),"غير معرّف")</f>
        <v>ريم الحسيني</v>
      </c>
      <c r="E783" s="83" t="str">
        <f aca="false">IFERROR(INDEX(c_Region,MATCH($C783,c_ID,0)),"غير معرّف")</f>
        <v>الوسطى</v>
      </c>
      <c r="F783" s="81" t="s">
        <v>184</v>
      </c>
      <c r="G783" s="83" t="str">
        <f aca="false">IFERROR(INDEX(p_Name,MATCH($F783,p_ID,0)),"غير معرّف")</f>
        <v>عطر فاخر</v>
      </c>
      <c r="H783" s="83" t="str">
        <f aca="false">IFERROR(INDEX(p_Cat,MATCH($F783,p_ID,0)),"غير معرّف")</f>
        <v>عناية شخصية</v>
      </c>
      <c r="I783" s="81" t="s">
        <v>449</v>
      </c>
      <c r="J783" s="81" t="s">
        <v>91</v>
      </c>
      <c r="K783" s="81" t="n">
        <v>1</v>
      </c>
      <c r="L783" s="84" t="n">
        <f aca="false">IFERROR(INDEX(p_Price,MATCH($F783,p_ID,0)),0)</f>
        <v>520</v>
      </c>
      <c r="M783" s="85" t="n">
        <v>0.05</v>
      </c>
      <c r="N783" s="81" t="s">
        <v>644</v>
      </c>
      <c r="O783" s="84" t="n">
        <f aca="false">IF($N783="مرتجع",0,K783*L783*(1-M783))</f>
        <v>494</v>
      </c>
      <c r="P783" s="84" t="n">
        <f aca="false">IF($N783="مرتجع",0,K783*IFERROR(INDEX(p_Cost,MATCH($F783,p_ID,0)),0))</f>
        <v>210</v>
      </c>
      <c r="Q783" s="84" t="n">
        <f aca="false">O783-P783</f>
        <v>284</v>
      </c>
      <c r="R783" s="86" t="n">
        <f aca="false">DATE(YEAR(B783),MONTH(B783),1)</f>
        <v>46082</v>
      </c>
      <c r="S783" s="83" t="str">
        <f aca="false">YEAR(B783)&amp;"-Q"&amp;ROUNDUP(MONTH(B783)/3,0)</f>
        <v>2026-Q1</v>
      </c>
      <c r="T783" s="87" t="n">
        <f aca="false">IF(O783&gt;0,Q783/O783,"")</f>
        <v>0.574898785425101</v>
      </c>
      <c r="U783" s="84" t="n">
        <f aca="false">IF(O783&gt;0,O783,"")</f>
        <v>494</v>
      </c>
    </row>
    <row r="784" customFormat="false" ht="15" hidden="false" customHeight="false" outlineLevel="0" collapsed="false">
      <c r="A784" s="81" t="s">
        <v>1427</v>
      </c>
      <c r="B784" s="82" t="n">
        <v>46105</v>
      </c>
      <c r="C784" s="81" t="s">
        <v>379</v>
      </c>
      <c r="D784" s="83" t="str">
        <f aca="false">IFERROR(INDEX(c_Name,MATCH($C784,c_ID,0)),"غير معرّف")</f>
        <v>ناصر العنزي</v>
      </c>
      <c r="E784" s="83" t="str">
        <f aca="false">IFERROR(INDEX(c_Region,MATCH($C784,c_ID,0)),"غير معرّف")</f>
        <v>الغربية</v>
      </c>
      <c r="F784" s="81" t="s">
        <v>166</v>
      </c>
      <c r="G784" s="83" t="str">
        <f aca="false">IFERROR(INDEX(p_Name,MATCH($F784,p_ID,0)),"غير معرّف")</f>
        <v>سماعات لاسلكية</v>
      </c>
      <c r="H784" s="83" t="str">
        <f aca="false">IFERROR(INDEX(p_Cat,MATCH($F784,p_ID,0)),"غير معرّف")</f>
        <v>إلكترونيات</v>
      </c>
      <c r="I784" s="81" t="s">
        <v>458</v>
      </c>
      <c r="J784" s="81" t="s">
        <v>93</v>
      </c>
      <c r="K784" s="81" t="n">
        <v>2</v>
      </c>
      <c r="L784" s="84" t="n">
        <f aca="false">IFERROR(INDEX(p_Price,MATCH($F784,p_ID,0)),0)</f>
        <v>450</v>
      </c>
      <c r="M784" s="85" t="n">
        <v>0.1</v>
      </c>
      <c r="N784" s="81" t="s">
        <v>644</v>
      </c>
      <c r="O784" s="84" t="n">
        <f aca="false">IF($N784="مرتجع",0,K784*L784*(1-M784))</f>
        <v>810</v>
      </c>
      <c r="P784" s="84" t="n">
        <f aca="false">IF($N784="مرتجع",0,K784*IFERROR(INDEX(p_Cost,MATCH($F784,p_ID,0)),0))</f>
        <v>520</v>
      </c>
      <c r="Q784" s="84" t="n">
        <f aca="false">O784-P784</f>
        <v>290</v>
      </c>
      <c r="R784" s="86" t="n">
        <f aca="false">DATE(YEAR(B784),MONTH(B784),1)</f>
        <v>46082</v>
      </c>
      <c r="S784" s="83" t="str">
        <f aca="false">YEAR(B784)&amp;"-Q"&amp;ROUNDUP(MONTH(B784)/3,0)</f>
        <v>2026-Q1</v>
      </c>
      <c r="T784" s="87" t="n">
        <f aca="false">IF(O784&gt;0,Q784/O784,"")</f>
        <v>0.358024691358025</v>
      </c>
      <c r="U784" s="84" t="n">
        <f aca="false">IF(O784&gt;0,O784,"")</f>
        <v>810</v>
      </c>
    </row>
    <row r="785" customFormat="false" ht="15" hidden="false" customHeight="false" outlineLevel="0" collapsed="false">
      <c r="A785" s="81" t="s">
        <v>1428</v>
      </c>
      <c r="B785" s="82" t="n">
        <v>46106</v>
      </c>
      <c r="C785" s="81" t="s">
        <v>361</v>
      </c>
      <c r="D785" s="83" t="str">
        <f aca="false">IFERROR(INDEX(c_Name,MATCH($C785,c_ID,0)),"غير معرّف")</f>
        <v>دانة المطيري</v>
      </c>
      <c r="E785" s="83" t="str">
        <f aca="false">IFERROR(INDEX(c_Region,MATCH($C785,c_ID,0)),"غير معرّف")</f>
        <v>الشرقية</v>
      </c>
      <c r="F785" s="81" t="s">
        <v>185</v>
      </c>
      <c r="G785" s="83" t="str">
        <f aca="false">IFERROR(INDEX(p_Name,MATCH($F785,p_ID,0)),"غير معرّف")</f>
        <v>ماكينة حلاقة</v>
      </c>
      <c r="H785" s="83" t="str">
        <f aca="false">IFERROR(INDEX(p_Cat,MATCH($F785,p_ID,0)),"غير معرّف")</f>
        <v>عناية شخصية</v>
      </c>
      <c r="I785" s="81" t="s">
        <v>461</v>
      </c>
      <c r="J785" s="81" t="s">
        <v>91</v>
      </c>
      <c r="K785" s="81" t="n">
        <v>1</v>
      </c>
      <c r="L785" s="84" t="n">
        <f aca="false">IFERROR(INDEX(p_Price,MATCH($F785,p_ID,0)),0)</f>
        <v>340</v>
      </c>
      <c r="M785" s="85" t="n">
        <v>0.05</v>
      </c>
      <c r="N785" s="81" t="s">
        <v>644</v>
      </c>
      <c r="O785" s="84" t="n">
        <f aca="false">IF($N785="مرتجع",0,K785*L785*(1-M785))</f>
        <v>323</v>
      </c>
      <c r="P785" s="84" t="n">
        <f aca="false">IF($N785="مرتجع",0,K785*IFERROR(INDEX(p_Cost,MATCH($F785,p_ID,0)),0))</f>
        <v>170</v>
      </c>
      <c r="Q785" s="84" t="n">
        <f aca="false">O785-P785</f>
        <v>153</v>
      </c>
      <c r="R785" s="86" t="n">
        <f aca="false">DATE(YEAR(B785),MONTH(B785),1)</f>
        <v>46082</v>
      </c>
      <c r="S785" s="83" t="str">
        <f aca="false">YEAR(B785)&amp;"-Q"&amp;ROUNDUP(MONTH(B785)/3,0)</f>
        <v>2026-Q1</v>
      </c>
      <c r="T785" s="87" t="n">
        <f aca="false">IF(O785&gt;0,Q785/O785,"")</f>
        <v>0.473684210526316</v>
      </c>
      <c r="U785" s="84" t="n">
        <f aca="false">IF(O785&gt;0,O785,"")</f>
        <v>323</v>
      </c>
    </row>
    <row r="786" customFormat="false" ht="15" hidden="false" customHeight="false" outlineLevel="0" collapsed="false">
      <c r="A786" s="81" t="s">
        <v>1429</v>
      </c>
      <c r="B786" s="82" t="n">
        <v>46106</v>
      </c>
      <c r="C786" s="81" t="s">
        <v>274</v>
      </c>
      <c r="D786" s="83" t="str">
        <f aca="false">IFERROR(INDEX(c_Name,MATCH($C786,c_ID,0)),"غير معرّف")</f>
        <v>سلمان الغامدي</v>
      </c>
      <c r="E786" s="83" t="str">
        <f aca="false">IFERROR(INDEX(c_Region,MATCH($C786,c_ID,0)),"غير معرّف")</f>
        <v>الوسطى</v>
      </c>
      <c r="F786" s="81" t="s">
        <v>164</v>
      </c>
      <c r="G786" s="83" t="str">
        <f aca="false">IFERROR(INDEX(p_Name,MATCH($F786,p_ID,0)),"غير معرّف")</f>
        <v>هاتف ذكي</v>
      </c>
      <c r="H786" s="83" t="str">
        <f aca="false">IFERROR(INDEX(p_Cat,MATCH($F786,p_ID,0)),"غير معرّف")</f>
        <v>إلكترونيات</v>
      </c>
      <c r="I786" s="81" t="s">
        <v>449</v>
      </c>
      <c r="J786" s="81" t="s">
        <v>93</v>
      </c>
      <c r="K786" s="81" t="n">
        <v>1</v>
      </c>
      <c r="L786" s="84" t="n">
        <f aca="false">IFERROR(INDEX(p_Price,MATCH($F786,p_ID,0)),0)</f>
        <v>2400</v>
      </c>
      <c r="M786" s="85" t="n">
        <v>0.2</v>
      </c>
      <c r="N786" s="81" t="s">
        <v>644</v>
      </c>
      <c r="O786" s="84" t="n">
        <f aca="false">IF($N786="مرتجع",0,K786*L786*(1-M786))</f>
        <v>1920</v>
      </c>
      <c r="P786" s="84" t="n">
        <f aca="false">IF($N786="مرتجع",0,K786*IFERROR(INDEX(p_Cost,MATCH($F786,p_ID,0)),0))</f>
        <v>1750</v>
      </c>
      <c r="Q786" s="84" t="n">
        <f aca="false">O786-P786</f>
        <v>170</v>
      </c>
      <c r="R786" s="86" t="n">
        <f aca="false">DATE(YEAR(B786),MONTH(B786),1)</f>
        <v>46082</v>
      </c>
      <c r="S786" s="83" t="str">
        <f aca="false">YEAR(B786)&amp;"-Q"&amp;ROUNDUP(MONTH(B786)/3,0)</f>
        <v>2026-Q1</v>
      </c>
      <c r="T786" s="87" t="n">
        <f aca="false">IF(O786&gt;0,Q786/O786,"")</f>
        <v>0.0885416666666667</v>
      </c>
      <c r="U786" s="84" t="n">
        <f aca="false">IF(O786&gt;0,O786,"")</f>
        <v>1920</v>
      </c>
    </row>
    <row r="787" customFormat="false" ht="15" hidden="false" customHeight="false" outlineLevel="0" collapsed="false">
      <c r="A787" s="81" t="s">
        <v>1430</v>
      </c>
      <c r="B787" s="82" t="n">
        <v>46106</v>
      </c>
      <c r="C787" s="81" t="s">
        <v>362</v>
      </c>
      <c r="D787" s="83" t="str">
        <f aca="false">IFERROR(INDEX(c_Name,MATCH($C787,c_ID,0)),"غير معرّف")</f>
        <v>محمد العتيبي</v>
      </c>
      <c r="E787" s="83" t="str">
        <f aca="false">IFERROR(INDEX(c_Region,MATCH($C787,c_ID,0)),"غير معرّف")</f>
        <v>الغربية</v>
      </c>
      <c r="F787" s="81" t="s">
        <v>185</v>
      </c>
      <c r="G787" s="83" t="str">
        <f aca="false">IFERROR(INDEX(p_Name,MATCH($F787,p_ID,0)),"غير معرّف")</f>
        <v>ماكينة حلاقة</v>
      </c>
      <c r="H787" s="83" t="str">
        <f aca="false">IFERROR(INDEX(p_Cat,MATCH($F787,p_ID,0)),"غير معرّف")</f>
        <v>عناية شخصية</v>
      </c>
      <c r="I787" s="81" t="s">
        <v>452</v>
      </c>
      <c r="J787" s="81" t="s">
        <v>93</v>
      </c>
      <c r="K787" s="81" t="n">
        <v>1</v>
      </c>
      <c r="L787" s="84" t="n">
        <f aca="false">IFERROR(INDEX(p_Price,MATCH($F787,p_ID,0)),0)</f>
        <v>340</v>
      </c>
      <c r="M787" s="85" t="n">
        <v>0.05</v>
      </c>
      <c r="N787" s="81" t="s">
        <v>644</v>
      </c>
      <c r="O787" s="84" t="n">
        <f aca="false">IF($N787="مرتجع",0,K787*L787*(1-M787))</f>
        <v>323</v>
      </c>
      <c r="P787" s="84" t="n">
        <f aca="false">IF($N787="مرتجع",0,K787*IFERROR(INDEX(p_Cost,MATCH($F787,p_ID,0)),0))</f>
        <v>170</v>
      </c>
      <c r="Q787" s="84" t="n">
        <f aca="false">O787-P787</f>
        <v>153</v>
      </c>
      <c r="R787" s="86" t="n">
        <f aca="false">DATE(YEAR(B787),MONTH(B787),1)</f>
        <v>46082</v>
      </c>
      <c r="S787" s="83" t="str">
        <f aca="false">YEAR(B787)&amp;"-Q"&amp;ROUNDUP(MONTH(B787)/3,0)</f>
        <v>2026-Q1</v>
      </c>
      <c r="T787" s="87" t="n">
        <f aca="false">IF(O787&gt;0,Q787/O787,"")</f>
        <v>0.473684210526316</v>
      </c>
      <c r="U787" s="84" t="n">
        <f aca="false">IF(O787&gt;0,O787,"")</f>
        <v>323</v>
      </c>
    </row>
    <row r="788" customFormat="false" ht="15" hidden="false" customHeight="false" outlineLevel="0" collapsed="false">
      <c r="A788" s="81" t="s">
        <v>1431</v>
      </c>
      <c r="B788" s="82" t="n">
        <v>46106</v>
      </c>
      <c r="C788" s="81" t="s">
        <v>429</v>
      </c>
      <c r="D788" s="83" t="str">
        <f aca="false">IFERROR(INDEX(c_Name,MATCH($C788,c_ID,0)),"غير معرّف")</f>
        <v>سعد الحربي</v>
      </c>
      <c r="E788" s="83" t="str">
        <f aca="false">IFERROR(INDEX(c_Region,MATCH($C788,c_ID,0)),"غير معرّف")</f>
        <v>الغربية</v>
      </c>
      <c r="F788" s="81" t="s">
        <v>172</v>
      </c>
      <c r="G788" s="83" t="str">
        <f aca="false">IFERROR(INDEX(p_Name,MATCH($F788,p_ID,0)),"غير معرّف")</f>
        <v>مكتب عمل</v>
      </c>
      <c r="H788" s="83" t="str">
        <f aca="false">IFERROR(INDEX(p_Cat,MATCH($F788,p_ID,0)),"غير معرّف")</f>
        <v>أثاث</v>
      </c>
      <c r="I788" s="81" t="s">
        <v>452</v>
      </c>
      <c r="J788" s="81" t="s">
        <v>91</v>
      </c>
      <c r="K788" s="81" t="n">
        <v>1</v>
      </c>
      <c r="L788" s="84" t="n">
        <f aca="false">IFERROR(INDEX(p_Price,MATCH($F788,p_ID,0)),0)</f>
        <v>1200</v>
      </c>
      <c r="M788" s="85" t="n">
        <v>0</v>
      </c>
      <c r="N788" s="81" t="s">
        <v>644</v>
      </c>
      <c r="O788" s="84" t="n">
        <f aca="false">IF($N788="مرتجع",0,K788*L788*(1-M788))</f>
        <v>1200</v>
      </c>
      <c r="P788" s="84" t="n">
        <f aca="false">IF($N788="مرتجع",0,K788*IFERROR(INDEX(p_Cost,MATCH($F788,p_ID,0)),0))</f>
        <v>700</v>
      </c>
      <c r="Q788" s="84" t="n">
        <f aca="false">O788-P788</f>
        <v>500</v>
      </c>
      <c r="R788" s="86" t="n">
        <f aca="false">DATE(YEAR(B788),MONTH(B788),1)</f>
        <v>46082</v>
      </c>
      <c r="S788" s="83" t="str">
        <f aca="false">YEAR(B788)&amp;"-Q"&amp;ROUNDUP(MONTH(B788)/3,0)</f>
        <v>2026-Q1</v>
      </c>
      <c r="T788" s="87" t="n">
        <f aca="false">IF(O788&gt;0,Q788/O788,"")</f>
        <v>0.416666666666667</v>
      </c>
      <c r="U788" s="84" t="n">
        <f aca="false">IF(O788&gt;0,O788,"")</f>
        <v>1200</v>
      </c>
    </row>
    <row r="789" customFormat="false" ht="15" hidden="false" customHeight="false" outlineLevel="0" collapsed="false">
      <c r="A789" s="81" t="s">
        <v>1432</v>
      </c>
      <c r="B789" s="82" t="n">
        <v>46107</v>
      </c>
      <c r="C789" s="81" t="s">
        <v>371</v>
      </c>
      <c r="D789" s="83" t="str">
        <f aca="false">IFERROR(INDEX(c_Name,MATCH($C789,c_ID,0)),"غير معرّف")</f>
        <v>جود العنزي</v>
      </c>
      <c r="E789" s="83" t="str">
        <f aca="false">IFERROR(INDEX(c_Region,MATCH($C789,c_ID,0)),"غير معرّف")</f>
        <v>الشرقية</v>
      </c>
      <c r="F789" s="81" t="s">
        <v>172</v>
      </c>
      <c r="G789" s="83" t="str">
        <f aca="false">IFERROR(INDEX(p_Name,MATCH($F789,p_ID,0)),"غير معرّف")</f>
        <v>مكتب عمل</v>
      </c>
      <c r="H789" s="83" t="str">
        <f aca="false">IFERROR(INDEX(p_Cat,MATCH($F789,p_ID,0)),"غير معرّف")</f>
        <v>أثاث</v>
      </c>
      <c r="I789" s="81" t="s">
        <v>461</v>
      </c>
      <c r="J789" s="81" t="s">
        <v>93</v>
      </c>
      <c r="K789" s="81" t="n">
        <v>6</v>
      </c>
      <c r="L789" s="84" t="n">
        <f aca="false">IFERROR(INDEX(p_Price,MATCH($F789,p_ID,0)),0)</f>
        <v>1200</v>
      </c>
      <c r="M789" s="85" t="n">
        <v>0.05</v>
      </c>
      <c r="N789" s="81" t="s">
        <v>644</v>
      </c>
      <c r="O789" s="84" t="n">
        <f aca="false">IF($N789="مرتجع",0,K789*L789*(1-M789))</f>
        <v>6840</v>
      </c>
      <c r="P789" s="84" t="n">
        <f aca="false">IF($N789="مرتجع",0,K789*IFERROR(INDEX(p_Cost,MATCH($F789,p_ID,0)),0))</f>
        <v>4200</v>
      </c>
      <c r="Q789" s="84" t="n">
        <f aca="false">O789-P789</f>
        <v>2640</v>
      </c>
      <c r="R789" s="86" t="n">
        <f aca="false">DATE(YEAR(B789),MONTH(B789),1)</f>
        <v>46082</v>
      </c>
      <c r="S789" s="83" t="str">
        <f aca="false">YEAR(B789)&amp;"-Q"&amp;ROUNDUP(MONTH(B789)/3,0)</f>
        <v>2026-Q1</v>
      </c>
      <c r="T789" s="87" t="n">
        <f aca="false">IF(O789&gt;0,Q789/O789,"")</f>
        <v>0.385964912280702</v>
      </c>
      <c r="U789" s="84" t="n">
        <f aca="false">IF(O789&gt;0,O789,"")</f>
        <v>6840</v>
      </c>
    </row>
    <row r="790" customFormat="false" ht="15" hidden="false" customHeight="false" outlineLevel="0" collapsed="false">
      <c r="A790" s="81" t="s">
        <v>1433</v>
      </c>
      <c r="B790" s="82" t="n">
        <v>46107</v>
      </c>
      <c r="C790" s="81" t="s">
        <v>342</v>
      </c>
      <c r="D790" s="83" t="str">
        <f aca="false">IFERROR(INDEX(c_Name,MATCH($C790,c_ID,0)),"غير معرّف")</f>
        <v>دانة الحربي</v>
      </c>
      <c r="E790" s="83" t="str">
        <f aca="false">IFERROR(INDEX(c_Region,MATCH($C790,c_ID,0)),"غير معرّف")</f>
        <v>الشرقية</v>
      </c>
      <c r="F790" s="81" t="s">
        <v>172</v>
      </c>
      <c r="G790" s="83" t="str">
        <f aca="false">IFERROR(INDEX(p_Name,MATCH($F790,p_ID,0)),"غير معرّف")</f>
        <v>مكتب عمل</v>
      </c>
      <c r="H790" s="83" t="str">
        <f aca="false">IFERROR(INDEX(p_Cat,MATCH($F790,p_ID,0)),"غير معرّف")</f>
        <v>أثاث</v>
      </c>
      <c r="I790" s="81" t="s">
        <v>463</v>
      </c>
      <c r="J790" s="81" t="s">
        <v>93</v>
      </c>
      <c r="K790" s="81" t="n">
        <v>4</v>
      </c>
      <c r="L790" s="84" t="n">
        <f aca="false">IFERROR(INDEX(p_Price,MATCH($F790,p_ID,0)),0)</f>
        <v>1200</v>
      </c>
      <c r="M790" s="85" t="n">
        <v>0.05</v>
      </c>
      <c r="N790" s="81" t="s">
        <v>644</v>
      </c>
      <c r="O790" s="84" t="n">
        <f aca="false">IF($N790="مرتجع",0,K790*L790*(1-M790))</f>
        <v>4560</v>
      </c>
      <c r="P790" s="84" t="n">
        <f aca="false">IF($N790="مرتجع",0,K790*IFERROR(INDEX(p_Cost,MATCH($F790,p_ID,0)),0))</f>
        <v>2800</v>
      </c>
      <c r="Q790" s="84" t="n">
        <f aca="false">O790-P790</f>
        <v>1760</v>
      </c>
      <c r="R790" s="86" t="n">
        <f aca="false">DATE(YEAR(B790),MONTH(B790),1)</f>
        <v>46082</v>
      </c>
      <c r="S790" s="83" t="str">
        <f aca="false">YEAR(B790)&amp;"-Q"&amp;ROUNDUP(MONTH(B790)/3,0)</f>
        <v>2026-Q1</v>
      </c>
      <c r="T790" s="87" t="n">
        <f aca="false">IF(O790&gt;0,Q790/O790,"")</f>
        <v>0.385964912280702</v>
      </c>
      <c r="U790" s="84" t="n">
        <f aca="false">IF(O790&gt;0,O790,"")</f>
        <v>4560</v>
      </c>
    </row>
    <row r="791" customFormat="false" ht="15" hidden="false" customHeight="false" outlineLevel="0" collapsed="false">
      <c r="A791" s="81" t="s">
        <v>1434</v>
      </c>
      <c r="B791" s="82" t="n">
        <v>46108</v>
      </c>
      <c r="C791" s="81" t="s">
        <v>261</v>
      </c>
      <c r="D791" s="83" t="str">
        <f aca="false">IFERROR(INDEX(c_Name,MATCH($C791,c_ID,0)),"غير معرّف")</f>
        <v>ياسر الدوسري</v>
      </c>
      <c r="E791" s="83" t="str">
        <f aca="false">IFERROR(INDEX(c_Region,MATCH($C791,c_ID,0)),"غير معرّف")</f>
        <v>الجنوبية</v>
      </c>
      <c r="F791" s="81" t="s">
        <v>168</v>
      </c>
      <c r="G791" s="83" t="str">
        <f aca="false">IFERROR(INDEX(p_Name,MATCH($F791,p_ID,0)),"غير معرّف")</f>
        <v>مكنسة كهربائية</v>
      </c>
      <c r="H791" s="83" t="str">
        <f aca="false">IFERROR(INDEX(p_Cat,MATCH($F791,p_ID,0)),"غير معرّف")</f>
        <v>أجهزة منزلية</v>
      </c>
      <c r="I791" s="81" t="s">
        <v>467</v>
      </c>
      <c r="J791" s="81" t="s">
        <v>91</v>
      </c>
      <c r="K791" s="81" t="n">
        <v>2</v>
      </c>
      <c r="L791" s="84" t="n">
        <f aca="false">IFERROR(INDEX(p_Price,MATCH($F791,p_ID,0)),0)</f>
        <v>650</v>
      </c>
      <c r="M791" s="85" t="n">
        <v>0.05</v>
      </c>
      <c r="N791" s="81" t="s">
        <v>644</v>
      </c>
      <c r="O791" s="84" t="n">
        <f aca="false">IF($N791="مرتجع",0,K791*L791*(1-M791))</f>
        <v>1235</v>
      </c>
      <c r="P791" s="84" t="n">
        <f aca="false">IF($N791="مرتجع",0,K791*IFERROR(INDEX(p_Cost,MATCH($F791,p_ID,0)),0))</f>
        <v>840</v>
      </c>
      <c r="Q791" s="84" t="n">
        <f aca="false">O791-P791</f>
        <v>395</v>
      </c>
      <c r="R791" s="86" t="n">
        <f aca="false">DATE(YEAR(B791),MONTH(B791),1)</f>
        <v>46082</v>
      </c>
      <c r="S791" s="83" t="str">
        <f aca="false">YEAR(B791)&amp;"-Q"&amp;ROUNDUP(MONTH(B791)/3,0)</f>
        <v>2026-Q1</v>
      </c>
      <c r="T791" s="87" t="n">
        <f aca="false">IF(O791&gt;0,Q791/O791,"")</f>
        <v>0.319838056680162</v>
      </c>
      <c r="U791" s="84" t="n">
        <f aca="false">IF(O791&gt;0,O791,"")</f>
        <v>1235</v>
      </c>
    </row>
    <row r="792" customFormat="false" ht="15" hidden="false" customHeight="false" outlineLevel="0" collapsed="false">
      <c r="A792" s="81" t="s">
        <v>1435</v>
      </c>
      <c r="B792" s="82" t="n">
        <v>46108</v>
      </c>
      <c r="C792" s="81" t="s">
        <v>278</v>
      </c>
      <c r="D792" s="83" t="str">
        <f aca="false">IFERROR(INDEX(c_Name,MATCH($C792,c_ID,0)),"غير معرّف")</f>
        <v>طارق الشمري</v>
      </c>
      <c r="E792" s="83" t="str">
        <f aca="false">IFERROR(INDEX(c_Region,MATCH($C792,c_ID,0)),"غير معرّف")</f>
        <v>الجنوبية</v>
      </c>
      <c r="F792" s="81" t="s">
        <v>173</v>
      </c>
      <c r="G792" s="83" t="str">
        <f aca="false">IFERROR(INDEX(p_Name,MATCH($F792,p_ID,0)),"غير معرّف")</f>
        <v>كرسي مريح</v>
      </c>
      <c r="H792" s="83" t="str">
        <f aca="false">IFERROR(INDEX(p_Cat,MATCH($F792,p_ID,0)),"غير معرّف")</f>
        <v>أثاث</v>
      </c>
      <c r="I792" s="81" t="s">
        <v>467</v>
      </c>
      <c r="J792" s="81" t="s">
        <v>95</v>
      </c>
      <c r="K792" s="81" t="n">
        <v>5</v>
      </c>
      <c r="L792" s="84" t="n">
        <f aca="false">IFERROR(INDEX(p_Price,MATCH($F792,p_ID,0)),0)</f>
        <v>850</v>
      </c>
      <c r="M792" s="85" t="n">
        <v>0.2</v>
      </c>
      <c r="N792" s="81" t="s">
        <v>644</v>
      </c>
      <c r="O792" s="84" t="n">
        <f aca="false">IF($N792="مرتجع",0,K792*L792*(1-M792))</f>
        <v>3400</v>
      </c>
      <c r="P792" s="84" t="n">
        <f aca="false">IF($N792="مرتجع",0,K792*IFERROR(INDEX(p_Cost,MATCH($F792,p_ID,0)),0))</f>
        <v>2400</v>
      </c>
      <c r="Q792" s="84" t="n">
        <f aca="false">O792-P792</f>
        <v>1000</v>
      </c>
      <c r="R792" s="86" t="n">
        <f aca="false">DATE(YEAR(B792),MONTH(B792),1)</f>
        <v>46082</v>
      </c>
      <c r="S792" s="83" t="str">
        <f aca="false">YEAR(B792)&amp;"-Q"&amp;ROUNDUP(MONTH(B792)/3,0)</f>
        <v>2026-Q1</v>
      </c>
      <c r="T792" s="87" t="n">
        <f aca="false">IF(O792&gt;0,Q792/O792,"")</f>
        <v>0.294117647058824</v>
      </c>
      <c r="U792" s="84" t="n">
        <f aca="false">IF(O792&gt;0,O792,"")</f>
        <v>3400</v>
      </c>
    </row>
    <row r="793" customFormat="false" ht="15" hidden="false" customHeight="false" outlineLevel="0" collapsed="false">
      <c r="A793" s="81" t="s">
        <v>1436</v>
      </c>
      <c r="B793" s="82" t="n">
        <v>46108</v>
      </c>
      <c r="C793" s="81" t="s">
        <v>394</v>
      </c>
      <c r="D793" s="83" t="str">
        <f aca="false">IFERROR(INDEX(c_Name,MATCH($C793,c_ID,0)),"غير معرّف")</f>
        <v>طارق الغامدي</v>
      </c>
      <c r="E793" s="83" t="str">
        <f aca="false">IFERROR(INDEX(c_Region,MATCH($C793,c_ID,0)),"غير معرّف")</f>
        <v>الشرقية</v>
      </c>
      <c r="F793" s="81" t="s">
        <v>179</v>
      </c>
      <c r="G793" s="83" t="str">
        <f aca="false">IFERROR(INDEX(p_Name,MATCH($F793,p_ID,0)),"غير معرّف")</f>
        <v>طقم أدوات مكتبية</v>
      </c>
      <c r="H793" s="83" t="str">
        <f aca="false">IFERROR(INDEX(p_Cat,MATCH($F793,p_ID,0)),"غير معرّف")</f>
        <v>مستلزمات مكتبية</v>
      </c>
      <c r="I793" s="81" t="s">
        <v>461</v>
      </c>
      <c r="J793" s="81" t="s">
        <v>93</v>
      </c>
      <c r="K793" s="81" t="n">
        <v>1</v>
      </c>
      <c r="L793" s="84" t="n">
        <f aca="false">IFERROR(INDEX(p_Price,MATCH($F793,p_ID,0)),0)</f>
        <v>90</v>
      </c>
      <c r="M793" s="85" t="n">
        <v>0.05</v>
      </c>
      <c r="N793" s="81" t="s">
        <v>644</v>
      </c>
      <c r="O793" s="84" t="n">
        <f aca="false">IF($N793="مرتجع",0,K793*L793*(1-M793))</f>
        <v>85.5</v>
      </c>
      <c r="P793" s="84" t="n">
        <f aca="false">IF($N793="مرتجع",0,K793*IFERROR(INDEX(p_Cost,MATCH($F793,p_ID,0)),0))</f>
        <v>45</v>
      </c>
      <c r="Q793" s="84" t="n">
        <f aca="false">O793-P793</f>
        <v>40.5</v>
      </c>
      <c r="R793" s="86" t="n">
        <f aca="false">DATE(YEAR(B793),MONTH(B793),1)</f>
        <v>46082</v>
      </c>
      <c r="S793" s="83" t="str">
        <f aca="false">YEAR(B793)&amp;"-Q"&amp;ROUNDUP(MONTH(B793)/3,0)</f>
        <v>2026-Q1</v>
      </c>
      <c r="T793" s="87" t="n">
        <f aca="false">IF(O793&gt;0,Q793/O793,"")</f>
        <v>0.473684210526316</v>
      </c>
      <c r="U793" s="84" t="n">
        <f aca="false">IF(O793&gt;0,O793,"")</f>
        <v>85.5</v>
      </c>
    </row>
    <row r="794" customFormat="false" ht="15" hidden="false" customHeight="false" outlineLevel="0" collapsed="false">
      <c r="A794" s="81" t="s">
        <v>1437</v>
      </c>
      <c r="B794" s="82" t="n">
        <v>46108</v>
      </c>
      <c r="C794" s="81" t="s">
        <v>377</v>
      </c>
      <c r="D794" s="83" t="str">
        <f aca="false">IFERROR(INDEX(c_Name,MATCH($C794,c_ID,0)),"غير معرّف")</f>
        <v>أحمد الخالدي</v>
      </c>
      <c r="E794" s="83" t="str">
        <f aca="false">IFERROR(INDEX(c_Region,MATCH($C794,c_ID,0)),"غير معرّف")</f>
        <v>الجنوبية</v>
      </c>
      <c r="F794" s="81" t="s">
        <v>183</v>
      </c>
      <c r="G794" s="83" t="str">
        <f aca="false">IFERROR(INDEX(p_Name,MATCH($F794,p_ID,0)),"غير معرّف")</f>
        <v>سجادة يوغا</v>
      </c>
      <c r="H794" s="83" t="str">
        <f aca="false">IFERROR(INDEX(p_Cat,MATCH($F794,p_ID,0)),"غير معرّف")</f>
        <v>رياضة</v>
      </c>
      <c r="I794" s="81" t="s">
        <v>467</v>
      </c>
      <c r="J794" s="81" t="s">
        <v>91</v>
      </c>
      <c r="K794" s="81" t="n">
        <v>7</v>
      </c>
      <c r="L794" s="84" t="n">
        <f aca="false">IFERROR(INDEX(p_Price,MATCH($F794,p_ID,0)),0)</f>
        <v>120</v>
      </c>
      <c r="M794" s="85" t="n">
        <v>0</v>
      </c>
      <c r="N794" s="81" t="s">
        <v>644</v>
      </c>
      <c r="O794" s="84" t="n">
        <f aca="false">IF($N794="مرتجع",0,K794*L794*(1-M794))</f>
        <v>840</v>
      </c>
      <c r="P794" s="84" t="n">
        <f aca="false">IF($N794="مرتجع",0,K794*IFERROR(INDEX(p_Cost,MATCH($F794,p_ID,0)),0))</f>
        <v>350</v>
      </c>
      <c r="Q794" s="84" t="n">
        <f aca="false">O794-P794</f>
        <v>490</v>
      </c>
      <c r="R794" s="86" t="n">
        <f aca="false">DATE(YEAR(B794),MONTH(B794),1)</f>
        <v>46082</v>
      </c>
      <c r="S794" s="83" t="str">
        <f aca="false">YEAR(B794)&amp;"-Q"&amp;ROUNDUP(MONTH(B794)/3,0)</f>
        <v>2026-Q1</v>
      </c>
      <c r="T794" s="87" t="n">
        <f aca="false">IF(O794&gt;0,Q794/O794,"")</f>
        <v>0.583333333333333</v>
      </c>
      <c r="U794" s="84" t="n">
        <f aca="false">IF(O794&gt;0,O794,"")</f>
        <v>840</v>
      </c>
    </row>
    <row r="795" customFormat="false" ht="15" hidden="false" customHeight="false" outlineLevel="0" collapsed="false">
      <c r="A795" s="81" t="s">
        <v>1438</v>
      </c>
      <c r="B795" s="82" t="n">
        <v>46108</v>
      </c>
      <c r="C795" s="81" t="s">
        <v>283</v>
      </c>
      <c r="D795" s="83" t="str">
        <f aca="false">IFERROR(INDEX(c_Name,MATCH($C795,c_ID,0)),"غير معرّف")</f>
        <v>فهد السبيعي</v>
      </c>
      <c r="E795" s="83" t="str">
        <f aca="false">IFERROR(INDEX(c_Region,MATCH($C795,c_ID,0)),"غير معرّف")</f>
        <v>الغربية</v>
      </c>
      <c r="F795" s="81" t="s">
        <v>186</v>
      </c>
      <c r="G795" s="83" t="str">
        <f aca="false">IFERROR(INDEX(p_Name,MATCH($F795,p_ID,0)),"غير معرّف")</f>
        <v>مجفف شعر</v>
      </c>
      <c r="H795" s="83" t="str">
        <f aca="false">IFERROR(INDEX(p_Cat,MATCH($F795,p_ID,0)),"غير معرّف")</f>
        <v>عناية شخصية</v>
      </c>
      <c r="I795" s="81" t="s">
        <v>458</v>
      </c>
      <c r="J795" s="81" t="s">
        <v>93</v>
      </c>
      <c r="K795" s="81" t="n">
        <v>1</v>
      </c>
      <c r="L795" s="84" t="n">
        <f aca="false">IFERROR(INDEX(p_Price,MATCH($F795,p_ID,0)),0)</f>
        <v>280</v>
      </c>
      <c r="M795" s="85" t="n">
        <v>0</v>
      </c>
      <c r="N795" s="81" t="s">
        <v>644</v>
      </c>
      <c r="O795" s="84" t="n">
        <f aca="false">IF($N795="مرتجع",0,K795*L795*(1-M795))</f>
        <v>280</v>
      </c>
      <c r="P795" s="84" t="n">
        <f aca="false">IF($N795="مرتجع",0,K795*IFERROR(INDEX(p_Cost,MATCH($F795,p_ID,0)),0))</f>
        <v>140</v>
      </c>
      <c r="Q795" s="84" t="n">
        <f aca="false">O795-P795</f>
        <v>140</v>
      </c>
      <c r="R795" s="86" t="n">
        <f aca="false">DATE(YEAR(B795),MONTH(B795),1)</f>
        <v>46082</v>
      </c>
      <c r="S795" s="83" t="str">
        <f aca="false">YEAR(B795)&amp;"-Q"&amp;ROUNDUP(MONTH(B795)/3,0)</f>
        <v>2026-Q1</v>
      </c>
      <c r="T795" s="87" t="n">
        <f aca="false">IF(O795&gt;0,Q795/O795,"")</f>
        <v>0.5</v>
      </c>
      <c r="U795" s="84" t="n">
        <f aca="false">IF(O795&gt;0,O795,"")</f>
        <v>280</v>
      </c>
    </row>
    <row r="796" customFormat="false" ht="15" hidden="false" customHeight="false" outlineLevel="0" collapsed="false">
      <c r="A796" s="81" t="s">
        <v>1439</v>
      </c>
      <c r="B796" s="82" t="n">
        <v>46108</v>
      </c>
      <c r="C796" s="81" t="s">
        <v>315</v>
      </c>
      <c r="D796" s="83" t="str">
        <f aca="false">IFERROR(INDEX(c_Name,MATCH($C796,c_ID,0)),"غير معرّف")</f>
        <v>أحمد الحربي</v>
      </c>
      <c r="E796" s="83" t="str">
        <f aca="false">IFERROR(INDEX(c_Region,MATCH($C796,c_ID,0)),"غير معرّف")</f>
        <v>الغربية</v>
      </c>
      <c r="F796" s="81" t="s">
        <v>179</v>
      </c>
      <c r="G796" s="83" t="str">
        <f aca="false">IFERROR(INDEX(p_Name,MATCH($F796,p_ID,0)),"غير معرّف")</f>
        <v>طقم أدوات مكتبية</v>
      </c>
      <c r="H796" s="83" t="str">
        <f aca="false">IFERROR(INDEX(p_Cat,MATCH($F796,p_ID,0)),"غير معرّف")</f>
        <v>مستلزمات مكتبية</v>
      </c>
      <c r="I796" s="81" t="s">
        <v>452</v>
      </c>
      <c r="J796" s="81" t="s">
        <v>91</v>
      </c>
      <c r="K796" s="81" t="n">
        <v>17</v>
      </c>
      <c r="L796" s="84" t="n">
        <f aca="false">IFERROR(INDEX(p_Price,MATCH($F796,p_ID,0)),0)</f>
        <v>90</v>
      </c>
      <c r="M796" s="85" t="n">
        <v>0.05</v>
      </c>
      <c r="N796" s="81" t="s">
        <v>644</v>
      </c>
      <c r="O796" s="84" t="n">
        <f aca="false">IF($N796="مرتجع",0,K796*L796*(1-M796))</f>
        <v>1453.5</v>
      </c>
      <c r="P796" s="84" t="n">
        <f aca="false">IF($N796="مرتجع",0,K796*IFERROR(INDEX(p_Cost,MATCH($F796,p_ID,0)),0))</f>
        <v>765</v>
      </c>
      <c r="Q796" s="84" t="n">
        <f aca="false">O796-P796</f>
        <v>688.5</v>
      </c>
      <c r="R796" s="86" t="n">
        <f aca="false">DATE(YEAR(B796),MONTH(B796),1)</f>
        <v>46082</v>
      </c>
      <c r="S796" s="83" t="str">
        <f aca="false">YEAR(B796)&amp;"-Q"&amp;ROUNDUP(MONTH(B796)/3,0)</f>
        <v>2026-Q1</v>
      </c>
      <c r="T796" s="87" t="n">
        <f aca="false">IF(O796&gt;0,Q796/O796,"")</f>
        <v>0.473684210526316</v>
      </c>
      <c r="U796" s="84" t="n">
        <f aca="false">IF(O796&gt;0,O796,"")</f>
        <v>1453.5</v>
      </c>
    </row>
    <row r="797" customFormat="false" ht="15" hidden="false" customHeight="false" outlineLevel="0" collapsed="false">
      <c r="A797" s="81" t="s">
        <v>1440</v>
      </c>
      <c r="B797" s="82" t="n">
        <v>46110</v>
      </c>
      <c r="C797" s="81" t="s">
        <v>287</v>
      </c>
      <c r="D797" s="83" t="str">
        <f aca="false">IFERROR(INDEX(c_Name,MATCH($C797,c_ID,0)),"غير معرّف")</f>
        <v>محمد الشهري</v>
      </c>
      <c r="E797" s="83" t="str">
        <f aca="false">IFERROR(INDEX(c_Region,MATCH($C797,c_ID,0)),"غير معرّف")</f>
        <v>الغربية</v>
      </c>
      <c r="F797" s="81" t="s">
        <v>168</v>
      </c>
      <c r="G797" s="83" t="str">
        <f aca="false">IFERROR(INDEX(p_Name,MATCH($F797,p_ID,0)),"غير معرّف")</f>
        <v>مكنسة كهربائية</v>
      </c>
      <c r="H797" s="83" t="str">
        <f aca="false">IFERROR(INDEX(p_Cat,MATCH($F797,p_ID,0)),"غير معرّف")</f>
        <v>أجهزة منزلية</v>
      </c>
      <c r="I797" s="81" t="s">
        <v>458</v>
      </c>
      <c r="J797" s="81" t="s">
        <v>91</v>
      </c>
      <c r="K797" s="81" t="n">
        <v>4</v>
      </c>
      <c r="L797" s="84" t="n">
        <f aca="false">IFERROR(INDEX(p_Price,MATCH($F797,p_ID,0)),0)</f>
        <v>650</v>
      </c>
      <c r="M797" s="85" t="n">
        <v>0</v>
      </c>
      <c r="N797" s="81" t="s">
        <v>644</v>
      </c>
      <c r="O797" s="84" t="n">
        <f aca="false">IF($N797="مرتجع",0,K797*L797*(1-M797))</f>
        <v>2600</v>
      </c>
      <c r="P797" s="84" t="n">
        <f aca="false">IF($N797="مرتجع",0,K797*IFERROR(INDEX(p_Cost,MATCH($F797,p_ID,0)),0))</f>
        <v>1680</v>
      </c>
      <c r="Q797" s="84" t="n">
        <f aca="false">O797-P797</f>
        <v>920</v>
      </c>
      <c r="R797" s="86" t="n">
        <f aca="false">DATE(YEAR(B797),MONTH(B797),1)</f>
        <v>46082</v>
      </c>
      <c r="S797" s="83" t="str">
        <f aca="false">YEAR(B797)&amp;"-Q"&amp;ROUNDUP(MONTH(B797)/3,0)</f>
        <v>2026-Q1</v>
      </c>
      <c r="T797" s="87" t="n">
        <f aca="false">IF(O797&gt;0,Q797/O797,"")</f>
        <v>0.353846153846154</v>
      </c>
      <c r="U797" s="84" t="n">
        <f aca="false">IF(O797&gt;0,O797,"")</f>
        <v>2600</v>
      </c>
    </row>
    <row r="798" customFormat="false" ht="15" hidden="false" customHeight="false" outlineLevel="0" collapsed="false">
      <c r="A798" s="81" t="s">
        <v>1441</v>
      </c>
      <c r="B798" s="82" t="n">
        <v>46110</v>
      </c>
      <c r="C798" s="81" t="s">
        <v>362</v>
      </c>
      <c r="D798" s="83" t="str">
        <f aca="false">IFERROR(INDEX(c_Name,MATCH($C798,c_ID,0)),"غير معرّف")</f>
        <v>محمد العتيبي</v>
      </c>
      <c r="E798" s="83" t="str">
        <f aca="false">IFERROR(INDEX(c_Region,MATCH($C798,c_ID,0)),"غير معرّف")</f>
        <v>الغربية</v>
      </c>
      <c r="F798" s="81" t="s">
        <v>184</v>
      </c>
      <c r="G798" s="83" t="str">
        <f aca="false">IFERROR(INDEX(p_Name,MATCH($F798,p_ID,0)),"غير معرّف")</f>
        <v>عطر فاخر</v>
      </c>
      <c r="H798" s="83" t="str">
        <f aca="false">IFERROR(INDEX(p_Cat,MATCH($F798,p_ID,0)),"غير معرّف")</f>
        <v>عناية شخصية</v>
      </c>
      <c r="I798" s="81" t="s">
        <v>452</v>
      </c>
      <c r="J798" s="81" t="s">
        <v>91</v>
      </c>
      <c r="K798" s="81" t="n">
        <v>1</v>
      </c>
      <c r="L798" s="84" t="n">
        <f aca="false">IFERROR(INDEX(p_Price,MATCH($F798,p_ID,0)),0)</f>
        <v>520</v>
      </c>
      <c r="M798" s="85" t="n">
        <v>0.05</v>
      </c>
      <c r="N798" s="81" t="s">
        <v>644</v>
      </c>
      <c r="O798" s="84" t="n">
        <f aca="false">IF($N798="مرتجع",0,K798*L798*(1-M798))</f>
        <v>494</v>
      </c>
      <c r="P798" s="84" t="n">
        <f aca="false">IF($N798="مرتجع",0,K798*IFERROR(INDEX(p_Cost,MATCH($F798,p_ID,0)),0))</f>
        <v>210</v>
      </c>
      <c r="Q798" s="84" t="n">
        <f aca="false">O798-P798</f>
        <v>284</v>
      </c>
      <c r="R798" s="86" t="n">
        <f aca="false">DATE(YEAR(B798),MONTH(B798),1)</f>
        <v>46082</v>
      </c>
      <c r="S798" s="83" t="str">
        <f aca="false">YEAR(B798)&amp;"-Q"&amp;ROUNDUP(MONTH(B798)/3,0)</f>
        <v>2026-Q1</v>
      </c>
      <c r="T798" s="87" t="n">
        <f aca="false">IF(O798&gt;0,Q798/O798,"")</f>
        <v>0.574898785425101</v>
      </c>
      <c r="U798" s="84" t="n">
        <f aca="false">IF(O798&gt;0,O798,"")</f>
        <v>494</v>
      </c>
    </row>
    <row r="799" customFormat="false" ht="15" hidden="false" customHeight="false" outlineLevel="0" collapsed="false">
      <c r="A799" s="81" t="s">
        <v>1442</v>
      </c>
      <c r="B799" s="82" t="n">
        <v>46110</v>
      </c>
      <c r="C799" s="81" t="s">
        <v>242</v>
      </c>
      <c r="D799" s="83" t="str">
        <f aca="false">IFERROR(INDEX(c_Name,MATCH($C799,c_ID,0)),"غير معرّف")</f>
        <v>ياسر الغامدي</v>
      </c>
      <c r="E799" s="83" t="str">
        <f aca="false">IFERROR(INDEX(c_Region,MATCH($C799,c_ID,0)),"غير معرّف")</f>
        <v>الوسطى</v>
      </c>
      <c r="F799" s="81" t="s">
        <v>182</v>
      </c>
      <c r="G799" s="83" t="str">
        <f aca="false">IFERROR(INDEX(p_Name,MATCH($F799,p_ID,0)),"غير معرّف")</f>
        <v>طقم أوزان</v>
      </c>
      <c r="H799" s="83" t="str">
        <f aca="false">IFERROR(INDEX(p_Cat,MATCH($F799,p_ID,0)),"غير معرّف")</f>
        <v>رياضة</v>
      </c>
      <c r="I799" s="81" t="s">
        <v>443</v>
      </c>
      <c r="J799" s="81" t="s">
        <v>93</v>
      </c>
      <c r="K799" s="81" t="n">
        <v>1</v>
      </c>
      <c r="L799" s="84" t="n">
        <f aca="false">IFERROR(INDEX(p_Price,MATCH($F799,p_ID,0)),0)</f>
        <v>380</v>
      </c>
      <c r="M799" s="85" t="n">
        <v>0.15</v>
      </c>
      <c r="N799" s="81" t="s">
        <v>644</v>
      </c>
      <c r="O799" s="84" t="n">
        <f aca="false">IF($N799="مرتجع",0,K799*L799*(1-M799))</f>
        <v>323</v>
      </c>
      <c r="P799" s="84" t="n">
        <f aca="false">IF($N799="مرتجع",0,K799*IFERROR(INDEX(p_Cost,MATCH($F799,p_ID,0)),0))</f>
        <v>210</v>
      </c>
      <c r="Q799" s="84" t="n">
        <f aca="false">O799-P799</f>
        <v>113</v>
      </c>
      <c r="R799" s="86" t="n">
        <f aca="false">DATE(YEAR(B799),MONTH(B799),1)</f>
        <v>46082</v>
      </c>
      <c r="S799" s="83" t="str">
        <f aca="false">YEAR(B799)&amp;"-Q"&amp;ROUNDUP(MONTH(B799)/3,0)</f>
        <v>2026-Q1</v>
      </c>
      <c r="T799" s="87" t="n">
        <f aca="false">IF(O799&gt;0,Q799/O799,"")</f>
        <v>0.34984520123839</v>
      </c>
      <c r="U799" s="84" t="n">
        <f aca="false">IF(O799&gt;0,O799,"")</f>
        <v>323</v>
      </c>
    </row>
    <row r="800" customFormat="false" ht="15" hidden="false" customHeight="false" outlineLevel="0" collapsed="false">
      <c r="A800" s="81" t="s">
        <v>1443</v>
      </c>
      <c r="B800" s="82" t="n">
        <v>46111</v>
      </c>
      <c r="C800" s="81" t="s">
        <v>350</v>
      </c>
      <c r="D800" s="83" t="str">
        <f aca="false">IFERROR(INDEX(c_Name,MATCH($C800,c_ID,0)),"غير معرّف")</f>
        <v>نورة التميمي</v>
      </c>
      <c r="E800" s="83" t="str">
        <f aca="false">IFERROR(INDEX(c_Region,MATCH($C800,c_ID,0)),"غير معرّف")</f>
        <v>الغربية</v>
      </c>
      <c r="F800" s="81" t="s">
        <v>183</v>
      </c>
      <c r="G800" s="83" t="str">
        <f aca="false">IFERROR(INDEX(p_Name,MATCH($F800,p_ID,0)),"غير معرّف")</f>
        <v>سجادة يوغا</v>
      </c>
      <c r="H800" s="83" t="str">
        <f aca="false">IFERROR(INDEX(p_Cat,MATCH($F800,p_ID,0)),"غير معرّف")</f>
        <v>رياضة</v>
      </c>
      <c r="I800" s="81" t="s">
        <v>452</v>
      </c>
      <c r="J800" s="81" t="s">
        <v>93</v>
      </c>
      <c r="K800" s="81" t="n">
        <v>2</v>
      </c>
      <c r="L800" s="84" t="n">
        <f aca="false">IFERROR(INDEX(p_Price,MATCH($F800,p_ID,0)),0)</f>
        <v>120</v>
      </c>
      <c r="M800" s="85" t="n">
        <v>0.15</v>
      </c>
      <c r="N800" s="81" t="s">
        <v>644</v>
      </c>
      <c r="O800" s="84" t="n">
        <f aca="false">IF($N800="مرتجع",0,K800*L800*(1-M800))</f>
        <v>204</v>
      </c>
      <c r="P800" s="84" t="n">
        <f aca="false">IF($N800="مرتجع",0,K800*IFERROR(INDEX(p_Cost,MATCH($F800,p_ID,0)),0))</f>
        <v>100</v>
      </c>
      <c r="Q800" s="84" t="n">
        <f aca="false">O800-P800</f>
        <v>104</v>
      </c>
      <c r="R800" s="86" t="n">
        <f aca="false">DATE(YEAR(B800),MONTH(B800),1)</f>
        <v>46082</v>
      </c>
      <c r="S800" s="83" t="str">
        <f aca="false">YEAR(B800)&amp;"-Q"&amp;ROUNDUP(MONTH(B800)/3,0)</f>
        <v>2026-Q1</v>
      </c>
      <c r="T800" s="87" t="n">
        <f aca="false">IF(O800&gt;0,Q800/O800,"")</f>
        <v>0.509803921568627</v>
      </c>
      <c r="U800" s="84" t="n">
        <f aca="false">IF(O800&gt;0,O800,"")</f>
        <v>204</v>
      </c>
    </row>
    <row r="801" customFormat="false" ht="15" hidden="false" customHeight="false" outlineLevel="0" collapsed="false">
      <c r="A801" s="81" t="s">
        <v>1444</v>
      </c>
      <c r="B801" s="82" t="n">
        <v>46111</v>
      </c>
      <c r="C801" s="81" t="s">
        <v>394</v>
      </c>
      <c r="D801" s="83" t="str">
        <f aca="false">IFERROR(INDEX(c_Name,MATCH($C801,c_ID,0)),"غير معرّف")</f>
        <v>طارق الغامدي</v>
      </c>
      <c r="E801" s="83" t="str">
        <f aca="false">IFERROR(INDEX(c_Region,MATCH($C801,c_ID,0)),"غير معرّف")</f>
        <v>الشرقية</v>
      </c>
      <c r="F801" s="81" t="s">
        <v>181</v>
      </c>
      <c r="G801" s="83" t="str">
        <f aca="false">IFERROR(INDEX(p_Name,MATCH($F801,p_ID,0)),"غير معرّف")</f>
        <v>دراجة ثابتة</v>
      </c>
      <c r="H801" s="83" t="str">
        <f aca="false">IFERROR(INDEX(p_Cat,MATCH($F801,p_ID,0)),"غير معرّف")</f>
        <v>رياضة</v>
      </c>
      <c r="I801" s="81" t="s">
        <v>463</v>
      </c>
      <c r="J801" s="81" t="s">
        <v>91</v>
      </c>
      <c r="K801" s="81" t="n">
        <v>1</v>
      </c>
      <c r="L801" s="84" t="n">
        <f aca="false">IFERROR(INDEX(p_Price,MATCH($F801,p_ID,0)),0)</f>
        <v>1800</v>
      </c>
      <c r="M801" s="85" t="n">
        <v>0.05</v>
      </c>
      <c r="N801" s="81" t="s">
        <v>644</v>
      </c>
      <c r="O801" s="84" t="n">
        <f aca="false">IF($N801="مرتجع",0,K801*L801*(1-M801))</f>
        <v>1710</v>
      </c>
      <c r="P801" s="84" t="n">
        <f aca="false">IF($N801="مرتجع",0,K801*IFERROR(INDEX(p_Cost,MATCH($F801,p_ID,0)),0))</f>
        <v>1200</v>
      </c>
      <c r="Q801" s="84" t="n">
        <f aca="false">O801-P801</f>
        <v>510</v>
      </c>
      <c r="R801" s="86" t="n">
        <f aca="false">DATE(YEAR(B801),MONTH(B801),1)</f>
        <v>46082</v>
      </c>
      <c r="S801" s="83" t="str">
        <f aca="false">YEAR(B801)&amp;"-Q"&amp;ROUNDUP(MONTH(B801)/3,0)</f>
        <v>2026-Q1</v>
      </c>
      <c r="T801" s="87" t="n">
        <f aca="false">IF(O801&gt;0,Q801/O801,"")</f>
        <v>0.298245614035088</v>
      </c>
      <c r="U801" s="84" t="n">
        <f aca="false">IF(O801&gt;0,O801,"")</f>
        <v>1710</v>
      </c>
    </row>
    <row r="802" customFormat="false" ht="15" hidden="false" customHeight="false" outlineLevel="0" collapsed="false">
      <c r="A802" s="81" t="s">
        <v>1445</v>
      </c>
      <c r="B802" s="82" t="n">
        <v>46111</v>
      </c>
      <c r="C802" s="81" t="s">
        <v>234</v>
      </c>
      <c r="D802" s="83" t="str">
        <f aca="false">IFERROR(INDEX(c_Name,MATCH($C802,c_ID,0)),"غير معرّف")</f>
        <v>هند الخالدي</v>
      </c>
      <c r="E802" s="83" t="str">
        <f aca="false">IFERROR(INDEX(c_Region,MATCH($C802,c_ID,0)),"غير معرّف")</f>
        <v>الوسطى</v>
      </c>
      <c r="F802" s="81" t="s">
        <v>165</v>
      </c>
      <c r="G802" s="83" t="str">
        <f aca="false">IFERROR(INDEX(p_Name,MATCH($F802,p_ID,0)),"غير معرّف")</f>
        <v>حاسوب محمول</v>
      </c>
      <c r="H802" s="83" t="str">
        <f aca="false">IFERROR(INDEX(p_Cat,MATCH($F802,p_ID,0)),"غير معرّف")</f>
        <v>إلكترونيات</v>
      </c>
      <c r="I802" s="81" t="s">
        <v>446</v>
      </c>
      <c r="J802" s="81" t="s">
        <v>91</v>
      </c>
      <c r="K802" s="81" t="n">
        <v>1</v>
      </c>
      <c r="L802" s="84" t="n">
        <f aca="false">IFERROR(INDEX(p_Price,MATCH($F802,p_ID,0)),0)</f>
        <v>3800</v>
      </c>
      <c r="M802" s="85" t="n">
        <v>0</v>
      </c>
      <c r="N802" s="81" t="s">
        <v>644</v>
      </c>
      <c r="O802" s="84" t="n">
        <f aca="false">IF($N802="مرتجع",0,K802*L802*(1-M802))</f>
        <v>3800</v>
      </c>
      <c r="P802" s="84" t="n">
        <f aca="false">IF($N802="مرتجع",0,K802*IFERROR(INDEX(p_Cost,MATCH($F802,p_ID,0)),0))</f>
        <v>2900</v>
      </c>
      <c r="Q802" s="84" t="n">
        <f aca="false">O802-P802</f>
        <v>900</v>
      </c>
      <c r="R802" s="86" t="n">
        <f aca="false">DATE(YEAR(B802),MONTH(B802),1)</f>
        <v>46082</v>
      </c>
      <c r="S802" s="83" t="str">
        <f aca="false">YEAR(B802)&amp;"-Q"&amp;ROUNDUP(MONTH(B802)/3,0)</f>
        <v>2026-Q1</v>
      </c>
      <c r="T802" s="87" t="n">
        <f aca="false">IF(O802&gt;0,Q802/O802,"")</f>
        <v>0.236842105263158</v>
      </c>
      <c r="U802" s="84" t="n">
        <f aca="false">IF(O802&gt;0,O802,"")</f>
        <v>3800</v>
      </c>
    </row>
    <row r="803" customFormat="false" ht="15" hidden="false" customHeight="false" outlineLevel="0" collapsed="false">
      <c r="A803" s="81" t="s">
        <v>1446</v>
      </c>
      <c r="B803" s="82" t="n">
        <v>46112</v>
      </c>
      <c r="C803" s="81" t="s">
        <v>374</v>
      </c>
      <c r="D803" s="83" t="str">
        <f aca="false">IFERROR(INDEX(c_Name,MATCH($C803,c_ID,0)),"غير معرّف")</f>
        <v>منى التميمي</v>
      </c>
      <c r="E803" s="83" t="str">
        <f aca="false">IFERROR(INDEX(c_Region,MATCH($C803,c_ID,0)),"غير معرّف")</f>
        <v>الوسطى</v>
      </c>
      <c r="F803" s="81" t="s">
        <v>169</v>
      </c>
      <c r="G803" s="83" t="str">
        <f aca="false">IFERROR(INDEX(p_Name,MATCH($F803,p_ID,0)),"غير معرّف")</f>
        <v>خلاط</v>
      </c>
      <c r="H803" s="83" t="str">
        <f aca="false">IFERROR(INDEX(p_Cat,MATCH($F803,p_ID,0)),"غير معرّف")</f>
        <v>أجهزة منزلية</v>
      </c>
      <c r="I803" s="81" t="s">
        <v>449</v>
      </c>
      <c r="J803" s="81" t="s">
        <v>91</v>
      </c>
      <c r="K803" s="81" t="n">
        <v>3</v>
      </c>
      <c r="L803" s="84" t="n">
        <f aca="false">IFERROR(INDEX(p_Price,MATCH($F803,p_ID,0)),0)</f>
        <v>300</v>
      </c>
      <c r="M803" s="85" t="n">
        <v>0</v>
      </c>
      <c r="N803" s="81" t="s">
        <v>644</v>
      </c>
      <c r="O803" s="84" t="n">
        <f aca="false">IF($N803="مرتجع",0,K803*L803*(1-M803))</f>
        <v>900</v>
      </c>
      <c r="P803" s="84" t="n">
        <f aca="false">IF($N803="مرتجع",0,K803*IFERROR(INDEX(p_Cost,MATCH($F803,p_ID,0)),0))</f>
        <v>525</v>
      </c>
      <c r="Q803" s="84" t="n">
        <f aca="false">O803-P803</f>
        <v>375</v>
      </c>
      <c r="R803" s="86" t="n">
        <f aca="false">DATE(YEAR(B803),MONTH(B803),1)</f>
        <v>46082</v>
      </c>
      <c r="S803" s="83" t="str">
        <f aca="false">YEAR(B803)&amp;"-Q"&amp;ROUNDUP(MONTH(B803)/3,0)</f>
        <v>2026-Q1</v>
      </c>
      <c r="T803" s="87" t="n">
        <f aca="false">IF(O803&gt;0,Q803/O803,"")</f>
        <v>0.416666666666667</v>
      </c>
      <c r="U803" s="84" t="n">
        <f aca="false">IF(O803&gt;0,O803,"")</f>
        <v>900</v>
      </c>
    </row>
    <row r="804" customFormat="false" ht="15" hidden="false" customHeight="false" outlineLevel="0" collapsed="false">
      <c r="A804" s="81" t="s">
        <v>1447</v>
      </c>
      <c r="B804" s="82" t="n">
        <v>46113</v>
      </c>
      <c r="C804" s="81" t="s">
        <v>361</v>
      </c>
      <c r="D804" s="83" t="str">
        <f aca="false">IFERROR(INDEX(c_Name,MATCH($C804,c_ID,0)),"غير معرّف")</f>
        <v>دانة المطيري</v>
      </c>
      <c r="E804" s="83" t="str">
        <f aca="false">IFERROR(INDEX(c_Region,MATCH($C804,c_ID,0)),"غير معرّف")</f>
        <v>الشرقية</v>
      </c>
      <c r="F804" s="81" t="s">
        <v>171</v>
      </c>
      <c r="G804" s="83" t="str">
        <f aca="false">IFERROR(INDEX(p_Name,MATCH($F804,p_ID,0)),"غير معرّف")</f>
        <v>قلاية هوائية</v>
      </c>
      <c r="H804" s="83" t="str">
        <f aca="false">IFERROR(INDEX(p_Cat,MATCH($F804,p_ID,0)),"غير معرّف")</f>
        <v>أجهزة منزلية</v>
      </c>
      <c r="I804" s="81" t="s">
        <v>461</v>
      </c>
      <c r="J804" s="81" t="s">
        <v>93</v>
      </c>
      <c r="K804" s="81" t="n">
        <v>2</v>
      </c>
      <c r="L804" s="84" t="n">
        <f aca="false">IFERROR(INDEX(p_Price,MATCH($F804,p_ID,0)),0)</f>
        <v>520</v>
      </c>
      <c r="M804" s="85" t="n">
        <v>0.15</v>
      </c>
      <c r="N804" s="81" t="s">
        <v>644</v>
      </c>
      <c r="O804" s="84" t="n">
        <f aca="false">IF($N804="مرتجع",0,K804*L804*(1-M804))</f>
        <v>884</v>
      </c>
      <c r="P804" s="84" t="n">
        <f aca="false">IF($N804="مرتجع",0,K804*IFERROR(INDEX(p_Cost,MATCH($F804,p_ID,0)),0))</f>
        <v>600</v>
      </c>
      <c r="Q804" s="84" t="n">
        <f aca="false">O804-P804</f>
        <v>284</v>
      </c>
      <c r="R804" s="86" t="n">
        <f aca="false">DATE(YEAR(B804),MONTH(B804),1)</f>
        <v>46113</v>
      </c>
      <c r="S804" s="83" t="str">
        <f aca="false">YEAR(B804)&amp;"-Q"&amp;ROUNDUP(MONTH(B804)/3,0)</f>
        <v>2026-Q2</v>
      </c>
      <c r="T804" s="87" t="n">
        <f aca="false">IF(O804&gt;0,Q804/O804,"")</f>
        <v>0.321266968325792</v>
      </c>
      <c r="U804" s="84" t="n">
        <f aca="false">IF(O804&gt;0,O804,"")</f>
        <v>884</v>
      </c>
    </row>
    <row r="805" customFormat="false" ht="15" hidden="false" customHeight="false" outlineLevel="0" collapsed="false">
      <c r="A805" s="81" t="s">
        <v>1448</v>
      </c>
      <c r="B805" s="82" t="n">
        <v>46114</v>
      </c>
      <c r="C805" s="81" t="s">
        <v>348</v>
      </c>
      <c r="D805" s="83" t="str">
        <f aca="false">IFERROR(INDEX(c_Name,MATCH($C805,c_ID,0)),"غير معرّف")</f>
        <v>عبير القحطاني</v>
      </c>
      <c r="E805" s="83" t="str">
        <f aca="false">IFERROR(INDEX(c_Region,MATCH($C805,c_ID,0)),"غير معرّف")</f>
        <v>الغربية</v>
      </c>
      <c r="F805" s="81" t="s">
        <v>176</v>
      </c>
      <c r="G805" s="83" t="str">
        <f aca="false">IFERROR(INDEX(p_Name,MATCH($F805,p_ID,0)),"غير معرّف")</f>
        <v>طابعة ليزر</v>
      </c>
      <c r="H805" s="83" t="str">
        <f aca="false">IFERROR(INDEX(p_Cat,MATCH($F805,p_ID,0)),"غير معرّف")</f>
        <v>مستلزمات مكتبية</v>
      </c>
      <c r="I805" s="81" t="s">
        <v>458</v>
      </c>
      <c r="J805" s="81" t="s">
        <v>91</v>
      </c>
      <c r="K805" s="81" t="n">
        <v>7</v>
      </c>
      <c r="L805" s="84" t="n">
        <f aca="false">IFERROR(INDEX(p_Price,MATCH($F805,p_ID,0)),0)</f>
        <v>1300</v>
      </c>
      <c r="M805" s="85" t="n">
        <v>0.05</v>
      </c>
      <c r="N805" s="81" t="s">
        <v>644</v>
      </c>
      <c r="O805" s="84" t="n">
        <f aca="false">IF($N805="مرتجع",0,K805*L805*(1-M805))</f>
        <v>8645</v>
      </c>
      <c r="P805" s="84" t="n">
        <f aca="false">IF($N805="مرتجع",0,K805*IFERROR(INDEX(p_Cost,MATCH($F805,p_ID,0)),0))</f>
        <v>6650</v>
      </c>
      <c r="Q805" s="84" t="n">
        <f aca="false">O805-P805</f>
        <v>1995</v>
      </c>
      <c r="R805" s="86" t="n">
        <f aca="false">DATE(YEAR(B805),MONTH(B805),1)</f>
        <v>46113</v>
      </c>
      <c r="S805" s="83" t="str">
        <f aca="false">YEAR(B805)&amp;"-Q"&amp;ROUNDUP(MONTH(B805)/3,0)</f>
        <v>2026-Q2</v>
      </c>
      <c r="T805" s="87" t="n">
        <f aca="false">IF(O805&gt;0,Q805/O805,"")</f>
        <v>0.230769230769231</v>
      </c>
      <c r="U805" s="84" t="n">
        <f aca="false">IF(O805&gt;0,O805,"")</f>
        <v>8645</v>
      </c>
    </row>
    <row r="806" customFormat="false" ht="15" hidden="false" customHeight="false" outlineLevel="0" collapsed="false">
      <c r="A806" s="81" t="s">
        <v>1449</v>
      </c>
      <c r="B806" s="82" t="n">
        <v>46114</v>
      </c>
      <c r="C806" s="81" t="s">
        <v>348</v>
      </c>
      <c r="D806" s="83" t="str">
        <f aca="false">IFERROR(INDEX(c_Name,MATCH($C806,c_ID,0)),"غير معرّف")</f>
        <v>عبير القحطاني</v>
      </c>
      <c r="E806" s="83" t="str">
        <f aca="false">IFERROR(INDEX(c_Region,MATCH($C806,c_ID,0)),"غير معرّف")</f>
        <v>الغربية</v>
      </c>
      <c r="F806" s="81" t="s">
        <v>164</v>
      </c>
      <c r="G806" s="83" t="str">
        <f aca="false">IFERROR(INDEX(p_Name,MATCH($F806,p_ID,0)),"غير معرّف")</f>
        <v>هاتف ذكي</v>
      </c>
      <c r="H806" s="83" t="str">
        <f aca="false">IFERROR(INDEX(p_Cat,MATCH($F806,p_ID,0)),"غير معرّف")</f>
        <v>إلكترونيات</v>
      </c>
      <c r="I806" s="81" t="s">
        <v>458</v>
      </c>
      <c r="J806" s="81" t="s">
        <v>91</v>
      </c>
      <c r="K806" s="81" t="n">
        <v>1</v>
      </c>
      <c r="L806" s="84" t="n">
        <f aca="false">IFERROR(INDEX(p_Price,MATCH($F806,p_ID,0)),0)</f>
        <v>2400</v>
      </c>
      <c r="M806" s="85" t="n">
        <v>0.1</v>
      </c>
      <c r="N806" s="81" t="s">
        <v>644</v>
      </c>
      <c r="O806" s="84" t="n">
        <f aca="false">IF($N806="مرتجع",0,K806*L806*(1-M806))</f>
        <v>2160</v>
      </c>
      <c r="P806" s="84" t="n">
        <f aca="false">IF($N806="مرتجع",0,K806*IFERROR(INDEX(p_Cost,MATCH($F806,p_ID,0)),0))</f>
        <v>1750</v>
      </c>
      <c r="Q806" s="84" t="n">
        <f aca="false">O806-P806</f>
        <v>410</v>
      </c>
      <c r="R806" s="86" t="n">
        <f aca="false">DATE(YEAR(B806),MONTH(B806),1)</f>
        <v>46113</v>
      </c>
      <c r="S806" s="83" t="str">
        <f aca="false">YEAR(B806)&amp;"-Q"&amp;ROUNDUP(MONTH(B806)/3,0)</f>
        <v>2026-Q2</v>
      </c>
      <c r="T806" s="87" t="n">
        <f aca="false">IF(O806&gt;0,Q806/O806,"")</f>
        <v>0.189814814814815</v>
      </c>
      <c r="U806" s="84" t="n">
        <f aca="false">IF(O806&gt;0,O806,"")</f>
        <v>2160</v>
      </c>
    </row>
    <row r="807" customFormat="false" ht="15" hidden="false" customHeight="false" outlineLevel="0" collapsed="false">
      <c r="A807" s="81" t="s">
        <v>1450</v>
      </c>
      <c r="B807" s="82" t="n">
        <v>46114</v>
      </c>
      <c r="C807" s="81" t="s">
        <v>334</v>
      </c>
      <c r="D807" s="83" t="str">
        <f aca="false">IFERROR(INDEX(c_Name,MATCH($C807,c_ID,0)),"غير معرّف")</f>
        <v>ناصر الغامدي</v>
      </c>
      <c r="E807" s="83" t="str">
        <f aca="false">IFERROR(INDEX(c_Region,MATCH($C807,c_ID,0)),"غير معرّف")</f>
        <v>الغربية</v>
      </c>
      <c r="F807" s="81" t="s">
        <v>183</v>
      </c>
      <c r="G807" s="83" t="str">
        <f aca="false">IFERROR(INDEX(p_Name,MATCH($F807,p_ID,0)),"غير معرّف")</f>
        <v>سجادة يوغا</v>
      </c>
      <c r="H807" s="83" t="str">
        <f aca="false">IFERROR(INDEX(p_Cat,MATCH($F807,p_ID,0)),"غير معرّف")</f>
        <v>رياضة</v>
      </c>
      <c r="I807" s="81" t="s">
        <v>452</v>
      </c>
      <c r="J807" s="81" t="s">
        <v>91</v>
      </c>
      <c r="K807" s="81" t="n">
        <v>1</v>
      </c>
      <c r="L807" s="84" t="n">
        <f aca="false">IFERROR(INDEX(p_Price,MATCH($F807,p_ID,0)),0)</f>
        <v>120</v>
      </c>
      <c r="M807" s="85" t="n">
        <v>0.05</v>
      </c>
      <c r="N807" s="81" t="s">
        <v>644</v>
      </c>
      <c r="O807" s="84" t="n">
        <f aca="false">IF($N807="مرتجع",0,K807*L807*(1-M807))</f>
        <v>114</v>
      </c>
      <c r="P807" s="84" t="n">
        <f aca="false">IF($N807="مرتجع",0,K807*IFERROR(INDEX(p_Cost,MATCH($F807,p_ID,0)),0))</f>
        <v>50</v>
      </c>
      <c r="Q807" s="84" t="n">
        <f aca="false">O807-P807</f>
        <v>64</v>
      </c>
      <c r="R807" s="86" t="n">
        <f aca="false">DATE(YEAR(B807),MONTH(B807),1)</f>
        <v>46113</v>
      </c>
      <c r="S807" s="83" t="str">
        <f aca="false">YEAR(B807)&amp;"-Q"&amp;ROUNDUP(MONTH(B807)/3,0)</f>
        <v>2026-Q2</v>
      </c>
      <c r="T807" s="87" t="n">
        <f aca="false">IF(O807&gt;0,Q807/O807,"")</f>
        <v>0.56140350877193</v>
      </c>
      <c r="U807" s="84" t="n">
        <f aca="false">IF(O807&gt;0,O807,"")</f>
        <v>114</v>
      </c>
    </row>
    <row r="808" customFormat="false" ht="15" hidden="false" customHeight="false" outlineLevel="0" collapsed="false">
      <c r="A808" s="81" t="s">
        <v>1451</v>
      </c>
      <c r="B808" s="82" t="n">
        <v>46114</v>
      </c>
      <c r="C808" s="81" t="s">
        <v>414</v>
      </c>
      <c r="D808" s="83" t="str">
        <f aca="false">IFERROR(INDEX(c_Name,MATCH($C808,c_ID,0)),"غير معرّف")</f>
        <v>هند المطيري</v>
      </c>
      <c r="E808" s="83" t="str">
        <f aca="false">IFERROR(INDEX(c_Region,MATCH($C808,c_ID,0)),"غير معرّف")</f>
        <v>الشرقية</v>
      </c>
      <c r="F808" s="81" t="s">
        <v>186</v>
      </c>
      <c r="G808" s="83" t="str">
        <f aca="false">IFERROR(INDEX(p_Name,MATCH($F808,p_ID,0)),"غير معرّف")</f>
        <v>مجفف شعر</v>
      </c>
      <c r="H808" s="83" t="str">
        <f aca="false">IFERROR(INDEX(p_Cat,MATCH($F808,p_ID,0)),"غير معرّف")</f>
        <v>عناية شخصية</v>
      </c>
      <c r="I808" s="81" t="s">
        <v>461</v>
      </c>
      <c r="J808" s="81" t="s">
        <v>91</v>
      </c>
      <c r="K808" s="81" t="n">
        <v>1</v>
      </c>
      <c r="L808" s="84" t="n">
        <f aca="false">IFERROR(INDEX(p_Price,MATCH($F808,p_ID,0)),0)</f>
        <v>280</v>
      </c>
      <c r="M808" s="85" t="n">
        <v>0</v>
      </c>
      <c r="N808" s="81" t="s">
        <v>644</v>
      </c>
      <c r="O808" s="84" t="n">
        <f aca="false">IF($N808="مرتجع",0,K808*L808*(1-M808))</f>
        <v>280</v>
      </c>
      <c r="P808" s="84" t="n">
        <f aca="false">IF($N808="مرتجع",0,K808*IFERROR(INDEX(p_Cost,MATCH($F808,p_ID,0)),0))</f>
        <v>140</v>
      </c>
      <c r="Q808" s="84" t="n">
        <f aca="false">O808-P808</f>
        <v>140</v>
      </c>
      <c r="R808" s="86" t="n">
        <f aca="false">DATE(YEAR(B808),MONTH(B808),1)</f>
        <v>46113</v>
      </c>
      <c r="S808" s="83" t="str">
        <f aca="false">YEAR(B808)&amp;"-Q"&amp;ROUNDUP(MONTH(B808)/3,0)</f>
        <v>2026-Q2</v>
      </c>
      <c r="T808" s="87" t="n">
        <f aca="false">IF(O808&gt;0,Q808/O808,"")</f>
        <v>0.5</v>
      </c>
      <c r="U808" s="84" t="n">
        <f aca="false">IF(O808&gt;0,O808,"")</f>
        <v>280</v>
      </c>
    </row>
    <row r="809" customFormat="false" ht="15" hidden="false" customHeight="false" outlineLevel="0" collapsed="false">
      <c r="A809" s="81" t="s">
        <v>1452</v>
      </c>
      <c r="B809" s="82" t="n">
        <v>46114</v>
      </c>
      <c r="C809" s="81" t="s">
        <v>259</v>
      </c>
      <c r="D809" s="83" t="str">
        <f aca="false">IFERROR(INDEX(c_Name,MATCH($C809,c_ID,0)),"غير معرّف")</f>
        <v>عبير العتيبي</v>
      </c>
      <c r="E809" s="83" t="str">
        <f aca="false">IFERROR(INDEX(c_Region,MATCH($C809,c_ID,0)),"غير معرّف")</f>
        <v>الوسطى</v>
      </c>
      <c r="F809" s="81" t="s">
        <v>164</v>
      </c>
      <c r="G809" s="83" t="str">
        <f aca="false">IFERROR(INDEX(p_Name,MATCH($F809,p_ID,0)),"غير معرّف")</f>
        <v>هاتف ذكي</v>
      </c>
      <c r="H809" s="83" t="str">
        <f aca="false">IFERROR(INDEX(p_Cat,MATCH($F809,p_ID,0)),"غير معرّف")</f>
        <v>إلكترونيات</v>
      </c>
      <c r="I809" s="81" t="s">
        <v>443</v>
      </c>
      <c r="J809" s="81" t="s">
        <v>93</v>
      </c>
      <c r="K809" s="81" t="n">
        <v>1</v>
      </c>
      <c r="L809" s="84" t="n">
        <f aca="false">IFERROR(INDEX(p_Price,MATCH($F809,p_ID,0)),0)</f>
        <v>2400</v>
      </c>
      <c r="M809" s="85" t="n">
        <v>0.05</v>
      </c>
      <c r="N809" s="81" t="s">
        <v>644</v>
      </c>
      <c r="O809" s="84" t="n">
        <f aca="false">IF($N809="مرتجع",0,K809*L809*(1-M809))</f>
        <v>2280</v>
      </c>
      <c r="P809" s="84" t="n">
        <f aca="false">IF($N809="مرتجع",0,K809*IFERROR(INDEX(p_Cost,MATCH($F809,p_ID,0)),0))</f>
        <v>1750</v>
      </c>
      <c r="Q809" s="84" t="n">
        <f aca="false">O809-P809</f>
        <v>530</v>
      </c>
      <c r="R809" s="86" t="n">
        <f aca="false">DATE(YEAR(B809),MONTH(B809),1)</f>
        <v>46113</v>
      </c>
      <c r="S809" s="83" t="str">
        <f aca="false">YEAR(B809)&amp;"-Q"&amp;ROUNDUP(MONTH(B809)/3,0)</f>
        <v>2026-Q2</v>
      </c>
      <c r="T809" s="87" t="n">
        <f aca="false">IF(O809&gt;0,Q809/O809,"")</f>
        <v>0.232456140350877</v>
      </c>
      <c r="U809" s="84" t="n">
        <f aca="false">IF(O809&gt;0,O809,"")</f>
        <v>2280</v>
      </c>
    </row>
    <row r="810" customFormat="false" ht="15" hidden="false" customHeight="false" outlineLevel="0" collapsed="false">
      <c r="A810" s="81" t="s">
        <v>1453</v>
      </c>
      <c r="B810" s="82" t="n">
        <v>46114</v>
      </c>
      <c r="C810" s="81" t="s">
        <v>246</v>
      </c>
      <c r="D810" s="83" t="str">
        <f aca="false">IFERROR(INDEX(c_Name,MATCH($C810,c_ID,0)),"غير معرّف")</f>
        <v>ياسر العتيبي</v>
      </c>
      <c r="E810" s="83" t="str">
        <f aca="false">IFERROR(INDEX(c_Region,MATCH($C810,c_ID,0)),"غير معرّف")</f>
        <v>الجنوبية</v>
      </c>
      <c r="F810" s="81" t="s">
        <v>181</v>
      </c>
      <c r="G810" s="83" t="str">
        <f aca="false">IFERROR(INDEX(p_Name,MATCH($F810,p_ID,0)),"غير معرّف")</f>
        <v>دراجة ثابتة</v>
      </c>
      <c r="H810" s="83" t="str">
        <f aca="false">IFERROR(INDEX(p_Cat,MATCH($F810,p_ID,0)),"غير معرّف")</f>
        <v>رياضة</v>
      </c>
      <c r="I810" s="81" t="s">
        <v>467</v>
      </c>
      <c r="J810" s="81" t="s">
        <v>91</v>
      </c>
      <c r="K810" s="81" t="n">
        <v>1</v>
      </c>
      <c r="L810" s="84" t="n">
        <f aca="false">IFERROR(INDEX(p_Price,MATCH($F810,p_ID,0)),0)</f>
        <v>1800</v>
      </c>
      <c r="M810" s="85" t="n">
        <v>0</v>
      </c>
      <c r="N810" s="81" t="s">
        <v>644</v>
      </c>
      <c r="O810" s="84" t="n">
        <f aca="false">IF($N810="مرتجع",0,K810*L810*(1-M810))</f>
        <v>1800</v>
      </c>
      <c r="P810" s="84" t="n">
        <f aca="false">IF($N810="مرتجع",0,K810*IFERROR(INDEX(p_Cost,MATCH($F810,p_ID,0)),0))</f>
        <v>1200</v>
      </c>
      <c r="Q810" s="84" t="n">
        <f aca="false">O810-P810</f>
        <v>600</v>
      </c>
      <c r="R810" s="86" t="n">
        <f aca="false">DATE(YEAR(B810),MONTH(B810),1)</f>
        <v>46113</v>
      </c>
      <c r="S810" s="83" t="str">
        <f aca="false">YEAR(B810)&amp;"-Q"&amp;ROUNDUP(MONTH(B810)/3,0)</f>
        <v>2026-Q2</v>
      </c>
      <c r="T810" s="87" t="n">
        <f aca="false">IF(O810&gt;0,Q810/O810,"")</f>
        <v>0.333333333333333</v>
      </c>
      <c r="U810" s="84" t="n">
        <f aca="false">IF(O810&gt;0,O810,"")</f>
        <v>1800</v>
      </c>
    </row>
    <row r="811" customFormat="false" ht="15" hidden="false" customHeight="false" outlineLevel="0" collapsed="false">
      <c r="A811" s="81" t="s">
        <v>1454</v>
      </c>
      <c r="B811" s="82" t="n">
        <v>46115</v>
      </c>
      <c r="C811" s="81" t="s">
        <v>415</v>
      </c>
      <c r="D811" s="83" t="str">
        <f aca="false">IFERROR(INDEX(c_Name,MATCH($C811,c_ID,0)),"غير معرّف")</f>
        <v>سارة القحطاني</v>
      </c>
      <c r="E811" s="83" t="str">
        <f aca="false">IFERROR(INDEX(c_Region,MATCH($C811,c_ID,0)),"غير معرّف")</f>
        <v>الشرقية</v>
      </c>
      <c r="F811" s="81" t="s">
        <v>187</v>
      </c>
      <c r="G811" s="83" t="str">
        <f aca="false">IFERROR(INDEX(p_Name,MATCH($F811,p_ID,0)),"غير معرّف")</f>
        <v>جهاز تدليك</v>
      </c>
      <c r="H811" s="83" t="str">
        <f aca="false">IFERROR(INDEX(p_Cat,MATCH($F811,p_ID,0)),"غير معرّف")</f>
        <v>عناية شخصية</v>
      </c>
      <c r="I811" s="81" t="s">
        <v>461</v>
      </c>
      <c r="J811" s="81" t="s">
        <v>93</v>
      </c>
      <c r="K811" s="81" t="n">
        <v>1</v>
      </c>
      <c r="L811" s="84" t="n">
        <f aca="false">IFERROR(INDEX(p_Price,MATCH($F811,p_ID,0)),0)</f>
        <v>600</v>
      </c>
      <c r="M811" s="85" t="n">
        <v>0.1</v>
      </c>
      <c r="N811" s="81" t="s">
        <v>644</v>
      </c>
      <c r="O811" s="84" t="n">
        <f aca="false">IF($N811="مرتجع",0,K811*L811*(1-M811))</f>
        <v>540</v>
      </c>
      <c r="P811" s="84" t="n">
        <f aca="false">IF($N811="مرتجع",0,K811*IFERROR(INDEX(p_Cost,MATCH($F811,p_ID,0)),0))</f>
        <v>330</v>
      </c>
      <c r="Q811" s="84" t="n">
        <f aca="false">O811-P811</f>
        <v>210</v>
      </c>
      <c r="R811" s="86" t="n">
        <f aca="false">DATE(YEAR(B811),MONTH(B811),1)</f>
        <v>46113</v>
      </c>
      <c r="S811" s="83" t="str">
        <f aca="false">YEAR(B811)&amp;"-Q"&amp;ROUNDUP(MONTH(B811)/3,0)</f>
        <v>2026-Q2</v>
      </c>
      <c r="T811" s="87" t="n">
        <f aca="false">IF(O811&gt;0,Q811/O811,"")</f>
        <v>0.388888888888889</v>
      </c>
      <c r="U811" s="84" t="n">
        <f aca="false">IF(O811&gt;0,O811,"")</f>
        <v>540</v>
      </c>
    </row>
    <row r="812" customFormat="false" ht="15" hidden="false" customHeight="false" outlineLevel="0" collapsed="false">
      <c r="A812" s="81" t="s">
        <v>1455</v>
      </c>
      <c r="B812" s="82" t="n">
        <v>46115</v>
      </c>
      <c r="C812" s="81" t="s">
        <v>344</v>
      </c>
      <c r="D812" s="83" t="str">
        <f aca="false">IFERROR(INDEX(c_Name,MATCH($C812,c_ID,0)),"غير معرّف")</f>
        <v>خالد القحطاني</v>
      </c>
      <c r="E812" s="83" t="str">
        <f aca="false">IFERROR(INDEX(c_Region,MATCH($C812,c_ID,0)),"غير معرّف")</f>
        <v>الغربية</v>
      </c>
      <c r="F812" s="81" t="s">
        <v>177</v>
      </c>
      <c r="G812" s="83" t="str">
        <f aca="false">IFERROR(INDEX(p_Name,MATCH($F812,p_ID,0)),"غير معرّف")</f>
        <v>ورق A4 (صندوق)</v>
      </c>
      <c r="H812" s="83" t="str">
        <f aca="false">IFERROR(INDEX(p_Cat,MATCH($F812,p_ID,0)),"غير معرّف")</f>
        <v>مستلزمات مكتبية</v>
      </c>
      <c r="I812" s="81" t="s">
        <v>455</v>
      </c>
      <c r="J812" s="81" t="s">
        <v>91</v>
      </c>
      <c r="K812" s="81" t="n">
        <v>2</v>
      </c>
      <c r="L812" s="84" t="n">
        <f aca="false">IFERROR(INDEX(p_Price,MATCH($F812,p_ID,0)),0)</f>
        <v>140</v>
      </c>
      <c r="M812" s="85" t="n">
        <v>0.05</v>
      </c>
      <c r="N812" s="81" t="s">
        <v>644</v>
      </c>
      <c r="O812" s="84" t="n">
        <f aca="false">IF($N812="مرتجع",0,K812*L812*(1-M812))</f>
        <v>266</v>
      </c>
      <c r="P812" s="84" t="n">
        <f aca="false">IF($N812="مرتجع",0,K812*IFERROR(INDEX(p_Cost,MATCH($F812,p_ID,0)),0))</f>
        <v>190</v>
      </c>
      <c r="Q812" s="84" t="n">
        <f aca="false">O812-P812</f>
        <v>76</v>
      </c>
      <c r="R812" s="86" t="n">
        <f aca="false">DATE(YEAR(B812),MONTH(B812),1)</f>
        <v>46113</v>
      </c>
      <c r="S812" s="83" t="str">
        <f aca="false">YEAR(B812)&amp;"-Q"&amp;ROUNDUP(MONTH(B812)/3,0)</f>
        <v>2026-Q2</v>
      </c>
      <c r="T812" s="87" t="n">
        <f aca="false">IF(O812&gt;0,Q812/O812,"")</f>
        <v>0.285714285714286</v>
      </c>
      <c r="U812" s="84" t="n">
        <f aca="false">IF(O812&gt;0,O812,"")</f>
        <v>266</v>
      </c>
    </row>
    <row r="813" customFormat="false" ht="15" hidden="false" customHeight="false" outlineLevel="0" collapsed="false">
      <c r="A813" s="81" t="s">
        <v>1456</v>
      </c>
      <c r="B813" s="82" t="n">
        <v>46115</v>
      </c>
      <c r="C813" s="81" t="s">
        <v>259</v>
      </c>
      <c r="D813" s="83" t="str">
        <f aca="false">IFERROR(INDEX(c_Name,MATCH($C813,c_ID,0)),"غير معرّف")</f>
        <v>عبير العتيبي</v>
      </c>
      <c r="E813" s="83" t="str">
        <f aca="false">IFERROR(INDEX(c_Region,MATCH($C813,c_ID,0)),"غير معرّف")</f>
        <v>الوسطى</v>
      </c>
      <c r="F813" s="81" t="s">
        <v>177</v>
      </c>
      <c r="G813" s="83" t="str">
        <f aca="false">IFERROR(INDEX(p_Name,MATCH($F813,p_ID,0)),"غير معرّف")</f>
        <v>ورق A4 (صندوق)</v>
      </c>
      <c r="H813" s="83" t="str">
        <f aca="false">IFERROR(INDEX(p_Cat,MATCH($F813,p_ID,0)),"غير معرّف")</f>
        <v>مستلزمات مكتبية</v>
      </c>
      <c r="I813" s="81" t="s">
        <v>443</v>
      </c>
      <c r="J813" s="81" t="s">
        <v>93</v>
      </c>
      <c r="K813" s="81" t="n">
        <v>2</v>
      </c>
      <c r="L813" s="84" t="n">
        <f aca="false">IFERROR(INDEX(p_Price,MATCH($F813,p_ID,0)),0)</f>
        <v>140</v>
      </c>
      <c r="M813" s="85" t="n">
        <v>0</v>
      </c>
      <c r="N813" s="81" t="s">
        <v>650</v>
      </c>
      <c r="O813" s="84" t="n">
        <f aca="false">IF($N813="مرتجع",0,K813*L813*(1-M813))</f>
        <v>0</v>
      </c>
      <c r="P813" s="84" t="n">
        <f aca="false">IF($N813="مرتجع",0,K813*IFERROR(INDEX(p_Cost,MATCH($F813,p_ID,0)),0))</f>
        <v>0</v>
      </c>
      <c r="Q813" s="84" t="n">
        <f aca="false">O813-P813</f>
        <v>0</v>
      </c>
      <c r="R813" s="86" t="n">
        <f aca="false">DATE(YEAR(B813),MONTH(B813),1)</f>
        <v>46113</v>
      </c>
      <c r="S813" s="83" t="str">
        <f aca="false">YEAR(B813)&amp;"-Q"&amp;ROUNDUP(MONTH(B813)/3,0)</f>
        <v>2026-Q2</v>
      </c>
      <c r="T813" s="87" t="str">
        <f aca="false">IF(O813&gt;0,Q813/O813,"")</f>
        <v/>
      </c>
      <c r="U813" s="84" t="str">
        <f aca="false">IF(O813&gt;0,O813,"")</f>
        <v/>
      </c>
    </row>
    <row r="814" customFormat="false" ht="15" hidden="false" customHeight="false" outlineLevel="0" collapsed="false">
      <c r="A814" s="81" t="s">
        <v>1457</v>
      </c>
      <c r="B814" s="82" t="n">
        <v>46116</v>
      </c>
      <c r="C814" s="81" t="s">
        <v>302</v>
      </c>
      <c r="D814" s="83" t="str">
        <f aca="false">IFERROR(INDEX(c_Name,MATCH($C814,c_ID,0)),"غير معرّف")</f>
        <v>جود السبيعي</v>
      </c>
      <c r="E814" s="83" t="str">
        <f aca="false">IFERROR(INDEX(c_Region,MATCH($C814,c_ID,0)),"غير معرّف")</f>
        <v>الوسطى</v>
      </c>
      <c r="F814" s="81" t="s">
        <v>178</v>
      </c>
      <c r="G814" s="83" t="str">
        <f aca="false">IFERROR(INDEX(p_Name,MATCH($F814,p_ID,0)),"غير معرّف")</f>
        <v>حقيبة لابتوب</v>
      </c>
      <c r="H814" s="83" t="str">
        <f aca="false">IFERROR(INDEX(p_Cat,MATCH($F814,p_ID,0)),"غير معرّف")</f>
        <v>مستلزمات مكتبية</v>
      </c>
      <c r="I814" s="81" t="s">
        <v>446</v>
      </c>
      <c r="J814" s="81" t="s">
        <v>95</v>
      </c>
      <c r="K814" s="81" t="n">
        <v>5</v>
      </c>
      <c r="L814" s="84" t="n">
        <f aca="false">IFERROR(INDEX(p_Price,MATCH($F814,p_ID,0)),0)</f>
        <v>260</v>
      </c>
      <c r="M814" s="85" t="n">
        <v>0</v>
      </c>
      <c r="N814" s="81" t="s">
        <v>644</v>
      </c>
      <c r="O814" s="84" t="n">
        <f aca="false">IF($N814="مرتجع",0,K814*L814*(1-M814))</f>
        <v>1300</v>
      </c>
      <c r="P814" s="84" t="n">
        <f aca="false">IF($N814="مرتجع",0,K814*IFERROR(INDEX(p_Cost,MATCH($F814,p_ID,0)),0))</f>
        <v>600</v>
      </c>
      <c r="Q814" s="84" t="n">
        <f aca="false">O814-P814</f>
        <v>700</v>
      </c>
      <c r="R814" s="86" t="n">
        <f aca="false">DATE(YEAR(B814),MONTH(B814),1)</f>
        <v>46113</v>
      </c>
      <c r="S814" s="83" t="str">
        <f aca="false">YEAR(B814)&amp;"-Q"&amp;ROUNDUP(MONTH(B814)/3,0)</f>
        <v>2026-Q2</v>
      </c>
      <c r="T814" s="87" t="n">
        <f aca="false">IF(O814&gt;0,Q814/O814,"")</f>
        <v>0.538461538461538</v>
      </c>
      <c r="U814" s="84" t="n">
        <f aca="false">IF(O814&gt;0,O814,"")</f>
        <v>1300</v>
      </c>
    </row>
    <row r="815" customFormat="false" ht="15" hidden="false" customHeight="false" outlineLevel="0" collapsed="false">
      <c r="A815" s="81" t="s">
        <v>1458</v>
      </c>
      <c r="B815" s="82" t="n">
        <v>46116</v>
      </c>
      <c r="C815" s="81" t="s">
        <v>246</v>
      </c>
      <c r="D815" s="83" t="str">
        <f aca="false">IFERROR(INDEX(c_Name,MATCH($C815,c_ID,0)),"غير معرّف")</f>
        <v>ياسر العتيبي</v>
      </c>
      <c r="E815" s="83" t="str">
        <f aca="false">IFERROR(INDEX(c_Region,MATCH($C815,c_ID,0)),"غير معرّف")</f>
        <v>الجنوبية</v>
      </c>
      <c r="F815" s="81" t="s">
        <v>169</v>
      </c>
      <c r="G815" s="83" t="str">
        <f aca="false">IFERROR(INDEX(p_Name,MATCH($F815,p_ID,0)),"غير معرّف")</f>
        <v>خلاط</v>
      </c>
      <c r="H815" s="83" t="str">
        <f aca="false">IFERROR(INDEX(p_Cat,MATCH($F815,p_ID,0)),"غير معرّف")</f>
        <v>أجهزة منزلية</v>
      </c>
      <c r="I815" s="81" t="s">
        <v>467</v>
      </c>
      <c r="J815" s="81" t="s">
        <v>91</v>
      </c>
      <c r="K815" s="81" t="n">
        <v>1</v>
      </c>
      <c r="L815" s="84" t="n">
        <f aca="false">IFERROR(INDEX(p_Price,MATCH($F815,p_ID,0)),0)</f>
        <v>300</v>
      </c>
      <c r="M815" s="85" t="n">
        <v>0</v>
      </c>
      <c r="N815" s="81" t="s">
        <v>644</v>
      </c>
      <c r="O815" s="84" t="n">
        <f aca="false">IF($N815="مرتجع",0,K815*L815*(1-M815))</f>
        <v>300</v>
      </c>
      <c r="P815" s="84" t="n">
        <f aca="false">IF($N815="مرتجع",0,K815*IFERROR(INDEX(p_Cost,MATCH($F815,p_ID,0)),0))</f>
        <v>175</v>
      </c>
      <c r="Q815" s="84" t="n">
        <f aca="false">O815-P815</f>
        <v>125</v>
      </c>
      <c r="R815" s="86" t="n">
        <f aca="false">DATE(YEAR(B815),MONTH(B815),1)</f>
        <v>46113</v>
      </c>
      <c r="S815" s="83" t="str">
        <f aca="false">YEAR(B815)&amp;"-Q"&amp;ROUNDUP(MONTH(B815)/3,0)</f>
        <v>2026-Q2</v>
      </c>
      <c r="T815" s="87" t="n">
        <f aca="false">IF(O815&gt;0,Q815/O815,"")</f>
        <v>0.416666666666667</v>
      </c>
      <c r="U815" s="84" t="n">
        <f aca="false">IF(O815&gt;0,O815,"")</f>
        <v>300</v>
      </c>
    </row>
    <row r="816" customFormat="false" ht="15" hidden="false" customHeight="false" outlineLevel="0" collapsed="false">
      <c r="A816" s="81" t="s">
        <v>1459</v>
      </c>
      <c r="B816" s="82" t="n">
        <v>46117</v>
      </c>
      <c r="C816" s="81" t="s">
        <v>315</v>
      </c>
      <c r="D816" s="83" t="str">
        <f aca="false">IFERROR(INDEX(c_Name,MATCH($C816,c_ID,0)),"غير معرّف")</f>
        <v>أحمد الحربي</v>
      </c>
      <c r="E816" s="83" t="str">
        <f aca="false">IFERROR(INDEX(c_Region,MATCH($C816,c_ID,0)),"غير معرّف")</f>
        <v>الغربية</v>
      </c>
      <c r="F816" s="81" t="s">
        <v>179</v>
      </c>
      <c r="G816" s="83" t="str">
        <f aca="false">IFERROR(INDEX(p_Name,MATCH($F816,p_ID,0)),"غير معرّف")</f>
        <v>طقم أدوات مكتبية</v>
      </c>
      <c r="H816" s="83" t="str">
        <f aca="false">IFERROR(INDEX(p_Cat,MATCH($F816,p_ID,0)),"غير معرّف")</f>
        <v>مستلزمات مكتبية</v>
      </c>
      <c r="I816" s="81" t="s">
        <v>455</v>
      </c>
      <c r="J816" s="81" t="s">
        <v>93</v>
      </c>
      <c r="K816" s="81" t="n">
        <v>9</v>
      </c>
      <c r="L816" s="84" t="n">
        <f aca="false">IFERROR(INDEX(p_Price,MATCH($F816,p_ID,0)),0)</f>
        <v>90</v>
      </c>
      <c r="M816" s="85" t="n">
        <v>0.15</v>
      </c>
      <c r="N816" s="81" t="s">
        <v>644</v>
      </c>
      <c r="O816" s="84" t="n">
        <f aca="false">IF($N816="مرتجع",0,K816*L816*(1-M816))</f>
        <v>688.5</v>
      </c>
      <c r="P816" s="84" t="n">
        <f aca="false">IF($N816="مرتجع",0,K816*IFERROR(INDEX(p_Cost,MATCH($F816,p_ID,0)),0))</f>
        <v>405</v>
      </c>
      <c r="Q816" s="84" t="n">
        <f aca="false">O816-P816</f>
        <v>283.5</v>
      </c>
      <c r="R816" s="86" t="n">
        <f aca="false">DATE(YEAR(B816),MONTH(B816),1)</f>
        <v>46113</v>
      </c>
      <c r="S816" s="83" t="str">
        <f aca="false">YEAR(B816)&amp;"-Q"&amp;ROUNDUP(MONTH(B816)/3,0)</f>
        <v>2026-Q2</v>
      </c>
      <c r="T816" s="87" t="n">
        <f aca="false">IF(O816&gt;0,Q816/O816,"")</f>
        <v>0.411764705882353</v>
      </c>
      <c r="U816" s="84" t="n">
        <f aca="false">IF(O816&gt;0,O816,"")</f>
        <v>688.5</v>
      </c>
    </row>
    <row r="817" customFormat="false" ht="15" hidden="false" customHeight="false" outlineLevel="0" collapsed="false">
      <c r="A817" s="81" t="s">
        <v>1460</v>
      </c>
      <c r="B817" s="82" t="n">
        <v>46117</v>
      </c>
      <c r="C817" s="81" t="s">
        <v>294</v>
      </c>
      <c r="D817" s="83" t="str">
        <f aca="false">IFERROR(INDEX(c_Name,MATCH($C817,c_ID,0)),"غير معرّف")</f>
        <v>خالد البلوي</v>
      </c>
      <c r="E817" s="83" t="str">
        <f aca="false">IFERROR(INDEX(c_Region,MATCH($C817,c_ID,0)),"غير معرّف")</f>
        <v>الوسطى</v>
      </c>
      <c r="F817" s="81" t="s">
        <v>177</v>
      </c>
      <c r="G817" s="83" t="str">
        <f aca="false">IFERROR(INDEX(p_Name,MATCH($F817,p_ID,0)),"غير معرّف")</f>
        <v>ورق A4 (صندوق)</v>
      </c>
      <c r="H817" s="83" t="str">
        <f aca="false">IFERROR(INDEX(p_Cat,MATCH($F817,p_ID,0)),"غير معرّف")</f>
        <v>مستلزمات مكتبية</v>
      </c>
      <c r="I817" s="81" t="s">
        <v>443</v>
      </c>
      <c r="J817" s="81" t="s">
        <v>91</v>
      </c>
      <c r="K817" s="81" t="n">
        <v>24</v>
      </c>
      <c r="L817" s="84" t="n">
        <f aca="false">IFERROR(INDEX(p_Price,MATCH($F817,p_ID,0)),0)</f>
        <v>140</v>
      </c>
      <c r="M817" s="85" t="n">
        <v>0.05</v>
      </c>
      <c r="N817" s="81" t="s">
        <v>644</v>
      </c>
      <c r="O817" s="84" t="n">
        <f aca="false">IF($N817="مرتجع",0,K817*L817*(1-M817))</f>
        <v>3192</v>
      </c>
      <c r="P817" s="84" t="n">
        <f aca="false">IF($N817="مرتجع",0,K817*IFERROR(INDEX(p_Cost,MATCH($F817,p_ID,0)),0))</f>
        <v>2280</v>
      </c>
      <c r="Q817" s="84" t="n">
        <f aca="false">O817-P817</f>
        <v>912</v>
      </c>
      <c r="R817" s="86" t="n">
        <f aca="false">DATE(YEAR(B817),MONTH(B817),1)</f>
        <v>46113</v>
      </c>
      <c r="S817" s="83" t="str">
        <f aca="false">YEAR(B817)&amp;"-Q"&amp;ROUNDUP(MONTH(B817)/3,0)</f>
        <v>2026-Q2</v>
      </c>
      <c r="T817" s="87" t="n">
        <f aca="false">IF(O817&gt;0,Q817/O817,"")</f>
        <v>0.285714285714286</v>
      </c>
      <c r="U817" s="84" t="n">
        <f aca="false">IF(O817&gt;0,O817,"")</f>
        <v>3192</v>
      </c>
    </row>
    <row r="818" customFormat="false" ht="15" hidden="false" customHeight="false" outlineLevel="0" collapsed="false">
      <c r="A818" s="81" t="s">
        <v>1461</v>
      </c>
      <c r="B818" s="82" t="n">
        <v>46117</v>
      </c>
      <c r="C818" s="81" t="s">
        <v>330</v>
      </c>
      <c r="D818" s="83" t="str">
        <f aca="false">IFERROR(INDEX(c_Name,MATCH($C818,c_ID,0)),"غير معرّف")</f>
        <v>سارة السبيعي</v>
      </c>
      <c r="E818" s="83" t="str">
        <f aca="false">IFERROR(INDEX(c_Region,MATCH($C818,c_ID,0)),"غير معرّف")</f>
        <v>الشرقية</v>
      </c>
      <c r="F818" s="81" t="s">
        <v>178</v>
      </c>
      <c r="G818" s="83" t="str">
        <f aca="false">IFERROR(INDEX(p_Name,MATCH($F818,p_ID,0)),"غير معرّف")</f>
        <v>حقيبة لابتوب</v>
      </c>
      <c r="H818" s="83" t="str">
        <f aca="false">IFERROR(INDEX(p_Cat,MATCH($F818,p_ID,0)),"غير معرّف")</f>
        <v>مستلزمات مكتبية</v>
      </c>
      <c r="I818" s="81" t="s">
        <v>461</v>
      </c>
      <c r="J818" s="81" t="s">
        <v>91</v>
      </c>
      <c r="K818" s="81" t="n">
        <v>3</v>
      </c>
      <c r="L818" s="84" t="n">
        <f aca="false">IFERROR(INDEX(p_Price,MATCH($F818,p_ID,0)),0)</f>
        <v>260</v>
      </c>
      <c r="M818" s="85" t="n">
        <v>0</v>
      </c>
      <c r="N818" s="81" t="s">
        <v>644</v>
      </c>
      <c r="O818" s="84" t="n">
        <f aca="false">IF($N818="مرتجع",0,K818*L818*(1-M818))</f>
        <v>780</v>
      </c>
      <c r="P818" s="84" t="n">
        <f aca="false">IF($N818="مرتجع",0,K818*IFERROR(INDEX(p_Cost,MATCH($F818,p_ID,0)),0))</f>
        <v>360</v>
      </c>
      <c r="Q818" s="84" t="n">
        <f aca="false">O818-P818</f>
        <v>420</v>
      </c>
      <c r="R818" s="86" t="n">
        <f aca="false">DATE(YEAR(B818),MONTH(B818),1)</f>
        <v>46113</v>
      </c>
      <c r="S818" s="83" t="str">
        <f aca="false">YEAR(B818)&amp;"-Q"&amp;ROUNDUP(MONTH(B818)/3,0)</f>
        <v>2026-Q2</v>
      </c>
      <c r="T818" s="87" t="n">
        <f aca="false">IF(O818&gt;0,Q818/O818,"")</f>
        <v>0.538461538461538</v>
      </c>
      <c r="U818" s="84" t="n">
        <f aca="false">IF(O818&gt;0,O818,"")</f>
        <v>780</v>
      </c>
    </row>
    <row r="819" customFormat="false" ht="15" hidden="false" customHeight="false" outlineLevel="0" collapsed="false">
      <c r="A819" s="81" t="s">
        <v>1462</v>
      </c>
      <c r="B819" s="82" t="n">
        <v>46117</v>
      </c>
      <c r="C819" s="81" t="s">
        <v>294</v>
      </c>
      <c r="D819" s="83" t="str">
        <f aca="false">IFERROR(INDEX(c_Name,MATCH($C819,c_ID,0)),"غير معرّف")</f>
        <v>خالد البلوي</v>
      </c>
      <c r="E819" s="83" t="str">
        <f aca="false">IFERROR(INDEX(c_Region,MATCH($C819,c_ID,0)),"غير معرّف")</f>
        <v>الوسطى</v>
      </c>
      <c r="F819" s="81" t="s">
        <v>176</v>
      </c>
      <c r="G819" s="83" t="str">
        <f aca="false">IFERROR(INDEX(p_Name,MATCH($F819,p_ID,0)),"غير معرّف")</f>
        <v>طابعة ليزر</v>
      </c>
      <c r="H819" s="83" t="str">
        <f aca="false">IFERROR(INDEX(p_Cat,MATCH($F819,p_ID,0)),"غير معرّف")</f>
        <v>مستلزمات مكتبية</v>
      </c>
      <c r="I819" s="81" t="s">
        <v>443</v>
      </c>
      <c r="J819" s="81" t="s">
        <v>95</v>
      </c>
      <c r="K819" s="81" t="n">
        <v>20</v>
      </c>
      <c r="L819" s="84" t="n">
        <f aca="false">IFERROR(INDEX(p_Price,MATCH($F819,p_ID,0)),0)</f>
        <v>1300</v>
      </c>
      <c r="M819" s="85" t="n">
        <v>0.05</v>
      </c>
      <c r="N819" s="81" t="s">
        <v>644</v>
      </c>
      <c r="O819" s="84" t="n">
        <f aca="false">IF($N819="مرتجع",0,K819*L819*(1-M819))</f>
        <v>24700</v>
      </c>
      <c r="P819" s="84" t="n">
        <f aca="false">IF($N819="مرتجع",0,K819*IFERROR(INDEX(p_Cost,MATCH($F819,p_ID,0)),0))</f>
        <v>19000</v>
      </c>
      <c r="Q819" s="84" t="n">
        <f aca="false">O819-P819</f>
        <v>5700</v>
      </c>
      <c r="R819" s="86" t="n">
        <f aca="false">DATE(YEAR(B819),MONTH(B819),1)</f>
        <v>46113</v>
      </c>
      <c r="S819" s="83" t="str">
        <f aca="false">YEAR(B819)&amp;"-Q"&amp;ROUNDUP(MONTH(B819)/3,0)</f>
        <v>2026-Q2</v>
      </c>
      <c r="T819" s="87" t="n">
        <f aca="false">IF(O819&gt;0,Q819/O819,"")</f>
        <v>0.230769230769231</v>
      </c>
      <c r="U819" s="84" t="n">
        <f aca="false">IF(O819&gt;0,O819,"")</f>
        <v>24700</v>
      </c>
    </row>
    <row r="820" customFormat="false" ht="15" hidden="false" customHeight="false" outlineLevel="0" collapsed="false">
      <c r="A820" s="81" t="s">
        <v>1463</v>
      </c>
      <c r="B820" s="82" t="n">
        <v>46118</v>
      </c>
      <c r="C820" s="81" t="s">
        <v>361</v>
      </c>
      <c r="D820" s="83" t="str">
        <f aca="false">IFERROR(INDEX(c_Name,MATCH($C820,c_ID,0)),"غير معرّف")</f>
        <v>دانة المطيري</v>
      </c>
      <c r="E820" s="83" t="str">
        <f aca="false">IFERROR(INDEX(c_Region,MATCH($C820,c_ID,0)),"غير معرّف")</f>
        <v>الشرقية</v>
      </c>
      <c r="F820" s="81" t="s">
        <v>184</v>
      </c>
      <c r="G820" s="83" t="str">
        <f aca="false">IFERROR(INDEX(p_Name,MATCH($F820,p_ID,0)),"غير معرّف")</f>
        <v>عطر فاخر</v>
      </c>
      <c r="H820" s="83" t="str">
        <f aca="false">IFERROR(INDEX(p_Cat,MATCH($F820,p_ID,0)),"غير معرّف")</f>
        <v>عناية شخصية</v>
      </c>
      <c r="I820" s="81" t="s">
        <v>463</v>
      </c>
      <c r="J820" s="81" t="s">
        <v>93</v>
      </c>
      <c r="K820" s="81" t="n">
        <v>2</v>
      </c>
      <c r="L820" s="84" t="n">
        <f aca="false">IFERROR(INDEX(p_Price,MATCH($F820,p_ID,0)),0)</f>
        <v>520</v>
      </c>
      <c r="M820" s="85" t="n">
        <v>0</v>
      </c>
      <c r="N820" s="81" t="s">
        <v>650</v>
      </c>
      <c r="O820" s="84" t="n">
        <f aca="false">IF($N820="مرتجع",0,K820*L820*(1-M820))</f>
        <v>0</v>
      </c>
      <c r="P820" s="84" t="n">
        <f aca="false">IF($N820="مرتجع",0,K820*IFERROR(INDEX(p_Cost,MATCH($F820,p_ID,0)),0))</f>
        <v>0</v>
      </c>
      <c r="Q820" s="84" t="n">
        <f aca="false">O820-P820</f>
        <v>0</v>
      </c>
      <c r="R820" s="86" t="n">
        <f aca="false">DATE(YEAR(B820),MONTH(B820),1)</f>
        <v>46113</v>
      </c>
      <c r="S820" s="83" t="str">
        <f aca="false">YEAR(B820)&amp;"-Q"&amp;ROUNDUP(MONTH(B820)/3,0)</f>
        <v>2026-Q2</v>
      </c>
      <c r="T820" s="87" t="str">
        <f aca="false">IF(O820&gt;0,Q820/O820,"")</f>
        <v/>
      </c>
      <c r="U820" s="84" t="str">
        <f aca="false">IF(O820&gt;0,O820,"")</f>
        <v/>
      </c>
    </row>
    <row r="821" customFormat="false" ht="15" hidden="false" customHeight="false" outlineLevel="0" collapsed="false">
      <c r="A821" s="81" t="s">
        <v>1464</v>
      </c>
      <c r="B821" s="82" t="n">
        <v>46118</v>
      </c>
      <c r="C821" s="81" t="s">
        <v>423</v>
      </c>
      <c r="D821" s="83" t="str">
        <f aca="false">IFERROR(INDEX(c_Name,MATCH($C821,c_ID,0)),"غير معرّف")</f>
        <v>ناصر المطيري</v>
      </c>
      <c r="E821" s="83" t="str">
        <f aca="false">IFERROR(INDEX(c_Region,MATCH($C821,c_ID,0)),"غير معرّف")</f>
        <v>الغربية</v>
      </c>
      <c r="F821" s="81" t="s">
        <v>184</v>
      </c>
      <c r="G821" s="83" t="str">
        <f aca="false">IFERROR(INDEX(p_Name,MATCH($F821,p_ID,0)),"غير معرّف")</f>
        <v>عطر فاخر</v>
      </c>
      <c r="H821" s="83" t="str">
        <f aca="false">IFERROR(INDEX(p_Cat,MATCH($F821,p_ID,0)),"غير معرّف")</f>
        <v>عناية شخصية</v>
      </c>
      <c r="I821" s="81" t="s">
        <v>455</v>
      </c>
      <c r="J821" s="81" t="s">
        <v>91</v>
      </c>
      <c r="K821" s="81" t="n">
        <v>2</v>
      </c>
      <c r="L821" s="84" t="n">
        <f aca="false">IFERROR(INDEX(p_Price,MATCH($F821,p_ID,0)),0)</f>
        <v>520</v>
      </c>
      <c r="M821" s="85" t="n">
        <v>0</v>
      </c>
      <c r="N821" s="81" t="s">
        <v>644</v>
      </c>
      <c r="O821" s="84" t="n">
        <f aca="false">IF($N821="مرتجع",0,K821*L821*(1-M821))</f>
        <v>1040</v>
      </c>
      <c r="P821" s="84" t="n">
        <f aca="false">IF($N821="مرتجع",0,K821*IFERROR(INDEX(p_Cost,MATCH($F821,p_ID,0)),0))</f>
        <v>420</v>
      </c>
      <c r="Q821" s="84" t="n">
        <f aca="false">O821-P821</f>
        <v>620</v>
      </c>
      <c r="R821" s="86" t="n">
        <f aca="false">DATE(YEAR(B821),MONTH(B821),1)</f>
        <v>46113</v>
      </c>
      <c r="S821" s="83" t="str">
        <f aca="false">YEAR(B821)&amp;"-Q"&amp;ROUNDUP(MONTH(B821)/3,0)</f>
        <v>2026-Q2</v>
      </c>
      <c r="T821" s="87" t="n">
        <f aca="false">IF(O821&gt;0,Q821/O821,"")</f>
        <v>0.596153846153846</v>
      </c>
      <c r="U821" s="84" t="n">
        <f aca="false">IF(O821&gt;0,O821,"")</f>
        <v>1040</v>
      </c>
    </row>
    <row r="822" customFormat="false" ht="15" hidden="false" customHeight="false" outlineLevel="0" collapsed="false">
      <c r="A822" s="81" t="s">
        <v>1465</v>
      </c>
      <c r="B822" s="82" t="n">
        <v>46119</v>
      </c>
      <c r="C822" s="81" t="s">
        <v>423</v>
      </c>
      <c r="D822" s="83" t="str">
        <f aca="false">IFERROR(INDEX(c_Name,MATCH($C822,c_ID,0)),"غير معرّف")</f>
        <v>ناصر المطيري</v>
      </c>
      <c r="E822" s="83" t="str">
        <f aca="false">IFERROR(INDEX(c_Region,MATCH($C822,c_ID,0)),"غير معرّف")</f>
        <v>الغربية</v>
      </c>
      <c r="F822" s="81" t="s">
        <v>164</v>
      </c>
      <c r="G822" s="83" t="str">
        <f aca="false">IFERROR(INDEX(p_Name,MATCH($F822,p_ID,0)),"غير معرّف")</f>
        <v>هاتف ذكي</v>
      </c>
      <c r="H822" s="83" t="str">
        <f aca="false">IFERROR(INDEX(p_Cat,MATCH($F822,p_ID,0)),"غير معرّف")</f>
        <v>إلكترونيات</v>
      </c>
      <c r="I822" s="81" t="s">
        <v>452</v>
      </c>
      <c r="J822" s="81" t="s">
        <v>91</v>
      </c>
      <c r="K822" s="81" t="n">
        <v>1</v>
      </c>
      <c r="L822" s="84" t="n">
        <f aca="false">IFERROR(INDEX(p_Price,MATCH($F822,p_ID,0)),0)</f>
        <v>2400</v>
      </c>
      <c r="M822" s="85" t="n">
        <v>0</v>
      </c>
      <c r="N822" s="81" t="s">
        <v>644</v>
      </c>
      <c r="O822" s="84" t="n">
        <f aca="false">IF($N822="مرتجع",0,K822*L822*(1-M822))</f>
        <v>2400</v>
      </c>
      <c r="P822" s="84" t="n">
        <f aca="false">IF($N822="مرتجع",0,K822*IFERROR(INDEX(p_Cost,MATCH($F822,p_ID,0)),0))</f>
        <v>1750</v>
      </c>
      <c r="Q822" s="84" t="n">
        <f aca="false">O822-P822</f>
        <v>650</v>
      </c>
      <c r="R822" s="86" t="n">
        <f aca="false">DATE(YEAR(B822),MONTH(B822),1)</f>
        <v>46113</v>
      </c>
      <c r="S822" s="83" t="str">
        <f aca="false">YEAR(B822)&amp;"-Q"&amp;ROUNDUP(MONTH(B822)/3,0)</f>
        <v>2026-Q2</v>
      </c>
      <c r="T822" s="87" t="n">
        <f aca="false">IF(O822&gt;0,Q822/O822,"")</f>
        <v>0.270833333333333</v>
      </c>
      <c r="U822" s="84" t="n">
        <f aca="false">IF(O822&gt;0,O822,"")</f>
        <v>2400</v>
      </c>
    </row>
    <row r="823" customFormat="false" ht="15" hidden="false" customHeight="false" outlineLevel="0" collapsed="false">
      <c r="A823" s="81" t="s">
        <v>1466</v>
      </c>
      <c r="B823" s="82" t="n">
        <v>46119</v>
      </c>
      <c r="C823" s="81" t="s">
        <v>413</v>
      </c>
      <c r="D823" s="83" t="str">
        <f aca="false">IFERROR(INDEX(c_Name,MATCH($C823,c_ID,0)),"غير معرّف")</f>
        <v>نورة الحسيني</v>
      </c>
      <c r="E823" s="83" t="str">
        <f aca="false">IFERROR(INDEX(c_Region,MATCH($C823,c_ID,0)),"غير معرّف")</f>
        <v>الوسطى</v>
      </c>
      <c r="F823" s="81" t="s">
        <v>171</v>
      </c>
      <c r="G823" s="83" t="str">
        <f aca="false">IFERROR(INDEX(p_Name,MATCH($F823,p_ID,0)),"غير معرّف")</f>
        <v>قلاية هوائية</v>
      </c>
      <c r="H823" s="83" t="str">
        <f aca="false">IFERROR(INDEX(p_Cat,MATCH($F823,p_ID,0)),"غير معرّف")</f>
        <v>أجهزة منزلية</v>
      </c>
      <c r="I823" s="81" t="s">
        <v>449</v>
      </c>
      <c r="J823" s="81" t="s">
        <v>93</v>
      </c>
      <c r="K823" s="81" t="n">
        <v>1</v>
      </c>
      <c r="L823" s="84" t="n">
        <f aca="false">IFERROR(INDEX(p_Price,MATCH($F823,p_ID,0)),0)</f>
        <v>520</v>
      </c>
      <c r="M823" s="85" t="n">
        <v>0</v>
      </c>
      <c r="N823" s="81" t="s">
        <v>644</v>
      </c>
      <c r="O823" s="84" t="n">
        <f aca="false">IF($N823="مرتجع",0,K823*L823*(1-M823))</f>
        <v>520</v>
      </c>
      <c r="P823" s="84" t="n">
        <f aca="false">IF($N823="مرتجع",0,K823*IFERROR(INDEX(p_Cost,MATCH($F823,p_ID,0)),0))</f>
        <v>300</v>
      </c>
      <c r="Q823" s="84" t="n">
        <f aca="false">O823-P823</f>
        <v>220</v>
      </c>
      <c r="R823" s="86" t="n">
        <f aca="false">DATE(YEAR(B823),MONTH(B823),1)</f>
        <v>46113</v>
      </c>
      <c r="S823" s="83" t="str">
        <f aca="false">YEAR(B823)&amp;"-Q"&amp;ROUNDUP(MONTH(B823)/3,0)</f>
        <v>2026-Q2</v>
      </c>
      <c r="T823" s="87" t="n">
        <f aca="false">IF(O823&gt;0,Q823/O823,"")</f>
        <v>0.423076923076923</v>
      </c>
      <c r="U823" s="84" t="n">
        <f aca="false">IF(O823&gt;0,O823,"")</f>
        <v>520</v>
      </c>
    </row>
    <row r="824" customFormat="false" ht="15" hidden="false" customHeight="false" outlineLevel="0" collapsed="false">
      <c r="A824" s="81" t="s">
        <v>1467</v>
      </c>
      <c r="B824" s="82" t="n">
        <v>46119</v>
      </c>
      <c r="C824" s="81" t="s">
        <v>252</v>
      </c>
      <c r="D824" s="83" t="str">
        <f aca="false">IFERROR(INDEX(c_Name,MATCH($C824,c_ID,0)),"غير معرّف")</f>
        <v>جود الغامدي</v>
      </c>
      <c r="E824" s="83" t="str">
        <f aca="false">IFERROR(INDEX(c_Region,MATCH($C824,c_ID,0)),"غير معرّف")</f>
        <v>الجنوبية</v>
      </c>
      <c r="F824" s="81" t="s">
        <v>186</v>
      </c>
      <c r="G824" s="83" t="str">
        <f aca="false">IFERROR(INDEX(p_Name,MATCH($F824,p_ID,0)),"غير معرّف")</f>
        <v>مجفف شعر</v>
      </c>
      <c r="H824" s="83" t="str">
        <f aca="false">IFERROR(INDEX(p_Cat,MATCH($F824,p_ID,0)),"غير معرّف")</f>
        <v>عناية شخصية</v>
      </c>
      <c r="I824" s="81" t="s">
        <v>467</v>
      </c>
      <c r="J824" s="81" t="s">
        <v>91</v>
      </c>
      <c r="K824" s="81" t="n">
        <v>1</v>
      </c>
      <c r="L824" s="84" t="n">
        <f aca="false">IFERROR(INDEX(p_Price,MATCH($F824,p_ID,0)),0)</f>
        <v>280</v>
      </c>
      <c r="M824" s="85" t="n">
        <v>0</v>
      </c>
      <c r="N824" s="81" t="s">
        <v>644</v>
      </c>
      <c r="O824" s="84" t="n">
        <f aca="false">IF($N824="مرتجع",0,K824*L824*(1-M824))</f>
        <v>280</v>
      </c>
      <c r="P824" s="84" t="n">
        <f aca="false">IF($N824="مرتجع",0,K824*IFERROR(INDEX(p_Cost,MATCH($F824,p_ID,0)),0))</f>
        <v>140</v>
      </c>
      <c r="Q824" s="84" t="n">
        <f aca="false">O824-P824</f>
        <v>140</v>
      </c>
      <c r="R824" s="86" t="n">
        <f aca="false">DATE(YEAR(B824),MONTH(B824),1)</f>
        <v>46113</v>
      </c>
      <c r="S824" s="83" t="str">
        <f aca="false">YEAR(B824)&amp;"-Q"&amp;ROUNDUP(MONTH(B824)/3,0)</f>
        <v>2026-Q2</v>
      </c>
      <c r="T824" s="87" t="n">
        <f aca="false">IF(O824&gt;0,Q824/O824,"")</f>
        <v>0.5</v>
      </c>
      <c r="U824" s="84" t="n">
        <f aca="false">IF(O824&gt;0,O824,"")</f>
        <v>280</v>
      </c>
    </row>
    <row r="825" customFormat="false" ht="15" hidden="false" customHeight="false" outlineLevel="0" collapsed="false">
      <c r="A825" s="81" t="s">
        <v>1468</v>
      </c>
      <c r="B825" s="82" t="n">
        <v>46120</v>
      </c>
      <c r="C825" s="81" t="s">
        <v>256</v>
      </c>
      <c r="D825" s="83" t="str">
        <f aca="false">IFERROR(INDEX(c_Name,MATCH($C825,c_ID,0)),"غير معرّف")</f>
        <v>فهد البلوي</v>
      </c>
      <c r="E825" s="83" t="str">
        <f aca="false">IFERROR(INDEX(c_Region,MATCH($C825,c_ID,0)),"غير معرّف")</f>
        <v>الجنوبية</v>
      </c>
      <c r="F825" s="81" t="s">
        <v>167</v>
      </c>
      <c r="G825" s="83" t="str">
        <f aca="false">IFERROR(INDEX(p_Name,MATCH($F825,p_ID,0)),"غير معرّف")</f>
        <v>شاشة 27 بوصة</v>
      </c>
      <c r="H825" s="83" t="str">
        <f aca="false">IFERROR(INDEX(p_Cat,MATCH($F825,p_ID,0)),"غير معرّف")</f>
        <v>إلكترونيات</v>
      </c>
      <c r="I825" s="81" t="s">
        <v>467</v>
      </c>
      <c r="J825" s="81" t="s">
        <v>91</v>
      </c>
      <c r="K825" s="81" t="n">
        <v>2</v>
      </c>
      <c r="L825" s="84" t="n">
        <f aca="false">IFERROR(INDEX(p_Price,MATCH($F825,p_ID,0)),0)</f>
        <v>1100</v>
      </c>
      <c r="M825" s="85" t="n">
        <v>0.05</v>
      </c>
      <c r="N825" s="81" t="s">
        <v>644</v>
      </c>
      <c r="O825" s="84" t="n">
        <f aca="false">IF($N825="مرتجع",0,K825*L825*(1-M825))</f>
        <v>2090</v>
      </c>
      <c r="P825" s="84" t="n">
        <f aca="false">IF($N825="مرتجع",0,K825*IFERROR(INDEX(p_Cost,MATCH($F825,p_ID,0)),0))</f>
        <v>1560</v>
      </c>
      <c r="Q825" s="84" t="n">
        <f aca="false">O825-P825</f>
        <v>530</v>
      </c>
      <c r="R825" s="86" t="n">
        <f aca="false">DATE(YEAR(B825),MONTH(B825),1)</f>
        <v>46113</v>
      </c>
      <c r="S825" s="83" t="str">
        <f aca="false">YEAR(B825)&amp;"-Q"&amp;ROUNDUP(MONTH(B825)/3,0)</f>
        <v>2026-Q2</v>
      </c>
      <c r="T825" s="87" t="n">
        <f aca="false">IF(O825&gt;0,Q825/O825,"")</f>
        <v>0.253588516746412</v>
      </c>
      <c r="U825" s="84" t="n">
        <f aca="false">IF(O825&gt;0,O825,"")</f>
        <v>2090</v>
      </c>
    </row>
    <row r="826" customFormat="false" ht="15" hidden="false" customHeight="false" outlineLevel="0" collapsed="false">
      <c r="A826" s="81" t="s">
        <v>1469</v>
      </c>
      <c r="B826" s="82" t="n">
        <v>46120</v>
      </c>
      <c r="C826" s="81" t="s">
        <v>315</v>
      </c>
      <c r="D826" s="83" t="str">
        <f aca="false">IFERROR(INDEX(c_Name,MATCH($C826,c_ID,0)),"غير معرّف")</f>
        <v>أحمد الحربي</v>
      </c>
      <c r="E826" s="83" t="str">
        <f aca="false">IFERROR(INDEX(c_Region,MATCH($C826,c_ID,0)),"غير معرّف")</f>
        <v>الغربية</v>
      </c>
      <c r="F826" s="81" t="s">
        <v>179</v>
      </c>
      <c r="G826" s="83" t="str">
        <f aca="false">IFERROR(INDEX(p_Name,MATCH($F826,p_ID,0)),"غير معرّف")</f>
        <v>طقم أدوات مكتبية</v>
      </c>
      <c r="H826" s="83" t="str">
        <f aca="false">IFERROR(INDEX(p_Cat,MATCH($F826,p_ID,0)),"غير معرّف")</f>
        <v>مستلزمات مكتبية</v>
      </c>
      <c r="I826" s="81" t="s">
        <v>458</v>
      </c>
      <c r="J826" s="81" t="s">
        <v>93</v>
      </c>
      <c r="K826" s="81" t="n">
        <v>16</v>
      </c>
      <c r="L826" s="84" t="n">
        <f aca="false">IFERROR(INDEX(p_Price,MATCH($F826,p_ID,0)),0)</f>
        <v>90</v>
      </c>
      <c r="M826" s="85" t="n">
        <v>0.05</v>
      </c>
      <c r="N826" s="81" t="s">
        <v>644</v>
      </c>
      <c r="O826" s="84" t="n">
        <f aca="false">IF($N826="مرتجع",0,K826*L826*(1-M826))</f>
        <v>1368</v>
      </c>
      <c r="P826" s="84" t="n">
        <f aca="false">IF($N826="مرتجع",0,K826*IFERROR(INDEX(p_Cost,MATCH($F826,p_ID,0)),0))</f>
        <v>720</v>
      </c>
      <c r="Q826" s="84" t="n">
        <f aca="false">O826-P826</f>
        <v>648</v>
      </c>
      <c r="R826" s="86" t="n">
        <f aca="false">DATE(YEAR(B826),MONTH(B826),1)</f>
        <v>46113</v>
      </c>
      <c r="S826" s="83" t="str">
        <f aca="false">YEAR(B826)&amp;"-Q"&amp;ROUNDUP(MONTH(B826)/3,0)</f>
        <v>2026-Q2</v>
      </c>
      <c r="T826" s="87" t="n">
        <f aca="false">IF(O826&gt;0,Q826/O826,"")</f>
        <v>0.473684210526316</v>
      </c>
      <c r="U826" s="84" t="n">
        <f aca="false">IF(O826&gt;0,O826,"")</f>
        <v>1368</v>
      </c>
    </row>
    <row r="827" customFormat="false" ht="15" hidden="false" customHeight="false" outlineLevel="0" collapsed="false">
      <c r="A827" s="81" t="s">
        <v>1470</v>
      </c>
      <c r="B827" s="82" t="n">
        <v>46120</v>
      </c>
      <c r="C827" s="81" t="s">
        <v>291</v>
      </c>
      <c r="D827" s="83" t="str">
        <f aca="false">IFERROR(INDEX(c_Name,MATCH($C827,c_ID,0)),"غير معرّف")</f>
        <v>ياسر الشمري</v>
      </c>
      <c r="E827" s="83" t="str">
        <f aca="false">IFERROR(INDEX(c_Region,MATCH($C827,c_ID,0)),"غير معرّف")</f>
        <v>الوسطى</v>
      </c>
      <c r="F827" s="81" t="s">
        <v>170</v>
      </c>
      <c r="G827" s="83" t="str">
        <f aca="false">IFERROR(INDEX(p_Name,MATCH($F827,p_ID,0)),"غير معرّف")</f>
        <v>مكيف نقال</v>
      </c>
      <c r="H827" s="83" t="str">
        <f aca="false">IFERROR(INDEX(p_Cat,MATCH($F827,p_ID,0)),"غير معرّف")</f>
        <v>أجهزة منزلية</v>
      </c>
      <c r="I827" s="81" t="s">
        <v>443</v>
      </c>
      <c r="J827" s="81" t="s">
        <v>91</v>
      </c>
      <c r="K827" s="81" t="n">
        <v>1</v>
      </c>
      <c r="L827" s="84" t="n">
        <f aca="false">IFERROR(INDEX(p_Price,MATCH($F827,p_ID,0)),0)</f>
        <v>1900</v>
      </c>
      <c r="M827" s="85" t="n">
        <v>0.1</v>
      </c>
      <c r="N827" s="81" t="s">
        <v>644</v>
      </c>
      <c r="O827" s="84" t="n">
        <f aca="false">IF($N827="مرتجع",0,K827*L827*(1-M827))</f>
        <v>1710</v>
      </c>
      <c r="P827" s="84" t="n">
        <f aca="false">IF($N827="مرتجع",0,K827*IFERROR(INDEX(p_Cost,MATCH($F827,p_ID,0)),0))</f>
        <v>1350</v>
      </c>
      <c r="Q827" s="84" t="n">
        <f aca="false">O827-P827</f>
        <v>360</v>
      </c>
      <c r="R827" s="86" t="n">
        <f aca="false">DATE(YEAR(B827),MONTH(B827),1)</f>
        <v>46113</v>
      </c>
      <c r="S827" s="83" t="str">
        <f aca="false">YEAR(B827)&amp;"-Q"&amp;ROUNDUP(MONTH(B827)/3,0)</f>
        <v>2026-Q2</v>
      </c>
      <c r="T827" s="87" t="n">
        <f aca="false">IF(O827&gt;0,Q827/O827,"")</f>
        <v>0.210526315789474</v>
      </c>
      <c r="U827" s="84" t="n">
        <f aca="false">IF(O827&gt;0,O827,"")</f>
        <v>1710</v>
      </c>
    </row>
    <row r="828" customFormat="false" ht="15" hidden="false" customHeight="false" outlineLevel="0" collapsed="false">
      <c r="A828" s="81" t="s">
        <v>1471</v>
      </c>
      <c r="B828" s="82" t="n">
        <v>46120</v>
      </c>
      <c r="C828" s="81" t="s">
        <v>240</v>
      </c>
      <c r="D828" s="83" t="str">
        <f aca="false">IFERROR(INDEX(c_Name,MATCH($C828,c_ID,0)),"غير معرّف")</f>
        <v>سارة العنزي</v>
      </c>
      <c r="E828" s="83" t="str">
        <f aca="false">IFERROR(INDEX(c_Region,MATCH($C828,c_ID,0)),"غير معرّف")</f>
        <v>الغربية</v>
      </c>
      <c r="F828" s="81" t="s">
        <v>179</v>
      </c>
      <c r="G828" s="83" t="str">
        <f aca="false">IFERROR(INDEX(p_Name,MATCH($F828,p_ID,0)),"غير معرّف")</f>
        <v>طقم أدوات مكتبية</v>
      </c>
      <c r="H828" s="83" t="str">
        <f aca="false">IFERROR(INDEX(p_Cat,MATCH($F828,p_ID,0)),"غير معرّف")</f>
        <v>مستلزمات مكتبية</v>
      </c>
      <c r="I828" s="81" t="s">
        <v>455</v>
      </c>
      <c r="J828" s="81" t="s">
        <v>93</v>
      </c>
      <c r="K828" s="81" t="n">
        <v>2</v>
      </c>
      <c r="L828" s="84" t="n">
        <f aca="false">IFERROR(INDEX(p_Price,MATCH($F828,p_ID,0)),0)</f>
        <v>90</v>
      </c>
      <c r="M828" s="85" t="n">
        <v>0.05</v>
      </c>
      <c r="N828" s="81" t="s">
        <v>644</v>
      </c>
      <c r="O828" s="84" t="n">
        <f aca="false">IF($N828="مرتجع",0,K828*L828*(1-M828))</f>
        <v>171</v>
      </c>
      <c r="P828" s="84" t="n">
        <f aca="false">IF($N828="مرتجع",0,K828*IFERROR(INDEX(p_Cost,MATCH($F828,p_ID,0)),0))</f>
        <v>90</v>
      </c>
      <c r="Q828" s="84" t="n">
        <f aca="false">O828-P828</f>
        <v>81</v>
      </c>
      <c r="R828" s="86" t="n">
        <f aca="false">DATE(YEAR(B828),MONTH(B828),1)</f>
        <v>46113</v>
      </c>
      <c r="S828" s="83" t="str">
        <f aca="false">YEAR(B828)&amp;"-Q"&amp;ROUNDUP(MONTH(B828)/3,0)</f>
        <v>2026-Q2</v>
      </c>
      <c r="T828" s="87" t="n">
        <f aca="false">IF(O828&gt;0,Q828/O828,"")</f>
        <v>0.473684210526316</v>
      </c>
      <c r="U828" s="84" t="n">
        <f aca="false">IF(O828&gt;0,O828,"")</f>
        <v>171</v>
      </c>
    </row>
    <row r="829" customFormat="false" ht="15" hidden="false" customHeight="false" outlineLevel="0" collapsed="false">
      <c r="A829" s="81" t="s">
        <v>1472</v>
      </c>
      <c r="B829" s="82" t="n">
        <v>46120</v>
      </c>
      <c r="C829" s="81" t="s">
        <v>378</v>
      </c>
      <c r="D829" s="83" t="str">
        <f aca="false">IFERROR(INDEX(c_Name,MATCH($C829,c_ID,0)),"غير معرّف")</f>
        <v>هند الغامدي</v>
      </c>
      <c r="E829" s="83" t="str">
        <f aca="false">IFERROR(INDEX(c_Region,MATCH($C829,c_ID,0)),"غير معرّف")</f>
        <v>الوسطى</v>
      </c>
      <c r="F829" s="81" t="s">
        <v>179</v>
      </c>
      <c r="G829" s="83" t="str">
        <f aca="false">IFERROR(INDEX(p_Name,MATCH($F829,p_ID,0)),"غير معرّف")</f>
        <v>طقم أدوات مكتبية</v>
      </c>
      <c r="H829" s="83" t="str">
        <f aca="false">IFERROR(INDEX(p_Cat,MATCH($F829,p_ID,0)),"غير معرّف")</f>
        <v>مستلزمات مكتبية</v>
      </c>
      <c r="I829" s="81" t="s">
        <v>449</v>
      </c>
      <c r="J829" s="81" t="s">
        <v>91</v>
      </c>
      <c r="K829" s="81" t="n">
        <v>1</v>
      </c>
      <c r="L829" s="84" t="n">
        <f aca="false">IFERROR(INDEX(p_Price,MATCH($F829,p_ID,0)),0)</f>
        <v>90</v>
      </c>
      <c r="M829" s="85" t="n">
        <v>0</v>
      </c>
      <c r="N829" s="81" t="s">
        <v>644</v>
      </c>
      <c r="O829" s="84" t="n">
        <f aca="false">IF($N829="مرتجع",0,K829*L829*(1-M829))</f>
        <v>90</v>
      </c>
      <c r="P829" s="84" t="n">
        <f aca="false">IF($N829="مرتجع",0,K829*IFERROR(INDEX(p_Cost,MATCH($F829,p_ID,0)),0))</f>
        <v>45</v>
      </c>
      <c r="Q829" s="84" t="n">
        <f aca="false">O829-P829</f>
        <v>45</v>
      </c>
      <c r="R829" s="86" t="n">
        <f aca="false">DATE(YEAR(B829),MONTH(B829),1)</f>
        <v>46113</v>
      </c>
      <c r="S829" s="83" t="str">
        <f aca="false">YEAR(B829)&amp;"-Q"&amp;ROUNDUP(MONTH(B829)/3,0)</f>
        <v>2026-Q2</v>
      </c>
      <c r="T829" s="87" t="n">
        <f aca="false">IF(O829&gt;0,Q829/O829,"")</f>
        <v>0.5</v>
      </c>
      <c r="U829" s="84" t="n">
        <f aca="false">IF(O829&gt;0,O829,"")</f>
        <v>90</v>
      </c>
    </row>
    <row r="830" customFormat="false" ht="15" hidden="false" customHeight="false" outlineLevel="0" collapsed="false">
      <c r="A830" s="81" t="s">
        <v>1473</v>
      </c>
      <c r="B830" s="82" t="n">
        <v>46120</v>
      </c>
      <c r="C830" s="81" t="s">
        <v>238</v>
      </c>
      <c r="D830" s="83" t="str">
        <f aca="false">IFERROR(INDEX(c_Name,MATCH($C830,c_ID,0)),"غير معرّف")</f>
        <v>سارة البلوي</v>
      </c>
      <c r="E830" s="83" t="str">
        <f aca="false">IFERROR(INDEX(c_Region,MATCH($C830,c_ID,0)),"غير معرّف")</f>
        <v>الغربية</v>
      </c>
      <c r="F830" s="81" t="s">
        <v>166</v>
      </c>
      <c r="G830" s="83" t="str">
        <f aca="false">IFERROR(INDEX(p_Name,MATCH($F830,p_ID,0)),"غير معرّف")</f>
        <v>سماعات لاسلكية</v>
      </c>
      <c r="H830" s="83" t="str">
        <f aca="false">IFERROR(INDEX(p_Cat,MATCH($F830,p_ID,0)),"غير معرّف")</f>
        <v>إلكترونيات</v>
      </c>
      <c r="I830" s="81" t="s">
        <v>452</v>
      </c>
      <c r="J830" s="81" t="s">
        <v>91</v>
      </c>
      <c r="K830" s="81" t="n">
        <v>2</v>
      </c>
      <c r="L830" s="84" t="n">
        <f aca="false">IFERROR(INDEX(p_Price,MATCH($F830,p_ID,0)),0)</f>
        <v>450</v>
      </c>
      <c r="M830" s="85" t="n">
        <v>0</v>
      </c>
      <c r="N830" s="81" t="s">
        <v>644</v>
      </c>
      <c r="O830" s="84" t="n">
        <f aca="false">IF($N830="مرتجع",0,K830*L830*(1-M830))</f>
        <v>900</v>
      </c>
      <c r="P830" s="84" t="n">
        <f aca="false">IF($N830="مرتجع",0,K830*IFERROR(INDEX(p_Cost,MATCH($F830,p_ID,0)),0))</f>
        <v>520</v>
      </c>
      <c r="Q830" s="84" t="n">
        <f aca="false">O830-P830</f>
        <v>380</v>
      </c>
      <c r="R830" s="86" t="n">
        <f aca="false">DATE(YEAR(B830),MONTH(B830),1)</f>
        <v>46113</v>
      </c>
      <c r="S830" s="83" t="str">
        <f aca="false">YEAR(B830)&amp;"-Q"&amp;ROUNDUP(MONTH(B830)/3,0)</f>
        <v>2026-Q2</v>
      </c>
      <c r="T830" s="87" t="n">
        <f aca="false">IF(O830&gt;0,Q830/O830,"")</f>
        <v>0.422222222222222</v>
      </c>
      <c r="U830" s="84" t="n">
        <f aca="false">IF(O830&gt;0,O830,"")</f>
        <v>900</v>
      </c>
    </row>
    <row r="831" customFormat="false" ht="15" hidden="false" customHeight="false" outlineLevel="0" collapsed="false">
      <c r="A831" s="81" t="s">
        <v>1474</v>
      </c>
      <c r="B831" s="82" t="n">
        <v>46120</v>
      </c>
      <c r="C831" s="81" t="s">
        <v>312</v>
      </c>
      <c r="D831" s="83" t="str">
        <f aca="false">IFERROR(INDEX(c_Name,MATCH($C831,c_ID,0)),"غير معرّف")</f>
        <v>دانة الدوسري</v>
      </c>
      <c r="E831" s="83" t="str">
        <f aca="false">IFERROR(INDEX(c_Region,MATCH($C831,c_ID,0)),"غير معرّف")</f>
        <v>الشرقية</v>
      </c>
      <c r="F831" s="81" t="s">
        <v>185</v>
      </c>
      <c r="G831" s="83" t="str">
        <f aca="false">IFERROR(INDEX(p_Name,MATCH($F831,p_ID,0)),"غير معرّف")</f>
        <v>ماكينة حلاقة</v>
      </c>
      <c r="H831" s="83" t="str">
        <f aca="false">IFERROR(INDEX(p_Cat,MATCH($F831,p_ID,0)),"غير معرّف")</f>
        <v>عناية شخصية</v>
      </c>
      <c r="I831" s="81" t="s">
        <v>461</v>
      </c>
      <c r="J831" s="81" t="s">
        <v>91</v>
      </c>
      <c r="K831" s="81" t="n">
        <v>1</v>
      </c>
      <c r="L831" s="84" t="n">
        <f aca="false">IFERROR(INDEX(p_Price,MATCH($F831,p_ID,0)),0)</f>
        <v>340</v>
      </c>
      <c r="M831" s="85" t="n">
        <v>0.1</v>
      </c>
      <c r="N831" s="81" t="s">
        <v>644</v>
      </c>
      <c r="O831" s="84" t="n">
        <f aca="false">IF($N831="مرتجع",0,K831*L831*(1-M831))</f>
        <v>306</v>
      </c>
      <c r="P831" s="84" t="n">
        <f aca="false">IF($N831="مرتجع",0,K831*IFERROR(INDEX(p_Cost,MATCH($F831,p_ID,0)),0))</f>
        <v>170</v>
      </c>
      <c r="Q831" s="84" t="n">
        <f aca="false">O831-P831</f>
        <v>136</v>
      </c>
      <c r="R831" s="86" t="n">
        <f aca="false">DATE(YEAR(B831),MONTH(B831),1)</f>
        <v>46113</v>
      </c>
      <c r="S831" s="83" t="str">
        <f aca="false">YEAR(B831)&amp;"-Q"&amp;ROUNDUP(MONTH(B831)/3,0)</f>
        <v>2026-Q2</v>
      </c>
      <c r="T831" s="87" t="n">
        <f aca="false">IF(O831&gt;0,Q831/O831,"")</f>
        <v>0.444444444444444</v>
      </c>
      <c r="U831" s="84" t="n">
        <f aca="false">IF(O831&gt;0,O831,"")</f>
        <v>306</v>
      </c>
    </row>
    <row r="832" customFormat="false" ht="15" hidden="false" customHeight="false" outlineLevel="0" collapsed="false">
      <c r="A832" s="81" t="s">
        <v>1475</v>
      </c>
      <c r="B832" s="82" t="n">
        <v>46120</v>
      </c>
      <c r="C832" s="81" t="s">
        <v>249</v>
      </c>
      <c r="D832" s="83" t="str">
        <f aca="false">IFERROR(INDEX(c_Name,MATCH($C832,c_ID,0)),"غير معرّف")</f>
        <v>ريم الحسيني</v>
      </c>
      <c r="E832" s="83" t="str">
        <f aca="false">IFERROR(INDEX(c_Region,MATCH($C832,c_ID,0)),"غير معرّف")</f>
        <v>الوسطى</v>
      </c>
      <c r="F832" s="81" t="s">
        <v>168</v>
      </c>
      <c r="G832" s="83" t="str">
        <f aca="false">IFERROR(INDEX(p_Name,MATCH($F832,p_ID,0)),"غير معرّف")</f>
        <v>مكنسة كهربائية</v>
      </c>
      <c r="H832" s="83" t="str">
        <f aca="false">IFERROR(INDEX(p_Cat,MATCH($F832,p_ID,0)),"غير معرّف")</f>
        <v>أجهزة منزلية</v>
      </c>
      <c r="I832" s="81" t="s">
        <v>446</v>
      </c>
      <c r="J832" s="81" t="s">
        <v>93</v>
      </c>
      <c r="K832" s="81" t="n">
        <v>9</v>
      </c>
      <c r="L832" s="84" t="n">
        <f aca="false">IFERROR(INDEX(p_Price,MATCH($F832,p_ID,0)),0)</f>
        <v>650</v>
      </c>
      <c r="M832" s="85" t="n">
        <v>0.15</v>
      </c>
      <c r="N832" s="81" t="s">
        <v>644</v>
      </c>
      <c r="O832" s="84" t="n">
        <f aca="false">IF($N832="مرتجع",0,K832*L832*(1-M832))</f>
        <v>4972.5</v>
      </c>
      <c r="P832" s="84" t="n">
        <f aca="false">IF($N832="مرتجع",0,K832*IFERROR(INDEX(p_Cost,MATCH($F832,p_ID,0)),0))</f>
        <v>3780</v>
      </c>
      <c r="Q832" s="84" t="n">
        <f aca="false">O832-P832</f>
        <v>1192.5</v>
      </c>
      <c r="R832" s="86" t="n">
        <f aca="false">DATE(YEAR(B832),MONTH(B832),1)</f>
        <v>46113</v>
      </c>
      <c r="S832" s="83" t="str">
        <f aca="false">YEAR(B832)&amp;"-Q"&amp;ROUNDUP(MONTH(B832)/3,0)</f>
        <v>2026-Q2</v>
      </c>
      <c r="T832" s="87" t="n">
        <f aca="false">IF(O832&gt;0,Q832/O832,"")</f>
        <v>0.239819004524887</v>
      </c>
      <c r="U832" s="84" t="n">
        <f aca="false">IF(O832&gt;0,O832,"")</f>
        <v>4972.5</v>
      </c>
    </row>
    <row r="833" customFormat="false" ht="15" hidden="false" customHeight="false" outlineLevel="0" collapsed="false">
      <c r="A833" s="81" t="s">
        <v>1476</v>
      </c>
      <c r="B833" s="82" t="n">
        <v>46121</v>
      </c>
      <c r="C833" s="81" t="s">
        <v>415</v>
      </c>
      <c r="D833" s="83" t="str">
        <f aca="false">IFERROR(INDEX(c_Name,MATCH($C833,c_ID,0)),"غير معرّف")</f>
        <v>سارة القحطاني</v>
      </c>
      <c r="E833" s="83" t="str">
        <f aca="false">IFERROR(INDEX(c_Region,MATCH($C833,c_ID,0)),"غير معرّف")</f>
        <v>الشرقية</v>
      </c>
      <c r="F833" s="81" t="s">
        <v>185</v>
      </c>
      <c r="G833" s="83" t="str">
        <f aca="false">IFERROR(INDEX(p_Name,MATCH($F833,p_ID,0)),"غير معرّف")</f>
        <v>ماكينة حلاقة</v>
      </c>
      <c r="H833" s="83" t="str">
        <f aca="false">IFERROR(INDEX(p_Cat,MATCH($F833,p_ID,0)),"غير معرّف")</f>
        <v>عناية شخصية</v>
      </c>
      <c r="I833" s="81" t="s">
        <v>463</v>
      </c>
      <c r="J833" s="81" t="s">
        <v>93</v>
      </c>
      <c r="K833" s="81" t="n">
        <v>1</v>
      </c>
      <c r="L833" s="84" t="n">
        <f aca="false">IFERROR(INDEX(p_Price,MATCH($F833,p_ID,0)),0)</f>
        <v>340</v>
      </c>
      <c r="M833" s="85" t="n">
        <v>0</v>
      </c>
      <c r="N833" s="81" t="s">
        <v>644</v>
      </c>
      <c r="O833" s="84" t="n">
        <f aca="false">IF($N833="مرتجع",0,K833*L833*(1-M833))</f>
        <v>340</v>
      </c>
      <c r="P833" s="84" t="n">
        <f aca="false">IF($N833="مرتجع",0,K833*IFERROR(INDEX(p_Cost,MATCH($F833,p_ID,0)),0))</f>
        <v>170</v>
      </c>
      <c r="Q833" s="84" t="n">
        <f aca="false">O833-P833</f>
        <v>170</v>
      </c>
      <c r="R833" s="86" t="n">
        <f aca="false">DATE(YEAR(B833),MONTH(B833),1)</f>
        <v>46113</v>
      </c>
      <c r="S833" s="83" t="str">
        <f aca="false">YEAR(B833)&amp;"-Q"&amp;ROUNDUP(MONTH(B833)/3,0)</f>
        <v>2026-Q2</v>
      </c>
      <c r="T833" s="87" t="n">
        <f aca="false">IF(O833&gt;0,Q833/O833,"")</f>
        <v>0.5</v>
      </c>
      <c r="U833" s="84" t="n">
        <f aca="false">IF(O833&gt;0,O833,"")</f>
        <v>340</v>
      </c>
    </row>
    <row r="834" customFormat="false" ht="15" hidden="false" customHeight="false" outlineLevel="0" collapsed="false">
      <c r="A834" s="81" t="s">
        <v>1477</v>
      </c>
      <c r="B834" s="82" t="n">
        <v>46121</v>
      </c>
      <c r="C834" s="81" t="s">
        <v>404</v>
      </c>
      <c r="D834" s="83" t="str">
        <f aca="false">IFERROR(INDEX(c_Name,MATCH($C834,c_ID,0)),"غير معرّف")</f>
        <v>عبدالله الحسيني</v>
      </c>
      <c r="E834" s="83" t="str">
        <f aca="false">IFERROR(INDEX(c_Region,MATCH($C834,c_ID,0)),"غير معرّف")</f>
        <v>الشرقية</v>
      </c>
      <c r="F834" s="81" t="s">
        <v>182</v>
      </c>
      <c r="G834" s="83" t="str">
        <f aca="false">IFERROR(INDEX(p_Name,MATCH($F834,p_ID,0)),"غير معرّف")</f>
        <v>طقم أوزان</v>
      </c>
      <c r="H834" s="83" t="str">
        <f aca="false">IFERROR(INDEX(p_Cat,MATCH($F834,p_ID,0)),"غير معرّف")</f>
        <v>رياضة</v>
      </c>
      <c r="I834" s="81" t="s">
        <v>461</v>
      </c>
      <c r="J834" s="81" t="s">
        <v>91</v>
      </c>
      <c r="K834" s="81" t="n">
        <v>2</v>
      </c>
      <c r="L834" s="84" t="n">
        <f aca="false">IFERROR(INDEX(p_Price,MATCH($F834,p_ID,0)),0)</f>
        <v>380</v>
      </c>
      <c r="M834" s="85" t="n">
        <v>0</v>
      </c>
      <c r="N834" s="81" t="s">
        <v>644</v>
      </c>
      <c r="O834" s="84" t="n">
        <f aca="false">IF($N834="مرتجع",0,K834*L834*(1-M834))</f>
        <v>760</v>
      </c>
      <c r="P834" s="84" t="n">
        <f aca="false">IF($N834="مرتجع",0,K834*IFERROR(INDEX(p_Cost,MATCH($F834,p_ID,0)),0))</f>
        <v>420</v>
      </c>
      <c r="Q834" s="84" t="n">
        <f aca="false">O834-P834</f>
        <v>340</v>
      </c>
      <c r="R834" s="86" t="n">
        <f aca="false">DATE(YEAR(B834),MONTH(B834),1)</f>
        <v>46113</v>
      </c>
      <c r="S834" s="83" t="str">
        <f aca="false">YEAR(B834)&amp;"-Q"&amp;ROUNDUP(MONTH(B834)/3,0)</f>
        <v>2026-Q2</v>
      </c>
      <c r="T834" s="87" t="n">
        <f aca="false">IF(O834&gt;0,Q834/O834,"")</f>
        <v>0.447368421052632</v>
      </c>
      <c r="U834" s="84" t="n">
        <f aca="false">IF(O834&gt;0,O834,"")</f>
        <v>760</v>
      </c>
    </row>
    <row r="835" customFormat="false" ht="15" hidden="false" customHeight="false" outlineLevel="0" collapsed="false">
      <c r="A835" s="81" t="s">
        <v>1478</v>
      </c>
      <c r="B835" s="82" t="n">
        <v>46121</v>
      </c>
      <c r="C835" s="81" t="s">
        <v>425</v>
      </c>
      <c r="D835" s="83" t="str">
        <f aca="false">IFERROR(INDEX(c_Name,MATCH($C835,c_ID,0)),"غير معرّف")</f>
        <v>عبدالله الشمري</v>
      </c>
      <c r="E835" s="83" t="str">
        <f aca="false">IFERROR(INDEX(c_Region,MATCH($C835,c_ID,0)),"غير معرّف")</f>
        <v>الجنوبية</v>
      </c>
      <c r="F835" s="81" t="s">
        <v>165</v>
      </c>
      <c r="G835" s="83" t="str">
        <f aca="false">IFERROR(INDEX(p_Name,MATCH($F835,p_ID,0)),"غير معرّف")</f>
        <v>حاسوب محمول</v>
      </c>
      <c r="H835" s="83" t="str">
        <f aca="false">IFERROR(INDEX(p_Cat,MATCH($F835,p_ID,0)),"غير معرّف")</f>
        <v>إلكترونيات</v>
      </c>
      <c r="I835" s="81" t="s">
        <v>467</v>
      </c>
      <c r="J835" s="81" t="s">
        <v>91</v>
      </c>
      <c r="K835" s="81" t="n">
        <v>1</v>
      </c>
      <c r="L835" s="84" t="n">
        <f aca="false">IFERROR(INDEX(p_Price,MATCH($F835,p_ID,0)),0)</f>
        <v>3800</v>
      </c>
      <c r="M835" s="85" t="n">
        <v>0</v>
      </c>
      <c r="N835" s="81" t="s">
        <v>644</v>
      </c>
      <c r="O835" s="84" t="n">
        <f aca="false">IF($N835="مرتجع",0,K835*L835*(1-M835))</f>
        <v>3800</v>
      </c>
      <c r="P835" s="84" t="n">
        <f aca="false">IF($N835="مرتجع",0,K835*IFERROR(INDEX(p_Cost,MATCH($F835,p_ID,0)),0))</f>
        <v>2900</v>
      </c>
      <c r="Q835" s="84" t="n">
        <f aca="false">O835-P835</f>
        <v>900</v>
      </c>
      <c r="R835" s="86" t="n">
        <f aca="false">DATE(YEAR(B835),MONTH(B835),1)</f>
        <v>46113</v>
      </c>
      <c r="S835" s="83" t="str">
        <f aca="false">YEAR(B835)&amp;"-Q"&amp;ROUNDUP(MONTH(B835)/3,0)</f>
        <v>2026-Q2</v>
      </c>
      <c r="T835" s="87" t="n">
        <f aca="false">IF(O835&gt;0,Q835/O835,"")</f>
        <v>0.236842105263158</v>
      </c>
      <c r="U835" s="84" t="n">
        <f aca="false">IF(O835&gt;0,O835,"")</f>
        <v>3800</v>
      </c>
    </row>
    <row r="836" customFormat="false" ht="15" hidden="false" customHeight="false" outlineLevel="0" collapsed="false">
      <c r="A836" s="81" t="s">
        <v>1479</v>
      </c>
      <c r="B836" s="82" t="n">
        <v>46122</v>
      </c>
      <c r="C836" s="81" t="s">
        <v>293</v>
      </c>
      <c r="D836" s="83" t="str">
        <f aca="false">IFERROR(INDEX(c_Name,MATCH($C836,c_ID,0)),"غير معرّف")</f>
        <v>سارة الغامدي</v>
      </c>
      <c r="E836" s="83" t="str">
        <f aca="false">IFERROR(INDEX(c_Region,MATCH($C836,c_ID,0)),"غير معرّف")</f>
        <v>الوسطى</v>
      </c>
      <c r="F836" s="81" t="s">
        <v>187</v>
      </c>
      <c r="G836" s="83" t="str">
        <f aca="false">IFERROR(INDEX(p_Name,MATCH($F836,p_ID,0)),"غير معرّف")</f>
        <v>جهاز تدليك</v>
      </c>
      <c r="H836" s="83" t="str">
        <f aca="false">IFERROR(INDEX(p_Cat,MATCH($F836,p_ID,0)),"غير معرّف")</f>
        <v>عناية شخصية</v>
      </c>
      <c r="I836" s="81" t="s">
        <v>446</v>
      </c>
      <c r="J836" s="81" t="s">
        <v>91</v>
      </c>
      <c r="K836" s="81" t="n">
        <v>2</v>
      </c>
      <c r="L836" s="84" t="n">
        <f aca="false">IFERROR(INDEX(p_Price,MATCH($F836,p_ID,0)),0)</f>
        <v>600</v>
      </c>
      <c r="M836" s="85" t="n">
        <v>0.15</v>
      </c>
      <c r="N836" s="81" t="s">
        <v>644</v>
      </c>
      <c r="O836" s="84" t="n">
        <f aca="false">IF($N836="مرتجع",0,K836*L836*(1-M836))</f>
        <v>1020</v>
      </c>
      <c r="P836" s="84" t="n">
        <f aca="false">IF($N836="مرتجع",0,K836*IFERROR(INDEX(p_Cost,MATCH($F836,p_ID,0)),0))</f>
        <v>660</v>
      </c>
      <c r="Q836" s="84" t="n">
        <f aca="false">O836-P836</f>
        <v>360</v>
      </c>
      <c r="R836" s="86" t="n">
        <f aca="false">DATE(YEAR(B836),MONTH(B836),1)</f>
        <v>46113</v>
      </c>
      <c r="S836" s="83" t="str">
        <f aca="false">YEAR(B836)&amp;"-Q"&amp;ROUNDUP(MONTH(B836)/3,0)</f>
        <v>2026-Q2</v>
      </c>
      <c r="T836" s="87" t="n">
        <f aca="false">IF(O836&gt;0,Q836/O836,"")</f>
        <v>0.352941176470588</v>
      </c>
      <c r="U836" s="84" t="n">
        <f aca="false">IF(O836&gt;0,O836,"")</f>
        <v>1020</v>
      </c>
    </row>
    <row r="837" customFormat="false" ht="15" hidden="false" customHeight="false" outlineLevel="0" collapsed="false">
      <c r="A837" s="81" t="s">
        <v>1480</v>
      </c>
      <c r="B837" s="82" t="n">
        <v>46122</v>
      </c>
      <c r="C837" s="81" t="s">
        <v>244</v>
      </c>
      <c r="D837" s="83" t="str">
        <f aca="false">IFERROR(INDEX(c_Name,MATCH($C837,c_ID,0)),"غير معرّف")</f>
        <v>طارق الشهري</v>
      </c>
      <c r="E837" s="83" t="str">
        <f aca="false">IFERROR(INDEX(c_Region,MATCH($C837,c_ID,0)),"غير معرّف")</f>
        <v>الوسطى</v>
      </c>
      <c r="F837" s="81" t="s">
        <v>184</v>
      </c>
      <c r="G837" s="83" t="str">
        <f aca="false">IFERROR(INDEX(p_Name,MATCH($F837,p_ID,0)),"غير معرّف")</f>
        <v>عطر فاخر</v>
      </c>
      <c r="H837" s="83" t="str">
        <f aca="false">IFERROR(INDEX(p_Cat,MATCH($F837,p_ID,0)),"غير معرّف")</f>
        <v>عناية شخصية</v>
      </c>
      <c r="I837" s="81" t="s">
        <v>449</v>
      </c>
      <c r="J837" s="81" t="s">
        <v>91</v>
      </c>
      <c r="K837" s="81" t="n">
        <v>1</v>
      </c>
      <c r="L837" s="84" t="n">
        <f aca="false">IFERROR(INDEX(p_Price,MATCH($F837,p_ID,0)),0)</f>
        <v>520</v>
      </c>
      <c r="M837" s="85" t="n">
        <v>0.05</v>
      </c>
      <c r="N837" s="81" t="s">
        <v>644</v>
      </c>
      <c r="O837" s="84" t="n">
        <f aca="false">IF($N837="مرتجع",0,K837*L837*(1-M837))</f>
        <v>494</v>
      </c>
      <c r="P837" s="84" t="n">
        <f aca="false">IF($N837="مرتجع",0,K837*IFERROR(INDEX(p_Cost,MATCH($F837,p_ID,0)),0))</f>
        <v>210</v>
      </c>
      <c r="Q837" s="84" t="n">
        <f aca="false">O837-P837</f>
        <v>284</v>
      </c>
      <c r="R837" s="86" t="n">
        <f aca="false">DATE(YEAR(B837),MONTH(B837),1)</f>
        <v>46113</v>
      </c>
      <c r="S837" s="83" t="str">
        <f aca="false">YEAR(B837)&amp;"-Q"&amp;ROUNDUP(MONTH(B837)/3,0)</f>
        <v>2026-Q2</v>
      </c>
      <c r="T837" s="87" t="n">
        <f aca="false">IF(O837&gt;0,Q837/O837,"")</f>
        <v>0.574898785425101</v>
      </c>
      <c r="U837" s="84" t="n">
        <f aca="false">IF(O837&gt;0,O837,"")</f>
        <v>494</v>
      </c>
    </row>
    <row r="838" customFormat="false" ht="15" hidden="false" customHeight="false" outlineLevel="0" collapsed="false">
      <c r="A838" s="81" t="s">
        <v>1481</v>
      </c>
      <c r="B838" s="82" t="n">
        <v>46122</v>
      </c>
      <c r="C838" s="81" t="s">
        <v>394</v>
      </c>
      <c r="D838" s="83" t="str">
        <f aca="false">IFERROR(INDEX(c_Name,MATCH($C838,c_ID,0)),"غير معرّف")</f>
        <v>طارق الغامدي</v>
      </c>
      <c r="E838" s="83" t="str">
        <f aca="false">IFERROR(INDEX(c_Region,MATCH($C838,c_ID,0)),"غير معرّف")</f>
        <v>الشرقية</v>
      </c>
      <c r="F838" s="81" t="s">
        <v>165</v>
      </c>
      <c r="G838" s="83" t="str">
        <f aca="false">IFERROR(INDEX(p_Name,MATCH($F838,p_ID,0)),"غير معرّف")</f>
        <v>حاسوب محمول</v>
      </c>
      <c r="H838" s="83" t="str">
        <f aca="false">IFERROR(INDEX(p_Cat,MATCH($F838,p_ID,0)),"غير معرّف")</f>
        <v>إلكترونيات</v>
      </c>
      <c r="I838" s="81" t="s">
        <v>463</v>
      </c>
      <c r="J838" s="81" t="s">
        <v>93</v>
      </c>
      <c r="K838" s="81" t="n">
        <v>1</v>
      </c>
      <c r="L838" s="84" t="n">
        <f aca="false">IFERROR(INDEX(p_Price,MATCH($F838,p_ID,0)),0)</f>
        <v>3800</v>
      </c>
      <c r="M838" s="85" t="n">
        <v>0.05</v>
      </c>
      <c r="N838" s="81" t="s">
        <v>644</v>
      </c>
      <c r="O838" s="84" t="n">
        <f aca="false">IF($N838="مرتجع",0,K838*L838*(1-M838))</f>
        <v>3610</v>
      </c>
      <c r="P838" s="84" t="n">
        <f aca="false">IF($N838="مرتجع",0,K838*IFERROR(INDEX(p_Cost,MATCH($F838,p_ID,0)),0))</f>
        <v>2900</v>
      </c>
      <c r="Q838" s="84" t="n">
        <f aca="false">O838-P838</f>
        <v>710</v>
      </c>
      <c r="R838" s="86" t="n">
        <f aca="false">DATE(YEAR(B838),MONTH(B838),1)</f>
        <v>46113</v>
      </c>
      <c r="S838" s="83" t="str">
        <f aca="false">YEAR(B838)&amp;"-Q"&amp;ROUNDUP(MONTH(B838)/3,0)</f>
        <v>2026-Q2</v>
      </c>
      <c r="T838" s="87" t="n">
        <f aca="false">IF(O838&gt;0,Q838/O838,"")</f>
        <v>0.196675900277008</v>
      </c>
      <c r="U838" s="84" t="n">
        <f aca="false">IF(O838&gt;0,O838,"")</f>
        <v>3610</v>
      </c>
    </row>
    <row r="839" customFormat="false" ht="15" hidden="false" customHeight="false" outlineLevel="0" collapsed="false">
      <c r="A839" s="81" t="s">
        <v>1482</v>
      </c>
      <c r="B839" s="82" t="n">
        <v>46123</v>
      </c>
      <c r="C839" s="81" t="s">
        <v>424</v>
      </c>
      <c r="D839" s="83" t="str">
        <f aca="false">IFERROR(INDEX(c_Name,MATCH($C839,c_ID,0)),"غير معرّف")</f>
        <v>سارة التميمي</v>
      </c>
      <c r="E839" s="83" t="str">
        <f aca="false">IFERROR(INDEX(c_Region,MATCH($C839,c_ID,0)),"غير معرّف")</f>
        <v>الشرقية</v>
      </c>
      <c r="F839" s="81" t="s">
        <v>187</v>
      </c>
      <c r="G839" s="83" t="str">
        <f aca="false">IFERROR(INDEX(p_Name,MATCH($F839,p_ID,0)),"غير معرّف")</f>
        <v>جهاز تدليك</v>
      </c>
      <c r="H839" s="83" t="str">
        <f aca="false">IFERROR(INDEX(p_Cat,MATCH($F839,p_ID,0)),"غير معرّف")</f>
        <v>عناية شخصية</v>
      </c>
      <c r="I839" s="81" t="s">
        <v>461</v>
      </c>
      <c r="J839" s="81" t="s">
        <v>91</v>
      </c>
      <c r="K839" s="81" t="n">
        <v>1</v>
      </c>
      <c r="L839" s="84" t="n">
        <f aca="false">IFERROR(INDEX(p_Price,MATCH($F839,p_ID,0)),0)</f>
        <v>600</v>
      </c>
      <c r="M839" s="85" t="n">
        <v>0.1</v>
      </c>
      <c r="N839" s="81" t="s">
        <v>644</v>
      </c>
      <c r="O839" s="84" t="n">
        <f aca="false">IF($N839="مرتجع",0,K839*L839*(1-M839))</f>
        <v>540</v>
      </c>
      <c r="P839" s="84" t="n">
        <f aca="false">IF($N839="مرتجع",0,K839*IFERROR(INDEX(p_Cost,MATCH($F839,p_ID,0)),0))</f>
        <v>330</v>
      </c>
      <c r="Q839" s="84" t="n">
        <f aca="false">O839-P839</f>
        <v>210</v>
      </c>
      <c r="R839" s="86" t="n">
        <f aca="false">DATE(YEAR(B839),MONTH(B839),1)</f>
        <v>46113</v>
      </c>
      <c r="S839" s="83" t="str">
        <f aca="false">YEAR(B839)&amp;"-Q"&amp;ROUNDUP(MONTH(B839)/3,0)</f>
        <v>2026-Q2</v>
      </c>
      <c r="T839" s="87" t="n">
        <f aca="false">IF(O839&gt;0,Q839/O839,"")</f>
        <v>0.388888888888889</v>
      </c>
      <c r="U839" s="84" t="n">
        <f aca="false">IF(O839&gt;0,O839,"")</f>
        <v>540</v>
      </c>
    </row>
    <row r="840" customFormat="false" ht="15" hidden="false" customHeight="false" outlineLevel="0" collapsed="false">
      <c r="A840" s="81" t="s">
        <v>1483</v>
      </c>
      <c r="B840" s="82" t="n">
        <v>46124</v>
      </c>
      <c r="C840" s="81" t="s">
        <v>234</v>
      </c>
      <c r="D840" s="83" t="str">
        <f aca="false">IFERROR(INDEX(c_Name,MATCH($C840,c_ID,0)),"غير معرّف")</f>
        <v>هند الخالدي</v>
      </c>
      <c r="E840" s="83" t="str">
        <f aca="false">IFERROR(INDEX(c_Region,MATCH($C840,c_ID,0)),"غير معرّف")</f>
        <v>الوسطى</v>
      </c>
      <c r="F840" s="81" t="s">
        <v>186</v>
      </c>
      <c r="G840" s="83" t="str">
        <f aca="false">IFERROR(INDEX(p_Name,MATCH($F840,p_ID,0)),"غير معرّف")</f>
        <v>مجفف شعر</v>
      </c>
      <c r="H840" s="83" t="str">
        <f aca="false">IFERROR(INDEX(p_Cat,MATCH($F840,p_ID,0)),"غير معرّف")</f>
        <v>عناية شخصية</v>
      </c>
      <c r="I840" s="81" t="s">
        <v>446</v>
      </c>
      <c r="J840" s="81" t="s">
        <v>91</v>
      </c>
      <c r="K840" s="81" t="n">
        <v>1</v>
      </c>
      <c r="L840" s="84" t="n">
        <f aca="false">IFERROR(INDEX(p_Price,MATCH($F840,p_ID,0)),0)</f>
        <v>280</v>
      </c>
      <c r="M840" s="85" t="n">
        <v>0.05</v>
      </c>
      <c r="N840" s="81" t="s">
        <v>644</v>
      </c>
      <c r="O840" s="84" t="n">
        <f aca="false">IF($N840="مرتجع",0,K840*L840*(1-M840))</f>
        <v>266</v>
      </c>
      <c r="P840" s="84" t="n">
        <f aca="false">IF($N840="مرتجع",0,K840*IFERROR(INDEX(p_Cost,MATCH($F840,p_ID,0)),0))</f>
        <v>140</v>
      </c>
      <c r="Q840" s="84" t="n">
        <f aca="false">O840-P840</f>
        <v>126</v>
      </c>
      <c r="R840" s="86" t="n">
        <f aca="false">DATE(YEAR(B840),MONTH(B840),1)</f>
        <v>46113</v>
      </c>
      <c r="S840" s="83" t="str">
        <f aca="false">YEAR(B840)&amp;"-Q"&amp;ROUNDUP(MONTH(B840)/3,0)</f>
        <v>2026-Q2</v>
      </c>
      <c r="T840" s="87" t="n">
        <f aca="false">IF(O840&gt;0,Q840/O840,"")</f>
        <v>0.473684210526316</v>
      </c>
      <c r="U840" s="84" t="n">
        <f aca="false">IF(O840&gt;0,O840,"")</f>
        <v>266</v>
      </c>
    </row>
    <row r="841" customFormat="false" ht="15" hidden="false" customHeight="false" outlineLevel="0" collapsed="false">
      <c r="A841" s="81" t="s">
        <v>1484</v>
      </c>
      <c r="B841" s="82" t="n">
        <v>46124</v>
      </c>
      <c r="C841" s="81" t="s">
        <v>270</v>
      </c>
      <c r="D841" s="83" t="str">
        <f aca="false">IFERROR(INDEX(c_Name,MATCH($C841,c_ID,0)),"غير معرّف")</f>
        <v>ريم التميمي</v>
      </c>
      <c r="E841" s="83" t="str">
        <f aca="false">IFERROR(INDEX(c_Region,MATCH($C841,c_ID,0)),"غير معرّف")</f>
        <v>الشرقية</v>
      </c>
      <c r="F841" s="81" t="s">
        <v>185</v>
      </c>
      <c r="G841" s="83" t="str">
        <f aca="false">IFERROR(INDEX(p_Name,MATCH($F841,p_ID,0)),"غير معرّف")</f>
        <v>ماكينة حلاقة</v>
      </c>
      <c r="H841" s="83" t="str">
        <f aca="false">IFERROR(INDEX(p_Cat,MATCH($F841,p_ID,0)),"غير معرّف")</f>
        <v>عناية شخصية</v>
      </c>
      <c r="I841" s="81" t="s">
        <v>461</v>
      </c>
      <c r="J841" s="81" t="s">
        <v>93</v>
      </c>
      <c r="K841" s="81" t="n">
        <v>1</v>
      </c>
      <c r="L841" s="84" t="n">
        <f aca="false">IFERROR(INDEX(p_Price,MATCH($F841,p_ID,0)),0)</f>
        <v>340</v>
      </c>
      <c r="M841" s="85" t="n">
        <v>0.15</v>
      </c>
      <c r="N841" s="81" t="s">
        <v>644</v>
      </c>
      <c r="O841" s="84" t="n">
        <f aca="false">IF($N841="مرتجع",0,K841*L841*(1-M841))</f>
        <v>289</v>
      </c>
      <c r="P841" s="84" t="n">
        <f aca="false">IF($N841="مرتجع",0,K841*IFERROR(INDEX(p_Cost,MATCH($F841,p_ID,0)),0))</f>
        <v>170</v>
      </c>
      <c r="Q841" s="84" t="n">
        <f aca="false">O841-P841</f>
        <v>119</v>
      </c>
      <c r="R841" s="86" t="n">
        <f aca="false">DATE(YEAR(B841),MONTH(B841),1)</f>
        <v>46113</v>
      </c>
      <c r="S841" s="83" t="str">
        <f aca="false">YEAR(B841)&amp;"-Q"&amp;ROUNDUP(MONTH(B841)/3,0)</f>
        <v>2026-Q2</v>
      </c>
      <c r="T841" s="87" t="n">
        <f aca="false">IF(O841&gt;0,Q841/O841,"")</f>
        <v>0.411764705882353</v>
      </c>
      <c r="U841" s="84" t="n">
        <f aca="false">IF(O841&gt;0,O841,"")</f>
        <v>289</v>
      </c>
    </row>
    <row r="842" customFormat="false" ht="15" hidden="false" customHeight="false" outlineLevel="0" collapsed="false">
      <c r="A842" s="81" t="s">
        <v>1485</v>
      </c>
      <c r="B842" s="82" t="n">
        <v>46124</v>
      </c>
      <c r="C842" s="81" t="s">
        <v>334</v>
      </c>
      <c r="D842" s="83" t="str">
        <f aca="false">IFERROR(INDEX(c_Name,MATCH($C842,c_ID,0)),"غير معرّف")</f>
        <v>ناصر الغامدي</v>
      </c>
      <c r="E842" s="83" t="str">
        <f aca="false">IFERROR(INDEX(c_Region,MATCH($C842,c_ID,0)),"غير معرّف")</f>
        <v>الغربية</v>
      </c>
      <c r="F842" s="81" t="s">
        <v>185</v>
      </c>
      <c r="G842" s="83" t="str">
        <f aca="false">IFERROR(INDEX(p_Name,MATCH($F842,p_ID,0)),"غير معرّف")</f>
        <v>ماكينة حلاقة</v>
      </c>
      <c r="H842" s="83" t="str">
        <f aca="false">IFERROR(INDEX(p_Cat,MATCH($F842,p_ID,0)),"غير معرّف")</f>
        <v>عناية شخصية</v>
      </c>
      <c r="I842" s="81" t="s">
        <v>458</v>
      </c>
      <c r="J842" s="81" t="s">
        <v>91</v>
      </c>
      <c r="K842" s="81" t="n">
        <v>2</v>
      </c>
      <c r="L842" s="84" t="n">
        <f aca="false">IFERROR(INDEX(p_Price,MATCH($F842,p_ID,0)),0)</f>
        <v>340</v>
      </c>
      <c r="M842" s="85" t="n">
        <v>0.1</v>
      </c>
      <c r="N842" s="81" t="s">
        <v>650</v>
      </c>
      <c r="O842" s="84" t="n">
        <f aca="false">IF($N842="مرتجع",0,K842*L842*(1-M842))</f>
        <v>0</v>
      </c>
      <c r="P842" s="84" t="n">
        <f aca="false">IF($N842="مرتجع",0,K842*IFERROR(INDEX(p_Cost,MATCH($F842,p_ID,0)),0))</f>
        <v>0</v>
      </c>
      <c r="Q842" s="84" t="n">
        <f aca="false">O842-P842</f>
        <v>0</v>
      </c>
      <c r="R842" s="86" t="n">
        <f aca="false">DATE(YEAR(B842),MONTH(B842),1)</f>
        <v>46113</v>
      </c>
      <c r="S842" s="83" t="str">
        <f aca="false">YEAR(B842)&amp;"-Q"&amp;ROUNDUP(MONTH(B842)/3,0)</f>
        <v>2026-Q2</v>
      </c>
      <c r="T842" s="87" t="str">
        <f aca="false">IF(O842&gt;0,Q842/O842,"")</f>
        <v/>
      </c>
      <c r="U842" s="84" t="str">
        <f aca="false">IF(O842&gt;0,O842,"")</f>
        <v/>
      </c>
    </row>
    <row r="843" customFormat="false" ht="15" hidden="false" customHeight="false" outlineLevel="0" collapsed="false">
      <c r="A843" s="81" t="s">
        <v>1486</v>
      </c>
      <c r="B843" s="82" t="n">
        <v>46124</v>
      </c>
      <c r="C843" s="81" t="s">
        <v>270</v>
      </c>
      <c r="D843" s="83" t="str">
        <f aca="false">IFERROR(INDEX(c_Name,MATCH($C843,c_ID,0)),"غير معرّف")</f>
        <v>ريم التميمي</v>
      </c>
      <c r="E843" s="83" t="str">
        <f aca="false">IFERROR(INDEX(c_Region,MATCH($C843,c_ID,0)),"غير معرّف")</f>
        <v>الشرقية</v>
      </c>
      <c r="F843" s="81" t="s">
        <v>179</v>
      </c>
      <c r="G843" s="83" t="str">
        <f aca="false">IFERROR(INDEX(p_Name,MATCH($F843,p_ID,0)),"غير معرّف")</f>
        <v>طقم أدوات مكتبية</v>
      </c>
      <c r="H843" s="83" t="str">
        <f aca="false">IFERROR(INDEX(p_Cat,MATCH($F843,p_ID,0)),"غير معرّف")</f>
        <v>مستلزمات مكتبية</v>
      </c>
      <c r="I843" s="81" t="s">
        <v>461</v>
      </c>
      <c r="J843" s="81" t="s">
        <v>93</v>
      </c>
      <c r="K843" s="81" t="n">
        <v>1</v>
      </c>
      <c r="L843" s="84" t="n">
        <f aca="false">IFERROR(INDEX(p_Price,MATCH($F843,p_ID,0)),0)</f>
        <v>90</v>
      </c>
      <c r="M843" s="85" t="n">
        <v>0</v>
      </c>
      <c r="N843" s="81" t="s">
        <v>650</v>
      </c>
      <c r="O843" s="84" t="n">
        <f aca="false">IF($N843="مرتجع",0,K843*L843*(1-M843))</f>
        <v>0</v>
      </c>
      <c r="P843" s="84" t="n">
        <f aca="false">IF($N843="مرتجع",0,K843*IFERROR(INDEX(p_Cost,MATCH($F843,p_ID,0)),0))</f>
        <v>0</v>
      </c>
      <c r="Q843" s="84" t="n">
        <f aca="false">O843-P843</f>
        <v>0</v>
      </c>
      <c r="R843" s="86" t="n">
        <f aca="false">DATE(YEAR(B843),MONTH(B843),1)</f>
        <v>46113</v>
      </c>
      <c r="S843" s="83" t="str">
        <f aca="false">YEAR(B843)&amp;"-Q"&amp;ROUNDUP(MONTH(B843)/3,0)</f>
        <v>2026-Q2</v>
      </c>
      <c r="T843" s="87" t="str">
        <f aca="false">IF(O843&gt;0,Q843/O843,"")</f>
        <v/>
      </c>
      <c r="U843" s="84" t="str">
        <f aca="false">IF(O843&gt;0,O843,"")</f>
        <v/>
      </c>
    </row>
    <row r="844" customFormat="false" ht="15" hidden="false" customHeight="false" outlineLevel="0" collapsed="false">
      <c r="A844" s="81" t="s">
        <v>1487</v>
      </c>
      <c r="B844" s="82" t="n">
        <v>46124</v>
      </c>
      <c r="C844" s="81" t="s">
        <v>354</v>
      </c>
      <c r="D844" s="83" t="str">
        <f aca="false">IFERROR(INDEX(c_Name,MATCH($C844,c_ID,0)),"غير معرّف")</f>
        <v>عبير الشمري</v>
      </c>
      <c r="E844" s="83" t="str">
        <f aca="false">IFERROR(INDEX(c_Region,MATCH($C844,c_ID,0)),"غير معرّف")</f>
        <v>الجنوبية</v>
      </c>
      <c r="F844" s="81" t="s">
        <v>166</v>
      </c>
      <c r="G844" s="83" t="str">
        <f aca="false">IFERROR(INDEX(p_Name,MATCH($F844,p_ID,0)),"غير معرّف")</f>
        <v>سماعات لاسلكية</v>
      </c>
      <c r="H844" s="83" t="str">
        <f aca="false">IFERROR(INDEX(p_Cat,MATCH($F844,p_ID,0)),"غير معرّف")</f>
        <v>إلكترونيات</v>
      </c>
      <c r="I844" s="81" t="s">
        <v>465</v>
      </c>
      <c r="J844" s="81" t="s">
        <v>93</v>
      </c>
      <c r="K844" s="81" t="n">
        <v>1</v>
      </c>
      <c r="L844" s="84" t="n">
        <f aca="false">IFERROR(INDEX(p_Price,MATCH($F844,p_ID,0)),0)</f>
        <v>450</v>
      </c>
      <c r="M844" s="85" t="n">
        <v>0.15</v>
      </c>
      <c r="N844" s="81" t="s">
        <v>644</v>
      </c>
      <c r="O844" s="84" t="n">
        <f aca="false">IF($N844="مرتجع",0,K844*L844*(1-M844))</f>
        <v>382.5</v>
      </c>
      <c r="P844" s="84" t="n">
        <f aca="false">IF($N844="مرتجع",0,K844*IFERROR(INDEX(p_Cost,MATCH($F844,p_ID,0)),0))</f>
        <v>260</v>
      </c>
      <c r="Q844" s="84" t="n">
        <f aca="false">O844-P844</f>
        <v>122.5</v>
      </c>
      <c r="R844" s="86" t="n">
        <f aca="false">DATE(YEAR(B844),MONTH(B844),1)</f>
        <v>46113</v>
      </c>
      <c r="S844" s="83" t="str">
        <f aca="false">YEAR(B844)&amp;"-Q"&amp;ROUNDUP(MONTH(B844)/3,0)</f>
        <v>2026-Q2</v>
      </c>
      <c r="T844" s="87" t="n">
        <f aca="false">IF(O844&gt;0,Q844/O844,"")</f>
        <v>0.320261437908497</v>
      </c>
      <c r="U844" s="84" t="n">
        <f aca="false">IF(O844&gt;0,O844,"")</f>
        <v>382.5</v>
      </c>
    </row>
    <row r="845" customFormat="false" ht="15" hidden="false" customHeight="false" outlineLevel="0" collapsed="false">
      <c r="A845" s="81" t="s">
        <v>1488</v>
      </c>
      <c r="B845" s="82" t="n">
        <v>46125</v>
      </c>
      <c r="C845" s="81" t="s">
        <v>335</v>
      </c>
      <c r="D845" s="83" t="str">
        <f aca="false">IFERROR(INDEX(c_Name,MATCH($C845,c_ID,0)),"غير معرّف")</f>
        <v>نورة الحربي</v>
      </c>
      <c r="E845" s="83" t="str">
        <f aca="false">IFERROR(INDEX(c_Region,MATCH($C845,c_ID,0)),"غير معرّف")</f>
        <v>الشرقية</v>
      </c>
      <c r="F845" s="81" t="s">
        <v>179</v>
      </c>
      <c r="G845" s="83" t="str">
        <f aca="false">IFERROR(INDEX(p_Name,MATCH($F845,p_ID,0)),"غير معرّف")</f>
        <v>طقم أدوات مكتبية</v>
      </c>
      <c r="H845" s="83" t="str">
        <f aca="false">IFERROR(INDEX(p_Cat,MATCH($F845,p_ID,0)),"غير معرّف")</f>
        <v>مستلزمات مكتبية</v>
      </c>
      <c r="I845" s="81" t="s">
        <v>463</v>
      </c>
      <c r="J845" s="81" t="s">
        <v>91</v>
      </c>
      <c r="K845" s="81" t="n">
        <v>1</v>
      </c>
      <c r="L845" s="84" t="n">
        <f aca="false">IFERROR(INDEX(p_Price,MATCH($F845,p_ID,0)),0)</f>
        <v>90</v>
      </c>
      <c r="M845" s="85" t="n">
        <v>0</v>
      </c>
      <c r="N845" s="81" t="s">
        <v>644</v>
      </c>
      <c r="O845" s="84" t="n">
        <f aca="false">IF($N845="مرتجع",0,K845*L845*(1-M845))</f>
        <v>90</v>
      </c>
      <c r="P845" s="84" t="n">
        <f aca="false">IF($N845="مرتجع",0,K845*IFERROR(INDEX(p_Cost,MATCH($F845,p_ID,0)),0))</f>
        <v>45</v>
      </c>
      <c r="Q845" s="84" t="n">
        <f aca="false">O845-P845</f>
        <v>45</v>
      </c>
      <c r="R845" s="86" t="n">
        <f aca="false">DATE(YEAR(B845),MONTH(B845),1)</f>
        <v>46113</v>
      </c>
      <c r="S845" s="83" t="str">
        <f aca="false">YEAR(B845)&amp;"-Q"&amp;ROUNDUP(MONTH(B845)/3,0)</f>
        <v>2026-Q2</v>
      </c>
      <c r="T845" s="87" t="n">
        <f aca="false">IF(O845&gt;0,Q845/O845,"")</f>
        <v>0.5</v>
      </c>
      <c r="U845" s="84" t="n">
        <f aca="false">IF(O845&gt;0,O845,"")</f>
        <v>90</v>
      </c>
    </row>
    <row r="846" customFormat="false" ht="15" hidden="false" customHeight="false" outlineLevel="0" collapsed="false">
      <c r="A846" s="81" t="s">
        <v>1489</v>
      </c>
      <c r="B846" s="82" t="n">
        <v>46125</v>
      </c>
      <c r="C846" s="81" t="s">
        <v>297</v>
      </c>
      <c r="D846" s="83" t="str">
        <f aca="false">IFERROR(INDEX(c_Name,MATCH($C846,c_ID,0)),"غير معرّف")</f>
        <v>ياسر الحسيني</v>
      </c>
      <c r="E846" s="83" t="str">
        <f aca="false">IFERROR(INDEX(c_Region,MATCH($C846,c_ID,0)),"غير معرّف")</f>
        <v>الشرقية</v>
      </c>
      <c r="F846" s="81" t="s">
        <v>182</v>
      </c>
      <c r="G846" s="83" t="str">
        <f aca="false">IFERROR(INDEX(p_Name,MATCH($F846,p_ID,0)),"غير معرّف")</f>
        <v>طقم أوزان</v>
      </c>
      <c r="H846" s="83" t="str">
        <f aca="false">IFERROR(INDEX(p_Cat,MATCH($F846,p_ID,0)),"غير معرّف")</f>
        <v>رياضة</v>
      </c>
      <c r="I846" s="81" t="s">
        <v>461</v>
      </c>
      <c r="J846" s="81" t="s">
        <v>91</v>
      </c>
      <c r="K846" s="81" t="n">
        <v>1</v>
      </c>
      <c r="L846" s="84" t="n">
        <f aca="false">IFERROR(INDEX(p_Price,MATCH($F846,p_ID,0)),0)</f>
        <v>380</v>
      </c>
      <c r="M846" s="85" t="n">
        <v>0.15</v>
      </c>
      <c r="N846" s="81" t="s">
        <v>644</v>
      </c>
      <c r="O846" s="84" t="n">
        <f aca="false">IF($N846="مرتجع",0,K846*L846*(1-M846))</f>
        <v>323</v>
      </c>
      <c r="P846" s="84" t="n">
        <f aca="false">IF($N846="مرتجع",0,K846*IFERROR(INDEX(p_Cost,MATCH($F846,p_ID,0)),0))</f>
        <v>210</v>
      </c>
      <c r="Q846" s="84" t="n">
        <f aca="false">O846-P846</f>
        <v>113</v>
      </c>
      <c r="R846" s="86" t="n">
        <f aca="false">DATE(YEAR(B846),MONTH(B846),1)</f>
        <v>46113</v>
      </c>
      <c r="S846" s="83" t="str">
        <f aca="false">YEAR(B846)&amp;"-Q"&amp;ROUNDUP(MONTH(B846)/3,0)</f>
        <v>2026-Q2</v>
      </c>
      <c r="T846" s="87" t="n">
        <f aca="false">IF(O846&gt;0,Q846/O846,"")</f>
        <v>0.34984520123839</v>
      </c>
      <c r="U846" s="84" t="n">
        <f aca="false">IF(O846&gt;0,O846,"")</f>
        <v>323</v>
      </c>
    </row>
    <row r="847" customFormat="false" ht="15" hidden="false" customHeight="false" outlineLevel="0" collapsed="false">
      <c r="A847" s="81" t="s">
        <v>1490</v>
      </c>
      <c r="B847" s="82" t="n">
        <v>46125</v>
      </c>
      <c r="C847" s="81" t="s">
        <v>338</v>
      </c>
      <c r="D847" s="83" t="str">
        <f aca="false">IFERROR(INDEX(c_Name,MATCH($C847,c_ID,0)),"غير معرّف")</f>
        <v>سارة الزهراني</v>
      </c>
      <c r="E847" s="83" t="str">
        <f aca="false">IFERROR(INDEX(c_Region,MATCH($C847,c_ID,0)),"غير معرّف")</f>
        <v>الغربية</v>
      </c>
      <c r="F847" s="81" t="s">
        <v>185</v>
      </c>
      <c r="G847" s="83" t="str">
        <f aca="false">IFERROR(INDEX(p_Name,MATCH($F847,p_ID,0)),"غير معرّف")</f>
        <v>ماكينة حلاقة</v>
      </c>
      <c r="H847" s="83" t="str">
        <f aca="false">IFERROR(INDEX(p_Cat,MATCH($F847,p_ID,0)),"غير معرّف")</f>
        <v>عناية شخصية</v>
      </c>
      <c r="I847" s="81" t="s">
        <v>452</v>
      </c>
      <c r="J847" s="81" t="s">
        <v>93</v>
      </c>
      <c r="K847" s="81" t="n">
        <v>2</v>
      </c>
      <c r="L847" s="84" t="n">
        <f aca="false">IFERROR(INDEX(p_Price,MATCH($F847,p_ID,0)),0)</f>
        <v>340</v>
      </c>
      <c r="M847" s="85" t="n">
        <v>0.05</v>
      </c>
      <c r="N847" s="81" t="s">
        <v>644</v>
      </c>
      <c r="O847" s="84" t="n">
        <f aca="false">IF($N847="مرتجع",0,K847*L847*(1-M847))</f>
        <v>646</v>
      </c>
      <c r="P847" s="84" t="n">
        <f aca="false">IF($N847="مرتجع",0,K847*IFERROR(INDEX(p_Cost,MATCH($F847,p_ID,0)),0))</f>
        <v>340</v>
      </c>
      <c r="Q847" s="84" t="n">
        <f aca="false">O847-P847</f>
        <v>306</v>
      </c>
      <c r="R847" s="86" t="n">
        <f aca="false">DATE(YEAR(B847),MONTH(B847),1)</f>
        <v>46113</v>
      </c>
      <c r="S847" s="83" t="str">
        <f aca="false">YEAR(B847)&amp;"-Q"&amp;ROUNDUP(MONTH(B847)/3,0)</f>
        <v>2026-Q2</v>
      </c>
      <c r="T847" s="87" t="n">
        <f aca="false">IF(O847&gt;0,Q847/O847,"")</f>
        <v>0.473684210526316</v>
      </c>
      <c r="U847" s="84" t="n">
        <f aca="false">IF(O847&gt;0,O847,"")</f>
        <v>646</v>
      </c>
    </row>
    <row r="848" customFormat="false" ht="15" hidden="false" customHeight="false" outlineLevel="0" collapsed="false">
      <c r="A848" s="81" t="s">
        <v>1491</v>
      </c>
      <c r="B848" s="82" t="n">
        <v>46125</v>
      </c>
      <c r="C848" s="81" t="s">
        <v>306</v>
      </c>
      <c r="D848" s="83" t="str">
        <f aca="false">IFERROR(INDEX(c_Name,MATCH($C848,c_ID,0)),"غير معرّف")</f>
        <v>أحمد العنزي</v>
      </c>
      <c r="E848" s="83" t="str">
        <f aca="false">IFERROR(INDEX(c_Region,MATCH($C848,c_ID,0)),"غير معرّف")</f>
        <v>الغربية</v>
      </c>
      <c r="F848" s="81" t="s">
        <v>178</v>
      </c>
      <c r="G848" s="83" t="str">
        <f aca="false">IFERROR(INDEX(p_Name,MATCH($F848,p_ID,0)),"غير معرّف")</f>
        <v>حقيبة لابتوب</v>
      </c>
      <c r="H848" s="83" t="str">
        <f aca="false">IFERROR(INDEX(p_Cat,MATCH($F848,p_ID,0)),"غير معرّف")</f>
        <v>مستلزمات مكتبية</v>
      </c>
      <c r="I848" s="81" t="s">
        <v>458</v>
      </c>
      <c r="J848" s="81" t="s">
        <v>91</v>
      </c>
      <c r="K848" s="81" t="n">
        <v>7</v>
      </c>
      <c r="L848" s="84" t="n">
        <f aca="false">IFERROR(INDEX(p_Price,MATCH($F848,p_ID,0)),0)</f>
        <v>260</v>
      </c>
      <c r="M848" s="85" t="n">
        <v>0.05</v>
      </c>
      <c r="N848" s="81" t="s">
        <v>644</v>
      </c>
      <c r="O848" s="84" t="n">
        <f aca="false">IF($N848="مرتجع",0,K848*L848*(1-M848))</f>
        <v>1729</v>
      </c>
      <c r="P848" s="84" t="n">
        <f aca="false">IF($N848="مرتجع",0,K848*IFERROR(INDEX(p_Cost,MATCH($F848,p_ID,0)),0))</f>
        <v>840</v>
      </c>
      <c r="Q848" s="84" t="n">
        <f aca="false">O848-P848</f>
        <v>889</v>
      </c>
      <c r="R848" s="86" t="n">
        <f aca="false">DATE(YEAR(B848),MONTH(B848),1)</f>
        <v>46113</v>
      </c>
      <c r="S848" s="83" t="str">
        <f aca="false">YEAR(B848)&amp;"-Q"&amp;ROUNDUP(MONTH(B848)/3,0)</f>
        <v>2026-Q2</v>
      </c>
      <c r="T848" s="87" t="n">
        <f aca="false">IF(O848&gt;0,Q848/O848,"")</f>
        <v>0.51417004048583</v>
      </c>
      <c r="U848" s="84" t="n">
        <f aca="false">IF(O848&gt;0,O848,"")</f>
        <v>1729</v>
      </c>
    </row>
    <row r="849" customFormat="false" ht="15" hidden="false" customHeight="false" outlineLevel="0" collapsed="false">
      <c r="A849" s="81" t="s">
        <v>1492</v>
      </c>
      <c r="B849" s="82" t="n">
        <v>46125</v>
      </c>
      <c r="C849" s="81" t="s">
        <v>307</v>
      </c>
      <c r="D849" s="83" t="str">
        <f aca="false">IFERROR(INDEX(c_Name,MATCH($C849,c_ID,0)),"غير معرّف")</f>
        <v>ريم السبيعي</v>
      </c>
      <c r="E849" s="83" t="str">
        <f aca="false">IFERROR(INDEX(c_Region,MATCH($C849,c_ID,0)),"غير معرّف")</f>
        <v>الوسطى</v>
      </c>
      <c r="F849" s="81" t="s">
        <v>179</v>
      </c>
      <c r="G849" s="83" t="str">
        <f aca="false">IFERROR(INDEX(p_Name,MATCH($F849,p_ID,0)),"غير معرّف")</f>
        <v>طقم أدوات مكتبية</v>
      </c>
      <c r="H849" s="83" t="str">
        <f aca="false">IFERROR(INDEX(p_Cat,MATCH($F849,p_ID,0)),"غير معرّف")</f>
        <v>مستلزمات مكتبية</v>
      </c>
      <c r="I849" s="81" t="s">
        <v>449</v>
      </c>
      <c r="J849" s="81" t="s">
        <v>91</v>
      </c>
      <c r="K849" s="81" t="n">
        <v>5</v>
      </c>
      <c r="L849" s="84" t="n">
        <f aca="false">IFERROR(INDEX(p_Price,MATCH($F849,p_ID,0)),0)</f>
        <v>90</v>
      </c>
      <c r="M849" s="85" t="n">
        <v>0</v>
      </c>
      <c r="N849" s="81" t="s">
        <v>644</v>
      </c>
      <c r="O849" s="84" t="n">
        <f aca="false">IF($N849="مرتجع",0,K849*L849*(1-M849))</f>
        <v>450</v>
      </c>
      <c r="P849" s="84" t="n">
        <f aca="false">IF($N849="مرتجع",0,K849*IFERROR(INDEX(p_Cost,MATCH($F849,p_ID,0)),0))</f>
        <v>225</v>
      </c>
      <c r="Q849" s="84" t="n">
        <f aca="false">O849-P849</f>
        <v>225</v>
      </c>
      <c r="R849" s="86" t="n">
        <f aca="false">DATE(YEAR(B849),MONTH(B849),1)</f>
        <v>46113</v>
      </c>
      <c r="S849" s="83" t="str">
        <f aca="false">YEAR(B849)&amp;"-Q"&amp;ROUNDUP(MONTH(B849)/3,0)</f>
        <v>2026-Q2</v>
      </c>
      <c r="T849" s="87" t="n">
        <f aca="false">IF(O849&gt;0,Q849/O849,"")</f>
        <v>0.5</v>
      </c>
      <c r="U849" s="84" t="n">
        <f aca="false">IF(O849&gt;0,O849,"")</f>
        <v>450</v>
      </c>
    </row>
    <row r="850" customFormat="false" ht="15" hidden="false" customHeight="false" outlineLevel="0" collapsed="false">
      <c r="A850" s="81" t="s">
        <v>1493</v>
      </c>
      <c r="B850" s="82" t="n">
        <v>46126</v>
      </c>
      <c r="C850" s="81" t="s">
        <v>400</v>
      </c>
      <c r="D850" s="83" t="str">
        <f aca="false">IFERROR(INDEX(c_Name,MATCH($C850,c_ID,0)),"غير معرّف")</f>
        <v>عبير الشهري</v>
      </c>
      <c r="E850" s="83" t="str">
        <f aca="false">IFERROR(INDEX(c_Region,MATCH($C850,c_ID,0)),"غير معرّف")</f>
        <v>الوسطى</v>
      </c>
      <c r="F850" s="81" t="s">
        <v>169</v>
      </c>
      <c r="G850" s="83" t="str">
        <f aca="false">IFERROR(INDEX(p_Name,MATCH($F850,p_ID,0)),"غير معرّف")</f>
        <v>خلاط</v>
      </c>
      <c r="H850" s="83" t="str">
        <f aca="false">IFERROR(INDEX(p_Cat,MATCH($F850,p_ID,0)),"غير معرّف")</f>
        <v>أجهزة منزلية</v>
      </c>
      <c r="I850" s="81" t="s">
        <v>449</v>
      </c>
      <c r="J850" s="81" t="s">
        <v>93</v>
      </c>
      <c r="K850" s="81" t="n">
        <v>1</v>
      </c>
      <c r="L850" s="84" t="n">
        <f aca="false">IFERROR(INDEX(p_Price,MATCH($F850,p_ID,0)),0)</f>
        <v>300</v>
      </c>
      <c r="M850" s="85" t="n">
        <v>0.05</v>
      </c>
      <c r="N850" s="81" t="s">
        <v>644</v>
      </c>
      <c r="O850" s="84" t="n">
        <f aca="false">IF($N850="مرتجع",0,K850*L850*(1-M850))</f>
        <v>285</v>
      </c>
      <c r="P850" s="84" t="n">
        <f aca="false">IF($N850="مرتجع",0,K850*IFERROR(INDEX(p_Cost,MATCH($F850,p_ID,0)),0))</f>
        <v>175</v>
      </c>
      <c r="Q850" s="84" t="n">
        <f aca="false">O850-P850</f>
        <v>110</v>
      </c>
      <c r="R850" s="86" t="n">
        <f aca="false">DATE(YEAR(B850),MONTH(B850),1)</f>
        <v>46113</v>
      </c>
      <c r="S850" s="83" t="str">
        <f aca="false">YEAR(B850)&amp;"-Q"&amp;ROUNDUP(MONTH(B850)/3,0)</f>
        <v>2026-Q2</v>
      </c>
      <c r="T850" s="87" t="n">
        <f aca="false">IF(O850&gt;0,Q850/O850,"")</f>
        <v>0.385964912280702</v>
      </c>
      <c r="U850" s="84" t="n">
        <f aca="false">IF(O850&gt;0,O850,"")</f>
        <v>285</v>
      </c>
    </row>
    <row r="851" customFormat="false" ht="15" hidden="false" customHeight="false" outlineLevel="0" collapsed="false">
      <c r="A851" s="81" t="s">
        <v>1494</v>
      </c>
      <c r="B851" s="82" t="n">
        <v>46126</v>
      </c>
      <c r="C851" s="81" t="s">
        <v>262</v>
      </c>
      <c r="D851" s="83" t="str">
        <f aca="false">IFERROR(INDEX(c_Name,MATCH($C851,c_ID,0)),"غير معرّف")</f>
        <v>ناصر السبيعي</v>
      </c>
      <c r="E851" s="83" t="str">
        <f aca="false">IFERROR(INDEX(c_Region,MATCH($C851,c_ID,0)),"غير معرّف")</f>
        <v>الغربية</v>
      </c>
      <c r="F851" s="81" t="s">
        <v>173</v>
      </c>
      <c r="G851" s="83" t="str">
        <f aca="false">IFERROR(INDEX(p_Name,MATCH($F851,p_ID,0)),"غير معرّف")</f>
        <v>كرسي مريح</v>
      </c>
      <c r="H851" s="83" t="str">
        <f aca="false">IFERROR(INDEX(p_Cat,MATCH($F851,p_ID,0)),"غير معرّف")</f>
        <v>أثاث</v>
      </c>
      <c r="I851" s="81" t="s">
        <v>455</v>
      </c>
      <c r="J851" s="81" t="s">
        <v>93</v>
      </c>
      <c r="K851" s="81" t="n">
        <v>1</v>
      </c>
      <c r="L851" s="84" t="n">
        <f aca="false">IFERROR(INDEX(p_Price,MATCH($F851,p_ID,0)),0)</f>
        <v>850</v>
      </c>
      <c r="M851" s="85" t="n">
        <v>0</v>
      </c>
      <c r="N851" s="81" t="s">
        <v>644</v>
      </c>
      <c r="O851" s="84" t="n">
        <f aca="false">IF($N851="مرتجع",0,K851*L851*(1-M851))</f>
        <v>850</v>
      </c>
      <c r="P851" s="84" t="n">
        <f aca="false">IF($N851="مرتجع",0,K851*IFERROR(INDEX(p_Cost,MATCH($F851,p_ID,0)),0))</f>
        <v>480</v>
      </c>
      <c r="Q851" s="84" t="n">
        <f aca="false">O851-P851</f>
        <v>370</v>
      </c>
      <c r="R851" s="86" t="n">
        <f aca="false">DATE(YEAR(B851),MONTH(B851),1)</f>
        <v>46113</v>
      </c>
      <c r="S851" s="83" t="str">
        <f aca="false">YEAR(B851)&amp;"-Q"&amp;ROUNDUP(MONTH(B851)/3,0)</f>
        <v>2026-Q2</v>
      </c>
      <c r="T851" s="87" t="n">
        <f aca="false">IF(O851&gt;0,Q851/O851,"")</f>
        <v>0.435294117647059</v>
      </c>
      <c r="U851" s="84" t="n">
        <f aca="false">IF(O851&gt;0,O851,"")</f>
        <v>850</v>
      </c>
    </row>
    <row r="852" customFormat="false" ht="15" hidden="false" customHeight="false" outlineLevel="0" collapsed="false">
      <c r="A852" s="81" t="s">
        <v>1495</v>
      </c>
      <c r="B852" s="82" t="n">
        <v>46126</v>
      </c>
      <c r="C852" s="81" t="s">
        <v>387</v>
      </c>
      <c r="D852" s="83" t="str">
        <f aca="false">IFERROR(INDEX(c_Name,MATCH($C852,c_ID,0)),"غير معرّف")</f>
        <v>لمى الشمري</v>
      </c>
      <c r="E852" s="83" t="str">
        <f aca="false">IFERROR(INDEX(c_Region,MATCH($C852,c_ID,0)),"غير معرّف")</f>
        <v>الوسطى</v>
      </c>
      <c r="F852" s="81" t="s">
        <v>166</v>
      </c>
      <c r="G852" s="83" t="str">
        <f aca="false">IFERROR(INDEX(p_Name,MATCH($F852,p_ID,0)),"غير معرّف")</f>
        <v>سماعات لاسلكية</v>
      </c>
      <c r="H852" s="83" t="str">
        <f aca="false">IFERROR(INDEX(p_Cat,MATCH($F852,p_ID,0)),"غير معرّف")</f>
        <v>إلكترونيات</v>
      </c>
      <c r="I852" s="81" t="s">
        <v>443</v>
      </c>
      <c r="J852" s="81" t="s">
        <v>91</v>
      </c>
      <c r="K852" s="81" t="n">
        <v>2</v>
      </c>
      <c r="L852" s="84" t="n">
        <f aca="false">IFERROR(INDEX(p_Price,MATCH($F852,p_ID,0)),0)</f>
        <v>450</v>
      </c>
      <c r="M852" s="85" t="n">
        <v>0.15</v>
      </c>
      <c r="N852" s="81" t="s">
        <v>644</v>
      </c>
      <c r="O852" s="84" t="n">
        <f aca="false">IF($N852="مرتجع",0,K852*L852*(1-M852))</f>
        <v>765</v>
      </c>
      <c r="P852" s="84" t="n">
        <f aca="false">IF($N852="مرتجع",0,K852*IFERROR(INDEX(p_Cost,MATCH($F852,p_ID,0)),0))</f>
        <v>520</v>
      </c>
      <c r="Q852" s="84" t="n">
        <f aca="false">O852-P852</f>
        <v>245</v>
      </c>
      <c r="R852" s="86" t="n">
        <f aca="false">DATE(YEAR(B852),MONTH(B852),1)</f>
        <v>46113</v>
      </c>
      <c r="S852" s="83" t="str">
        <f aca="false">YEAR(B852)&amp;"-Q"&amp;ROUNDUP(MONTH(B852)/3,0)</f>
        <v>2026-Q2</v>
      </c>
      <c r="T852" s="87" t="n">
        <f aca="false">IF(O852&gt;0,Q852/O852,"")</f>
        <v>0.320261437908497</v>
      </c>
      <c r="U852" s="84" t="n">
        <f aca="false">IF(O852&gt;0,O852,"")</f>
        <v>765</v>
      </c>
    </row>
    <row r="853" customFormat="false" ht="15" hidden="false" customHeight="false" outlineLevel="0" collapsed="false">
      <c r="A853" s="81" t="s">
        <v>1496</v>
      </c>
      <c r="B853" s="82" t="n">
        <v>46126</v>
      </c>
      <c r="C853" s="81" t="s">
        <v>246</v>
      </c>
      <c r="D853" s="83" t="str">
        <f aca="false">IFERROR(INDEX(c_Name,MATCH($C853,c_ID,0)),"غير معرّف")</f>
        <v>ياسر العتيبي</v>
      </c>
      <c r="E853" s="83" t="str">
        <f aca="false">IFERROR(INDEX(c_Region,MATCH($C853,c_ID,0)),"غير معرّف")</f>
        <v>الجنوبية</v>
      </c>
      <c r="F853" s="81" t="s">
        <v>182</v>
      </c>
      <c r="G853" s="83" t="str">
        <f aca="false">IFERROR(INDEX(p_Name,MATCH($F853,p_ID,0)),"غير معرّف")</f>
        <v>طقم أوزان</v>
      </c>
      <c r="H853" s="83" t="str">
        <f aca="false">IFERROR(INDEX(p_Cat,MATCH($F853,p_ID,0)),"غير معرّف")</f>
        <v>رياضة</v>
      </c>
      <c r="I853" s="81" t="s">
        <v>465</v>
      </c>
      <c r="J853" s="81" t="s">
        <v>93</v>
      </c>
      <c r="K853" s="81" t="n">
        <v>1</v>
      </c>
      <c r="L853" s="84" t="n">
        <f aca="false">IFERROR(INDEX(p_Price,MATCH($F853,p_ID,0)),0)</f>
        <v>380</v>
      </c>
      <c r="M853" s="85" t="n">
        <v>0.05</v>
      </c>
      <c r="N853" s="81" t="s">
        <v>644</v>
      </c>
      <c r="O853" s="84" t="n">
        <f aca="false">IF($N853="مرتجع",0,K853*L853*(1-M853))</f>
        <v>361</v>
      </c>
      <c r="P853" s="84" t="n">
        <f aca="false">IF($N853="مرتجع",0,K853*IFERROR(INDEX(p_Cost,MATCH($F853,p_ID,0)),0))</f>
        <v>210</v>
      </c>
      <c r="Q853" s="84" t="n">
        <f aca="false">O853-P853</f>
        <v>151</v>
      </c>
      <c r="R853" s="86" t="n">
        <f aca="false">DATE(YEAR(B853),MONTH(B853),1)</f>
        <v>46113</v>
      </c>
      <c r="S853" s="83" t="str">
        <f aca="false">YEAR(B853)&amp;"-Q"&amp;ROUNDUP(MONTH(B853)/3,0)</f>
        <v>2026-Q2</v>
      </c>
      <c r="T853" s="87" t="n">
        <f aca="false">IF(O853&gt;0,Q853/O853,"")</f>
        <v>0.418282548476454</v>
      </c>
      <c r="U853" s="84" t="n">
        <f aca="false">IF(O853&gt;0,O853,"")</f>
        <v>361</v>
      </c>
    </row>
    <row r="854" customFormat="false" ht="15" hidden="false" customHeight="false" outlineLevel="0" collapsed="false">
      <c r="A854" s="81" t="s">
        <v>1497</v>
      </c>
      <c r="B854" s="82" t="n">
        <v>46126</v>
      </c>
      <c r="C854" s="81" t="s">
        <v>315</v>
      </c>
      <c r="D854" s="83" t="str">
        <f aca="false">IFERROR(INDEX(c_Name,MATCH($C854,c_ID,0)),"غير معرّف")</f>
        <v>أحمد الحربي</v>
      </c>
      <c r="E854" s="83" t="str">
        <f aca="false">IFERROR(INDEX(c_Region,MATCH($C854,c_ID,0)),"غير معرّف")</f>
        <v>الغربية</v>
      </c>
      <c r="F854" s="81" t="s">
        <v>173</v>
      </c>
      <c r="G854" s="83" t="str">
        <f aca="false">IFERROR(INDEX(p_Name,MATCH($F854,p_ID,0)),"غير معرّف")</f>
        <v>كرسي مريح</v>
      </c>
      <c r="H854" s="83" t="str">
        <f aca="false">IFERROR(INDEX(p_Cat,MATCH($F854,p_ID,0)),"غير معرّف")</f>
        <v>أثاث</v>
      </c>
      <c r="I854" s="81" t="s">
        <v>455</v>
      </c>
      <c r="J854" s="81" t="s">
        <v>95</v>
      </c>
      <c r="K854" s="81" t="n">
        <v>11</v>
      </c>
      <c r="L854" s="84" t="n">
        <f aca="false">IFERROR(INDEX(p_Price,MATCH($F854,p_ID,0)),0)</f>
        <v>850</v>
      </c>
      <c r="M854" s="85" t="n">
        <v>0.1</v>
      </c>
      <c r="N854" s="81" t="s">
        <v>644</v>
      </c>
      <c r="O854" s="84" t="n">
        <f aca="false">IF($N854="مرتجع",0,K854*L854*(1-M854))</f>
        <v>8415</v>
      </c>
      <c r="P854" s="84" t="n">
        <f aca="false">IF($N854="مرتجع",0,K854*IFERROR(INDEX(p_Cost,MATCH($F854,p_ID,0)),0))</f>
        <v>5280</v>
      </c>
      <c r="Q854" s="84" t="n">
        <f aca="false">O854-P854</f>
        <v>3135</v>
      </c>
      <c r="R854" s="86" t="n">
        <f aca="false">DATE(YEAR(B854),MONTH(B854),1)</f>
        <v>46113</v>
      </c>
      <c r="S854" s="83" t="str">
        <f aca="false">YEAR(B854)&amp;"-Q"&amp;ROUNDUP(MONTH(B854)/3,0)</f>
        <v>2026-Q2</v>
      </c>
      <c r="T854" s="87" t="n">
        <f aca="false">IF(O854&gt;0,Q854/O854,"")</f>
        <v>0.372549019607843</v>
      </c>
      <c r="U854" s="84" t="n">
        <f aca="false">IF(O854&gt;0,O854,"")</f>
        <v>8415</v>
      </c>
    </row>
    <row r="855" customFormat="false" ht="15" hidden="false" customHeight="false" outlineLevel="0" collapsed="false">
      <c r="A855" s="81" t="s">
        <v>1498</v>
      </c>
      <c r="B855" s="82" t="n">
        <v>46127</v>
      </c>
      <c r="C855" s="81" t="s">
        <v>430</v>
      </c>
      <c r="D855" s="83" t="str">
        <f aca="false">IFERROR(INDEX(c_Name,MATCH($C855,c_ID,0)),"غير معرّف")</f>
        <v>ليلى الحربي</v>
      </c>
      <c r="E855" s="83" t="str">
        <f aca="false">IFERROR(INDEX(c_Region,MATCH($C855,c_ID,0)),"غير معرّف")</f>
        <v>الجنوبية</v>
      </c>
      <c r="F855" s="81" t="s">
        <v>178</v>
      </c>
      <c r="G855" s="83" t="str">
        <f aca="false">IFERROR(INDEX(p_Name,MATCH($F855,p_ID,0)),"غير معرّف")</f>
        <v>حقيبة لابتوب</v>
      </c>
      <c r="H855" s="83" t="str">
        <f aca="false">IFERROR(INDEX(p_Cat,MATCH($F855,p_ID,0)),"غير معرّف")</f>
        <v>مستلزمات مكتبية</v>
      </c>
      <c r="I855" s="81" t="s">
        <v>465</v>
      </c>
      <c r="J855" s="81" t="s">
        <v>95</v>
      </c>
      <c r="K855" s="81" t="n">
        <v>8</v>
      </c>
      <c r="L855" s="84" t="n">
        <f aca="false">IFERROR(INDEX(p_Price,MATCH($F855,p_ID,0)),0)</f>
        <v>260</v>
      </c>
      <c r="M855" s="85" t="n">
        <v>0.05</v>
      </c>
      <c r="N855" s="81" t="s">
        <v>644</v>
      </c>
      <c r="O855" s="84" t="n">
        <f aca="false">IF($N855="مرتجع",0,K855*L855*(1-M855))</f>
        <v>1976</v>
      </c>
      <c r="P855" s="84" t="n">
        <f aca="false">IF($N855="مرتجع",0,K855*IFERROR(INDEX(p_Cost,MATCH($F855,p_ID,0)),0))</f>
        <v>960</v>
      </c>
      <c r="Q855" s="84" t="n">
        <f aca="false">O855-P855</f>
        <v>1016</v>
      </c>
      <c r="R855" s="86" t="n">
        <f aca="false">DATE(YEAR(B855),MONTH(B855),1)</f>
        <v>46113</v>
      </c>
      <c r="S855" s="83" t="str">
        <f aca="false">YEAR(B855)&amp;"-Q"&amp;ROUNDUP(MONTH(B855)/3,0)</f>
        <v>2026-Q2</v>
      </c>
      <c r="T855" s="87" t="n">
        <f aca="false">IF(O855&gt;0,Q855/O855,"")</f>
        <v>0.51417004048583</v>
      </c>
      <c r="U855" s="84" t="n">
        <f aca="false">IF(O855&gt;0,O855,"")</f>
        <v>1976</v>
      </c>
    </row>
    <row r="856" customFormat="false" ht="15" hidden="false" customHeight="false" outlineLevel="0" collapsed="false">
      <c r="A856" s="81" t="s">
        <v>1499</v>
      </c>
      <c r="B856" s="82" t="n">
        <v>46127</v>
      </c>
      <c r="C856" s="81" t="s">
        <v>273</v>
      </c>
      <c r="D856" s="83" t="str">
        <f aca="false">IFERROR(INDEX(c_Name,MATCH($C856,c_ID,0)),"غير معرّف")</f>
        <v>سلمان التميمي</v>
      </c>
      <c r="E856" s="83" t="str">
        <f aca="false">IFERROR(INDEX(c_Region,MATCH($C856,c_ID,0)),"غير معرّف")</f>
        <v>الشرقية</v>
      </c>
      <c r="F856" s="81" t="s">
        <v>174</v>
      </c>
      <c r="G856" s="83" t="str">
        <f aca="false">IFERROR(INDEX(p_Name,MATCH($F856,p_ID,0)),"غير معرّف")</f>
        <v>خزانة ملفات</v>
      </c>
      <c r="H856" s="83" t="str">
        <f aca="false">IFERROR(INDEX(p_Cat,MATCH($F856,p_ID,0)),"غير معرّف")</f>
        <v>أثاث</v>
      </c>
      <c r="I856" s="81" t="s">
        <v>461</v>
      </c>
      <c r="J856" s="81" t="s">
        <v>93</v>
      </c>
      <c r="K856" s="81" t="n">
        <v>2</v>
      </c>
      <c r="L856" s="84" t="n">
        <f aca="false">IFERROR(INDEX(p_Price,MATCH($F856,p_ID,0)),0)</f>
        <v>700</v>
      </c>
      <c r="M856" s="85" t="n">
        <v>0.1</v>
      </c>
      <c r="N856" s="81" t="s">
        <v>644</v>
      </c>
      <c r="O856" s="84" t="n">
        <f aca="false">IF($N856="مرتجع",0,K856*L856*(1-M856))</f>
        <v>1260</v>
      </c>
      <c r="P856" s="84" t="n">
        <f aca="false">IF($N856="مرتجع",0,K856*IFERROR(INDEX(p_Cost,MATCH($F856,p_ID,0)),0))</f>
        <v>820</v>
      </c>
      <c r="Q856" s="84" t="n">
        <f aca="false">O856-P856</f>
        <v>440</v>
      </c>
      <c r="R856" s="86" t="n">
        <f aca="false">DATE(YEAR(B856),MONTH(B856),1)</f>
        <v>46113</v>
      </c>
      <c r="S856" s="83" t="str">
        <f aca="false">YEAR(B856)&amp;"-Q"&amp;ROUNDUP(MONTH(B856)/3,0)</f>
        <v>2026-Q2</v>
      </c>
      <c r="T856" s="87" t="n">
        <f aca="false">IF(O856&gt;0,Q856/O856,"")</f>
        <v>0.349206349206349</v>
      </c>
      <c r="U856" s="84" t="n">
        <f aca="false">IF(O856&gt;0,O856,"")</f>
        <v>1260</v>
      </c>
    </row>
    <row r="857" customFormat="false" ht="15" hidden="false" customHeight="false" outlineLevel="0" collapsed="false">
      <c r="A857" s="81" t="s">
        <v>1500</v>
      </c>
      <c r="B857" s="82" t="n">
        <v>46127</v>
      </c>
      <c r="C857" s="81" t="s">
        <v>310</v>
      </c>
      <c r="D857" s="83" t="str">
        <f aca="false">IFERROR(INDEX(c_Name,MATCH($C857,c_ID,0)),"غير معرّف")</f>
        <v>طارق السبيعي</v>
      </c>
      <c r="E857" s="83" t="str">
        <f aca="false">IFERROR(INDEX(c_Region,MATCH($C857,c_ID,0)),"غير معرّف")</f>
        <v>الوسطى</v>
      </c>
      <c r="F857" s="81" t="s">
        <v>167</v>
      </c>
      <c r="G857" s="83" t="str">
        <f aca="false">IFERROR(INDEX(p_Name,MATCH($F857,p_ID,0)),"غير معرّف")</f>
        <v>شاشة 27 بوصة</v>
      </c>
      <c r="H857" s="83" t="str">
        <f aca="false">IFERROR(INDEX(p_Cat,MATCH($F857,p_ID,0)),"غير معرّف")</f>
        <v>إلكترونيات</v>
      </c>
      <c r="I857" s="81" t="s">
        <v>446</v>
      </c>
      <c r="J857" s="81" t="s">
        <v>91</v>
      </c>
      <c r="K857" s="81" t="n">
        <v>2</v>
      </c>
      <c r="L857" s="84" t="n">
        <f aca="false">IFERROR(INDEX(p_Price,MATCH($F857,p_ID,0)),0)</f>
        <v>1100</v>
      </c>
      <c r="M857" s="85" t="n">
        <v>0.1</v>
      </c>
      <c r="N857" s="81" t="s">
        <v>644</v>
      </c>
      <c r="O857" s="84" t="n">
        <f aca="false">IF($N857="مرتجع",0,K857*L857*(1-M857))</f>
        <v>1980</v>
      </c>
      <c r="P857" s="84" t="n">
        <f aca="false">IF($N857="مرتجع",0,K857*IFERROR(INDEX(p_Cost,MATCH($F857,p_ID,0)),0))</f>
        <v>1560</v>
      </c>
      <c r="Q857" s="84" t="n">
        <f aca="false">O857-P857</f>
        <v>420</v>
      </c>
      <c r="R857" s="86" t="n">
        <f aca="false">DATE(YEAR(B857),MONTH(B857),1)</f>
        <v>46113</v>
      </c>
      <c r="S857" s="83" t="str">
        <f aca="false">YEAR(B857)&amp;"-Q"&amp;ROUNDUP(MONTH(B857)/3,0)</f>
        <v>2026-Q2</v>
      </c>
      <c r="T857" s="87" t="n">
        <f aca="false">IF(O857&gt;0,Q857/O857,"")</f>
        <v>0.212121212121212</v>
      </c>
      <c r="U857" s="84" t="n">
        <f aca="false">IF(O857&gt;0,O857,"")</f>
        <v>1980</v>
      </c>
    </row>
    <row r="858" customFormat="false" ht="15" hidden="false" customHeight="false" outlineLevel="0" collapsed="false">
      <c r="A858" s="81" t="s">
        <v>1501</v>
      </c>
      <c r="B858" s="82" t="n">
        <v>46128</v>
      </c>
      <c r="C858" s="81" t="s">
        <v>270</v>
      </c>
      <c r="D858" s="83" t="str">
        <f aca="false">IFERROR(INDEX(c_Name,MATCH($C858,c_ID,0)),"غير معرّف")</f>
        <v>ريم التميمي</v>
      </c>
      <c r="E858" s="83" t="str">
        <f aca="false">IFERROR(INDEX(c_Region,MATCH($C858,c_ID,0)),"غير معرّف")</f>
        <v>الشرقية</v>
      </c>
      <c r="F858" s="81" t="s">
        <v>168</v>
      </c>
      <c r="G858" s="83" t="str">
        <f aca="false">IFERROR(INDEX(p_Name,MATCH($F858,p_ID,0)),"غير معرّف")</f>
        <v>مكنسة كهربائية</v>
      </c>
      <c r="H858" s="83" t="str">
        <f aca="false">IFERROR(INDEX(p_Cat,MATCH($F858,p_ID,0)),"غير معرّف")</f>
        <v>أجهزة منزلية</v>
      </c>
      <c r="I858" s="81" t="s">
        <v>461</v>
      </c>
      <c r="J858" s="81" t="s">
        <v>91</v>
      </c>
      <c r="K858" s="81" t="n">
        <v>1</v>
      </c>
      <c r="L858" s="84" t="n">
        <f aca="false">IFERROR(INDEX(p_Price,MATCH($F858,p_ID,0)),0)</f>
        <v>650</v>
      </c>
      <c r="M858" s="85" t="n">
        <v>0.05</v>
      </c>
      <c r="N858" s="81" t="s">
        <v>644</v>
      </c>
      <c r="O858" s="84" t="n">
        <f aca="false">IF($N858="مرتجع",0,K858*L858*(1-M858))</f>
        <v>617.5</v>
      </c>
      <c r="P858" s="84" t="n">
        <f aca="false">IF($N858="مرتجع",0,K858*IFERROR(INDEX(p_Cost,MATCH($F858,p_ID,0)),0))</f>
        <v>420</v>
      </c>
      <c r="Q858" s="84" t="n">
        <f aca="false">O858-P858</f>
        <v>197.5</v>
      </c>
      <c r="R858" s="86" t="n">
        <f aca="false">DATE(YEAR(B858),MONTH(B858),1)</f>
        <v>46113</v>
      </c>
      <c r="S858" s="83" t="str">
        <f aca="false">YEAR(B858)&amp;"-Q"&amp;ROUNDUP(MONTH(B858)/3,0)</f>
        <v>2026-Q2</v>
      </c>
      <c r="T858" s="87" t="n">
        <f aca="false">IF(O858&gt;0,Q858/O858,"")</f>
        <v>0.319838056680162</v>
      </c>
      <c r="U858" s="84" t="n">
        <f aca="false">IF(O858&gt;0,O858,"")</f>
        <v>617.5</v>
      </c>
    </row>
    <row r="859" customFormat="false" ht="15" hidden="false" customHeight="false" outlineLevel="0" collapsed="false">
      <c r="A859" s="81" t="s">
        <v>1502</v>
      </c>
      <c r="B859" s="82" t="n">
        <v>46128</v>
      </c>
      <c r="C859" s="81" t="s">
        <v>378</v>
      </c>
      <c r="D859" s="83" t="str">
        <f aca="false">IFERROR(INDEX(c_Name,MATCH($C859,c_ID,0)),"غير معرّف")</f>
        <v>هند الغامدي</v>
      </c>
      <c r="E859" s="83" t="str">
        <f aca="false">IFERROR(INDEX(c_Region,MATCH($C859,c_ID,0)),"غير معرّف")</f>
        <v>الوسطى</v>
      </c>
      <c r="F859" s="81" t="s">
        <v>176</v>
      </c>
      <c r="G859" s="83" t="str">
        <f aca="false">IFERROR(INDEX(p_Name,MATCH($F859,p_ID,0)),"غير معرّف")</f>
        <v>طابعة ليزر</v>
      </c>
      <c r="H859" s="83" t="str">
        <f aca="false">IFERROR(INDEX(p_Cat,MATCH($F859,p_ID,0)),"غير معرّف")</f>
        <v>مستلزمات مكتبية</v>
      </c>
      <c r="I859" s="81" t="s">
        <v>446</v>
      </c>
      <c r="J859" s="81" t="s">
        <v>91</v>
      </c>
      <c r="K859" s="81" t="n">
        <v>2</v>
      </c>
      <c r="L859" s="84" t="n">
        <f aca="false">IFERROR(INDEX(p_Price,MATCH($F859,p_ID,0)),0)</f>
        <v>1300</v>
      </c>
      <c r="M859" s="85" t="n">
        <v>0.05</v>
      </c>
      <c r="N859" s="81" t="s">
        <v>644</v>
      </c>
      <c r="O859" s="84" t="n">
        <f aca="false">IF($N859="مرتجع",0,K859*L859*(1-M859))</f>
        <v>2470</v>
      </c>
      <c r="P859" s="84" t="n">
        <f aca="false">IF($N859="مرتجع",0,K859*IFERROR(INDEX(p_Cost,MATCH($F859,p_ID,0)),0))</f>
        <v>1900</v>
      </c>
      <c r="Q859" s="84" t="n">
        <f aca="false">O859-P859</f>
        <v>570</v>
      </c>
      <c r="R859" s="86" t="n">
        <f aca="false">DATE(YEAR(B859),MONTH(B859),1)</f>
        <v>46113</v>
      </c>
      <c r="S859" s="83" t="str">
        <f aca="false">YEAR(B859)&amp;"-Q"&amp;ROUNDUP(MONTH(B859)/3,0)</f>
        <v>2026-Q2</v>
      </c>
      <c r="T859" s="87" t="n">
        <f aca="false">IF(O859&gt;0,Q859/O859,"")</f>
        <v>0.230769230769231</v>
      </c>
      <c r="U859" s="84" t="n">
        <f aca="false">IF(O859&gt;0,O859,"")</f>
        <v>2470</v>
      </c>
    </row>
    <row r="860" customFormat="false" ht="15" hidden="false" customHeight="false" outlineLevel="0" collapsed="false">
      <c r="A860" s="81" t="s">
        <v>1503</v>
      </c>
      <c r="B860" s="82" t="n">
        <v>46128</v>
      </c>
      <c r="C860" s="81" t="s">
        <v>346</v>
      </c>
      <c r="D860" s="83" t="str">
        <f aca="false">IFERROR(INDEX(c_Name,MATCH($C860,c_ID,0)),"غير معرّف")</f>
        <v>لمى التميمي</v>
      </c>
      <c r="E860" s="83" t="str">
        <f aca="false">IFERROR(INDEX(c_Region,MATCH($C860,c_ID,0)),"غير معرّف")</f>
        <v>الشرقية</v>
      </c>
      <c r="F860" s="81" t="s">
        <v>174</v>
      </c>
      <c r="G860" s="83" t="str">
        <f aca="false">IFERROR(INDEX(p_Name,MATCH($F860,p_ID,0)),"غير معرّف")</f>
        <v>خزانة ملفات</v>
      </c>
      <c r="H860" s="83" t="str">
        <f aca="false">IFERROR(INDEX(p_Cat,MATCH($F860,p_ID,0)),"غير معرّف")</f>
        <v>أثاث</v>
      </c>
      <c r="I860" s="81" t="s">
        <v>461</v>
      </c>
      <c r="J860" s="81" t="s">
        <v>91</v>
      </c>
      <c r="K860" s="81" t="n">
        <v>1</v>
      </c>
      <c r="L860" s="84" t="n">
        <f aca="false">IFERROR(INDEX(p_Price,MATCH($F860,p_ID,0)),0)</f>
        <v>700</v>
      </c>
      <c r="M860" s="85" t="n">
        <v>0.05</v>
      </c>
      <c r="N860" s="81" t="s">
        <v>644</v>
      </c>
      <c r="O860" s="84" t="n">
        <f aca="false">IF($N860="مرتجع",0,K860*L860*(1-M860))</f>
        <v>665</v>
      </c>
      <c r="P860" s="84" t="n">
        <f aca="false">IF($N860="مرتجع",0,K860*IFERROR(INDEX(p_Cost,MATCH($F860,p_ID,0)),0))</f>
        <v>410</v>
      </c>
      <c r="Q860" s="84" t="n">
        <f aca="false">O860-P860</f>
        <v>255</v>
      </c>
      <c r="R860" s="86" t="n">
        <f aca="false">DATE(YEAR(B860),MONTH(B860),1)</f>
        <v>46113</v>
      </c>
      <c r="S860" s="83" t="str">
        <f aca="false">YEAR(B860)&amp;"-Q"&amp;ROUNDUP(MONTH(B860)/3,0)</f>
        <v>2026-Q2</v>
      </c>
      <c r="T860" s="87" t="n">
        <f aca="false">IF(O860&gt;0,Q860/O860,"")</f>
        <v>0.383458646616541</v>
      </c>
      <c r="U860" s="84" t="n">
        <f aca="false">IF(O860&gt;0,O860,"")</f>
        <v>665</v>
      </c>
    </row>
    <row r="861" customFormat="false" ht="15" hidden="false" customHeight="false" outlineLevel="0" collapsed="false">
      <c r="A861" s="81" t="s">
        <v>1504</v>
      </c>
      <c r="B861" s="82" t="n">
        <v>46129</v>
      </c>
      <c r="C861" s="81" t="s">
        <v>326</v>
      </c>
      <c r="D861" s="83" t="str">
        <f aca="false">IFERROR(INDEX(c_Name,MATCH($C861,c_ID,0)),"غير معرّف")</f>
        <v>دانة القحطاني</v>
      </c>
      <c r="E861" s="83" t="str">
        <f aca="false">IFERROR(INDEX(c_Region,MATCH($C861,c_ID,0)),"غير معرّف")</f>
        <v>الوسطى</v>
      </c>
      <c r="F861" s="81" t="s">
        <v>167</v>
      </c>
      <c r="G861" s="83" t="str">
        <f aca="false">IFERROR(INDEX(p_Name,MATCH($F861,p_ID,0)),"غير معرّف")</f>
        <v>شاشة 27 بوصة</v>
      </c>
      <c r="H861" s="83" t="str">
        <f aca="false">IFERROR(INDEX(p_Cat,MATCH($F861,p_ID,0)),"غير معرّف")</f>
        <v>إلكترونيات</v>
      </c>
      <c r="I861" s="81" t="s">
        <v>449</v>
      </c>
      <c r="J861" s="81" t="s">
        <v>91</v>
      </c>
      <c r="K861" s="81" t="n">
        <v>1</v>
      </c>
      <c r="L861" s="84" t="n">
        <f aca="false">IFERROR(INDEX(p_Price,MATCH($F861,p_ID,0)),0)</f>
        <v>1100</v>
      </c>
      <c r="M861" s="85" t="n">
        <v>0</v>
      </c>
      <c r="N861" s="81" t="s">
        <v>644</v>
      </c>
      <c r="O861" s="84" t="n">
        <f aca="false">IF($N861="مرتجع",0,K861*L861*(1-M861))</f>
        <v>1100</v>
      </c>
      <c r="P861" s="84" t="n">
        <f aca="false">IF($N861="مرتجع",0,K861*IFERROR(INDEX(p_Cost,MATCH($F861,p_ID,0)),0))</f>
        <v>780</v>
      </c>
      <c r="Q861" s="84" t="n">
        <f aca="false">O861-P861</f>
        <v>320</v>
      </c>
      <c r="R861" s="86" t="n">
        <f aca="false">DATE(YEAR(B861),MONTH(B861),1)</f>
        <v>46113</v>
      </c>
      <c r="S861" s="83" t="str">
        <f aca="false">YEAR(B861)&amp;"-Q"&amp;ROUNDUP(MONTH(B861)/3,0)</f>
        <v>2026-Q2</v>
      </c>
      <c r="T861" s="87" t="n">
        <f aca="false">IF(O861&gt;0,Q861/O861,"")</f>
        <v>0.290909090909091</v>
      </c>
      <c r="U861" s="84" t="n">
        <f aca="false">IF(O861&gt;0,O861,"")</f>
        <v>1100</v>
      </c>
    </row>
    <row r="862" customFormat="false" ht="15" hidden="false" customHeight="false" outlineLevel="0" collapsed="false">
      <c r="A862" s="81" t="s">
        <v>1505</v>
      </c>
      <c r="B862" s="82" t="n">
        <v>46129</v>
      </c>
      <c r="C862" s="81" t="s">
        <v>293</v>
      </c>
      <c r="D862" s="83" t="str">
        <f aca="false">IFERROR(INDEX(c_Name,MATCH($C862,c_ID,0)),"غير معرّف")</f>
        <v>سارة الغامدي</v>
      </c>
      <c r="E862" s="83" t="str">
        <f aca="false">IFERROR(INDEX(c_Region,MATCH($C862,c_ID,0)),"غير معرّف")</f>
        <v>الوسطى</v>
      </c>
      <c r="F862" s="81" t="s">
        <v>175</v>
      </c>
      <c r="G862" s="83" t="str">
        <f aca="false">IFERROR(INDEX(p_Name,MATCH($F862,p_ID,0)),"غير معرّف")</f>
        <v>رف كتب</v>
      </c>
      <c r="H862" s="83" t="str">
        <f aca="false">IFERROR(INDEX(p_Cat,MATCH($F862,p_ID,0)),"غير معرّف")</f>
        <v>أثاث</v>
      </c>
      <c r="I862" s="81" t="s">
        <v>446</v>
      </c>
      <c r="J862" s="81" t="s">
        <v>93</v>
      </c>
      <c r="K862" s="81" t="n">
        <v>1</v>
      </c>
      <c r="L862" s="84" t="n">
        <f aca="false">IFERROR(INDEX(p_Price,MATCH($F862,p_ID,0)),0)</f>
        <v>400</v>
      </c>
      <c r="M862" s="85" t="n">
        <v>0.15</v>
      </c>
      <c r="N862" s="81" t="s">
        <v>644</v>
      </c>
      <c r="O862" s="84" t="n">
        <f aca="false">IF($N862="مرتجع",0,K862*L862*(1-M862))</f>
        <v>340</v>
      </c>
      <c r="P862" s="84" t="n">
        <f aca="false">IF($N862="مرتجع",0,K862*IFERROR(INDEX(p_Cost,MATCH($F862,p_ID,0)),0))</f>
        <v>220</v>
      </c>
      <c r="Q862" s="84" t="n">
        <f aca="false">O862-P862</f>
        <v>120</v>
      </c>
      <c r="R862" s="86" t="n">
        <f aca="false">DATE(YEAR(B862),MONTH(B862),1)</f>
        <v>46113</v>
      </c>
      <c r="S862" s="83" t="str">
        <f aca="false">YEAR(B862)&amp;"-Q"&amp;ROUNDUP(MONTH(B862)/3,0)</f>
        <v>2026-Q2</v>
      </c>
      <c r="T862" s="87" t="n">
        <f aca="false">IF(O862&gt;0,Q862/O862,"")</f>
        <v>0.352941176470588</v>
      </c>
      <c r="U862" s="84" t="n">
        <f aca="false">IF(O862&gt;0,O862,"")</f>
        <v>340</v>
      </c>
    </row>
    <row r="863" customFormat="false" ht="15" hidden="false" customHeight="false" outlineLevel="0" collapsed="false">
      <c r="A863" s="81" t="s">
        <v>1506</v>
      </c>
      <c r="B863" s="82" t="n">
        <v>46130</v>
      </c>
      <c r="C863" s="81" t="s">
        <v>419</v>
      </c>
      <c r="D863" s="83" t="str">
        <f aca="false">IFERROR(INDEX(c_Name,MATCH($C863,c_ID,0)),"غير معرّف")</f>
        <v>خالد العتيبي</v>
      </c>
      <c r="E863" s="83" t="str">
        <f aca="false">IFERROR(INDEX(c_Region,MATCH($C863,c_ID,0)),"غير معرّف")</f>
        <v>الجنوبية</v>
      </c>
      <c r="F863" s="81" t="s">
        <v>171</v>
      </c>
      <c r="G863" s="83" t="str">
        <f aca="false">IFERROR(INDEX(p_Name,MATCH($F863,p_ID,0)),"غير معرّف")</f>
        <v>قلاية هوائية</v>
      </c>
      <c r="H863" s="83" t="str">
        <f aca="false">IFERROR(INDEX(p_Cat,MATCH($F863,p_ID,0)),"غير معرّف")</f>
        <v>أجهزة منزلية</v>
      </c>
      <c r="I863" s="81" t="s">
        <v>465</v>
      </c>
      <c r="J863" s="81" t="s">
        <v>93</v>
      </c>
      <c r="K863" s="81" t="n">
        <v>2</v>
      </c>
      <c r="L863" s="84" t="n">
        <f aca="false">IFERROR(INDEX(p_Price,MATCH($F863,p_ID,0)),0)</f>
        <v>520</v>
      </c>
      <c r="M863" s="85" t="n">
        <v>0</v>
      </c>
      <c r="N863" s="81" t="s">
        <v>644</v>
      </c>
      <c r="O863" s="84" t="n">
        <f aca="false">IF($N863="مرتجع",0,K863*L863*(1-M863))</f>
        <v>1040</v>
      </c>
      <c r="P863" s="84" t="n">
        <f aca="false">IF($N863="مرتجع",0,K863*IFERROR(INDEX(p_Cost,MATCH($F863,p_ID,0)),0))</f>
        <v>600</v>
      </c>
      <c r="Q863" s="84" t="n">
        <f aca="false">O863-P863</f>
        <v>440</v>
      </c>
      <c r="R863" s="86" t="n">
        <f aca="false">DATE(YEAR(B863),MONTH(B863),1)</f>
        <v>46113</v>
      </c>
      <c r="S863" s="83" t="str">
        <f aca="false">YEAR(B863)&amp;"-Q"&amp;ROUNDUP(MONTH(B863)/3,0)</f>
        <v>2026-Q2</v>
      </c>
      <c r="T863" s="87" t="n">
        <f aca="false">IF(O863&gt;0,Q863/O863,"")</f>
        <v>0.423076923076923</v>
      </c>
      <c r="U863" s="84" t="n">
        <f aca="false">IF(O863&gt;0,O863,"")</f>
        <v>1040</v>
      </c>
    </row>
    <row r="864" customFormat="false" ht="15" hidden="false" customHeight="false" outlineLevel="0" collapsed="false">
      <c r="A864" s="81" t="s">
        <v>1507</v>
      </c>
      <c r="B864" s="82" t="n">
        <v>46130</v>
      </c>
      <c r="C864" s="81" t="s">
        <v>408</v>
      </c>
      <c r="D864" s="83" t="str">
        <f aca="false">IFERROR(INDEX(c_Name,MATCH($C864,c_ID,0)),"غير معرّف")</f>
        <v>فهد الغامدي</v>
      </c>
      <c r="E864" s="83" t="str">
        <f aca="false">IFERROR(INDEX(c_Region,MATCH($C864,c_ID,0)),"غير معرّف")</f>
        <v>الغربية</v>
      </c>
      <c r="F864" s="81" t="s">
        <v>185</v>
      </c>
      <c r="G864" s="83" t="str">
        <f aca="false">IFERROR(INDEX(p_Name,MATCH($F864,p_ID,0)),"غير معرّف")</f>
        <v>ماكينة حلاقة</v>
      </c>
      <c r="H864" s="83" t="str">
        <f aca="false">IFERROR(INDEX(p_Cat,MATCH($F864,p_ID,0)),"غير معرّف")</f>
        <v>عناية شخصية</v>
      </c>
      <c r="I864" s="81" t="s">
        <v>458</v>
      </c>
      <c r="J864" s="81" t="s">
        <v>93</v>
      </c>
      <c r="K864" s="81" t="n">
        <v>3</v>
      </c>
      <c r="L864" s="84" t="n">
        <f aca="false">IFERROR(INDEX(p_Price,MATCH($F864,p_ID,0)),0)</f>
        <v>340</v>
      </c>
      <c r="M864" s="85" t="n">
        <v>0</v>
      </c>
      <c r="N864" s="81" t="s">
        <v>644</v>
      </c>
      <c r="O864" s="84" t="n">
        <f aca="false">IF($N864="مرتجع",0,K864*L864*(1-M864))</f>
        <v>1020</v>
      </c>
      <c r="P864" s="84" t="n">
        <f aca="false">IF($N864="مرتجع",0,K864*IFERROR(INDEX(p_Cost,MATCH($F864,p_ID,0)),0))</f>
        <v>510</v>
      </c>
      <c r="Q864" s="84" t="n">
        <f aca="false">O864-P864</f>
        <v>510</v>
      </c>
      <c r="R864" s="86" t="n">
        <f aca="false">DATE(YEAR(B864),MONTH(B864),1)</f>
        <v>46113</v>
      </c>
      <c r="S864" s="83" t="str">
        <f aca="false">YEAR(B864)&amp;"-Q"&amp;ROUNDUP(MONTH(B864)/3,0)</f>
        <v>2026-Q2</v>
      </c>
      <c r="T864" s="87" t="n">
        <f aca="false">IF(O864&gt;0,Q864/O864,"")</f>
        <v>0.5</v>
      </c>
      <c r="U864" s="84" t="n">
        <f aca="false">IF(O864&gt;0,O864,"")</f>
        <v>1020</v>
      </c>
    </row>
    <row r="865" customFormat="false" ht="15" hidden="false" customHeight="false" outlineLevel="0" collapsed="false">
      <c r="A865" s="81" t="s">
        <v>1508</v>
      </c>
      <c r="B865" s="82" t="n">
        <v>46130</v>
      </c>
      <c r="C865" s="81" t="s">
        <v>266</v>
      </c>
      <c r="D865" s="83" t="str">
        <f aca="false">IFERROR(INDEX(c_Name,MATCH($C865,c_ID,0)),"غير معرّف")</f>
        <v>ياسر الشهري</v>
      </c>
      <c r="E865" s="83" t="str">
        <f aca="false">IFERROR(INDEX(c_Region,MATCH($C865,c_ID,0)),"غير معرّف")</f>
        <v>الوسطى</v>
      </c>
      <c r="F865" s="81" t="s">
        <v>173</v>
      </c>
      <c r="G865" s="83" t="str">
        <f aca="false">IFERROR(INDEX(p_Name,MATCH($F865,p_ID,0)),"غير معرّف")</f>
        <v>كرسي مريح</v>
      </c>
      <c r="H865" s="83" t="str">
        <f aca="false">IFERROR(INDEX(p_Cat,MATCH($F865,p_ID,0)),"غير معرّف")</f>
        <v>أثاث</v>
      </c>
      <c r="I865" s="81" t="s">
        <v>443</v>
      </c>
      <c r="J865" s="81" t="s">
        <v>93</v>
      </c>
      <c r="K865" s="81" t="n">
        <v>2</v>
      </c>
      <c r="L865" s="84" t="n">
        <f aca="false">IFERROR(INDEX(p_Price,MATCH($F865,p_ID,0)),0)</f>
        <v>850</v>
      </c>
      <c r="M865" s="85" t="n">
        <v>0.1</v>
      </c>
      <c r="N865" s="81" t="s">
        <v>644</v>
      </c>
      <c r="O865" s="84" t="n">
        <f aca="false">IF($N865="مرتجع",0,K865*L865*(1-M865))</f>
        <v>1530</v>
      </c>
      <c r="P865" s="84" t="n">
        <f aca="false">IF($N865="مرتجع",0,K865*IFERROR(INDEX(p_Cost,MATCH($F865,p_ID,0)),0))</f>
        <v>960</v>
      </c>
      <c r="Q865" s="84" t="n">
        <f aca="false">O865-P865</f>
        <v>570</v>
      </c>
      <c r="R865" s="86" t="n">
        <f aca="false">DATE(YEAR(B865),MONTH(B865),1)</f>
        <v>46113</v>
      </c>
      <c r="S865" s="83" t="str">
        <f aca="false">YEAR(B865)&amp;"-Q"&amp;ROUNDUP(MONTH(B865)/3,0)</f>
        <v>2026-Q2</v>
      </c>
      <c r="T865" s="87" t="n">
        <f aca="false">IF(O865&gt;0,Q865/O865,"")</f>
        <v>0.372549019607843</v>
      </c>
      <c r="U865" s="84" t="n">
        <f aca="false">IF(O865&gt;0,O865,"")</f>
        <v>1530</v>
      </c>
    </row>
    <row r="866" customFormat="false" ht="15" hidden="false" customHeight="false" outlineLevel="0" collapsed="false">
      <c r="A866" s="81" t="s">
        <v>1509</v>
      </c>
      <c r="B866" s="82" t="n">
        <v>46130</v>
      </c>
      <c r="C866" s="81" t="s">
        <v>367</v>
      </c>
      <c r="D866" s="83" t="str">
        <f aca="false">IFERROR(INDEX(c_Name,MATCH($C866,c_ID,0)),"غير معرّف")</f>
        <v>سارة الحربي</v>
      </c>
      <c r="E866" s="83" t="str">
        <f aca="false">IFERROR(INDEX(c_Region,MATCH($C866,c_ID,0)),"غير معرّف")</f>
        <v>الغربية</v>
      </c>
      <c r="F866" s="81" t="s">
        <v>186</v>
      </c>
      <c r="G866" s="83" t="str">
        <f aca="false">IFERROR(INDEX(p_Name,MATCH($F866,p_ID,0)),"غير معرّف")</f>
        <v>مجفف شعر</v>
      </c>
      <c r="H866" s="83" t="str">
        <f aca="false">IFERROR(INDEX(p_Cat,MATCH($F866,p_ID,0)),"غير معرّف")</f>
        <v>عناية شخصية</v>
      </c>
      <c r="I866" s="81" t="s">
        <v>452</v>
      </c>
      <c r="J866" s="81" t="s">
        <v>91</v>
      </c>
      <c r="K866" s="81" t="n">
        <v>8</v>
      </c>
      <c r="L866" s="84" t="n">
        <f aca="false">IFERROR(INDEX(p_Price,MATCH($F866,p_ID,0)),0)</f>
        <v>280</v>
      </c>
      <c r="M866" s="85" t="n">
        <v>0.1</v>
      </c>
      <c r="N866" s="81" t="s">
        <v>644</v>
      </c>
      <c r="O866" s="84" t="n">
        <f aca="false">IF($N866="مرتجع",0,K866*L866*(1-M866))</f>
        <v>2016</v>
      </c>
      <c r="P866" s="84" t="n">
        <f aca="false">IF($N866="مرتجع",0,K866*IFERROR(INDEX(p_Cost,MATCH($F866,p_ID,0)),0))</f>
        <v>1120</v>
      </c>
      <c r="Q866" s="84" t="n">
        <f aca="false">O866-P866</f>
        <v>896</v>
      </c>
      <c r="R866" s="86" t="n">
        <f aca="false">DATE(YEAR(B866),MONTH(B866),1)</f>
        <v>46113</v>
      </c>
      <c r="S866" s="83" t="str">
        <f aca="false">YEAR(B866)&amp;"-Q"&amp;ROUNDUP(MONTH(B866)/3,0)</f>
        <v>2026-Q2</v>
      </c>
      <c r="T866" s="87" t="n">
        <f aca="false">IF(O866&gt;0,Q866/O866,"")</f>
        <v>0.444444444444444</v>
      </c>
      <c r="U866" s="84" t="n">
        <f aca="false">IF(O866&gt;0,O866,"")</f>
        <v>2016</v>
      </c>
    </row>
    <row r="867" customFormat="false" ht="15" hidden="false" customHeight="false" outlineLevel="0" collapsed="false">
      <c r="A867" s="81" t="s">
        <v>1510</v>
      </c>
      <c r="B867" s="82" t="n">
        <v>46130</v>
      </c>
      <c r="C867" s="81" t="s">
        <v>387</v>
      </c>
      <c r="D867" s="83" t="str">
        <f aca="false">IFERROR(INDEX(c_Name,MATCH($C867,c_ID,0)),"غير معرّف")</f>
        <v>لمى الشمري</v>
      </c>
      <c r="E867" s="83" t="str">
        <f aca="false">IFERROR(INDEX(c_Region,MATCH($C867,c_ID,0)),"غير معرّف")</f>
        <v>الوسطى</v>
      </c>
      <c r="F867" s="81" t="s">
        <v>174</v>
      </c>
      <c r="G867" s="83" t="str">
        <f aca="false">IFERROR(INDEX(p_Name,MATCH($F867,p_ID,0)),"غير معرّف")</f>
        <v>خزانة ملفات</v>
      </c>
      <c r="H867" s="83" t="str">
        <f aca="false">IFERROR(INDEX(p_Cat,MATCH($F867,p_ID,0)),"غير معرّف")</f>
        <v>أثاث</v>
      </c>
      <c r="I867" s="81" t="s">
        <v>443</v>
      </c>
      <c r="J867" s="81" t="s">
        <v>93</v>
      </c>
      <c r="K867" s="81" t="n">
        <v>1</v>
      </c>
      <c r="L867" s="84" t="n">
        <f aca="false">IFERROR(INDEX(p_Price,MATCH($F867,p_ID,0)),0)</f>
        <v>700</v>
      </c>
      <c r="M867" s="85" t="n">
        <v>0</v>
      </c>
      <c r="N867" s="81" t="s">
        <v>644</v>
      </c>
      <c r="O867" s="84" t="n">
        <f aca="false">IF($N867="مرتجع",0,K867*L867*(1-M867))</f>
        <v>700</v>
      </c>
      <c r="P867" s="84" t="n">
        <f aca="false">IF($N867="مرتجع",0,K867*IFERROR(INDEX(p_Cost,MATCH($F867,p_ID,0)),0))</f>
        <v>410</v>
      </c>
      <c r="Q867" s="84" t="n">
        <f aca="false">O867-P867</f>
        <v>290</v>
      </c>
      <c r="R867" s="86" t="n">
        <f aca="false">DATE(YEAR(B867),MONTH(B867),1)</f>
        <v>46113</v>
      </c>
      <c r="S867" s="83" t="str">
        <f aca="false">YEAR(B867)&amp;"-Q"&amp;ROUNDUP(MONTH(B867)/3,0)</f>
        <v>2026-Q2</v>
      </c>
      <c r="T867" s="87" t="n">
        <f aca="false">IF(O867&gt;0,Q867/O867,"")</f>
        <v>0.414285714285714</v>
      </c>
      <c r="U867" s="84" t="n">
        <f aca="false">IF(O867&gt;0,O867,"")</f>
        <v>700</v>
      </c>
    </row>
    <row r="868" customFormat="false" ht="15" hidden="false" customHeight="false" outlineLevel="0" collapsed="false">
      <c r="A868" s="81" t="s">
        <v>1511</v>
      </c>
      <c r="B868" s="82" t="n">
        <v>46130</v>
      </c>
      <c r="C868" s="81" t="s">
        <v>295</v>
      </c>
      <c r="D868" s="83" t="str">
        <f aca="false">IFERROR(INDEX(c_Name,MATCH($C868,c_ID,0)),"غير معرّف")</f>
        <v>عبير الزهراني</v>
      </c>
      <c r="E868" s="83" t="str">
        <f aca="false">IFERROR(INDEX(c_Region,MATCH($C868,c_ID,0)),"غير معرّف")</f>
        <v>الوسطى</v>
      </c>
      <c r="F868" s="81" t="s">
        <v>169</v>
      </c>
      <c r="G868" s="83" t="str">
        <f aca="false">IFERROR(INDEX(p_Name,MATCH($F868,p_ID,0)),"غير معرّف")</f>
        <v>خلاط</v>
      </c>
      <c r="H868" s="83" t="str">
        <f aca="false">IFERROR(INDEX(p_Cat,MATCH($F868,p_ID,0)),"غير معرّف")</f>
        <v>أجهزة منزلية</v>
      </c>
      <c r="I868" s="81" t="s">
        <v>449</v>
      </c>
      <c r="J868" s="81" t="s">
        <v>95</v>
      </c>
      <c r="K868" s="81" t="n">
        <v>6</v>
      </c>
      <c r="L868" s="84" t="n">
        <f aca="false">IFERROR(INDEX(p_Price,MATCH($F868,p_ID,0)),0)</f>
        <v>300</v>
      </c>
      <c r="M868" s="85" t="n">
        <v>0.2</v>
      </c>
      <c r="N868" s="81" t="s">
        <v>644</v>
      </c>
      <c r="O868" s="84" t="n">
        <f aca="false">IF($N868="مرتجع",0,K868*L868*(1-M868))</f>
        <v>1440</v>
      </c>
      <c r="P868" s="84" t="n">
        <f aca="false">IF($N868="مرتجع",0,K868*IFERROR(INDEX(p_Cost,MATCH($F868,p_ID,0)),0))</f>
        <v>1050</v>
      </c>
      <c r="Q868" s="84" t="n">
        <f aca="false">O868-P868</f>
        <v>390</v>
      </c>
      <c r="R868" s="86" t="n">
        <f aca="false">DATE(YEAR(B868),MONTH(B868),1)</f>
        <v>46113</v>
      </c>
      <c r="S868" s="83" t="str">
        <f aca="false">YEAR(B868)&amp;"-Q"&amp;ROUNDUP(MONTH(B868)/3,0)</f>
        <v>2026-Q2</v>
      </c>
      <c r="T868" s="87" t="n">
        <f aca="false">IF(O868&gt;0,Q868/O868,"")</f>
        <v>0.270833333333333</v>
      </c>
      <c r="U868" s="84" t="n">
        <f aca="false">IF(O868&gt;0,O868,"")</f>
        <v>1440</v>
      </c>
    </row>
    <row r="869" customFormat="false" ht="15" hidden="false" customHeight="false" outlineLevel="0" collapsed="false">
      <c r="A869" s="81" t="s">
        <v>1512</v>
      </c>
      <c r="B869" s="82" t="n">
        <v>46130</v>
      </c>
      <c r="C869" s="81" t="s">
        <v>402</v>
      </c>
      <c r="D869" s="83" t="str">
        <f aca="false">IFERROR(INDEX(c_Name,MATCH($C869,c_ID,0)),"غير معرّف")</f>
        <v>أحمد القحطاني</v>
      </c>
      <c r="E869" s="83" t="str">
        <f aca="false">IFERROR(INDEX(c_Region,MATCH($C869,c_ID,0)),"غير معرّف")</f>
        <v>الوسطى</v>
      </c>
      <c r="F869" s="81" t="s">
        <v>168</v>
      </c>
      <c r="G869" s="83" t="str">
        <f aca="false">IFERROR(INDEX(p_Name,MATCH($F869,p_ID,0)),"غير معرّف")</f>
        <v>مكنسة كهربائية</v>
      </c>
      <c r="H869" s="83" t="str">
        <f aca="false">IFERROR(INDEX(p_Cat,MATCH($F869,p_ID,0)),"غير معرّف")</f>
        <v>أجهزة منزلية</v>
      </c>
      <c r="I869" s="81" t="s">
        <v>449</v>
      </c>
      <c r="J869" s="81" t="s">
        <v>95</v>
      </c>
      <c r="K869" s="81" t="n">
        <v>11</v>
      </c>
      <c r="L869" s="84" t="n">
        <f aca="false">IFERROR(INDEX(p_Price,MATCH($F869,p_ID,0)),0)</f>
        <v>650</v>
      </c>
      <c r="M869" s="85" t="n">
        <v>0.05</v>
      </c>
      <c r="N869" s="81" t="s">
        <v>644</v>
      </c>
      <c r="O869" s="84" t="n">
        <f aca="false">IF($N869="مرتجع",0,K869*L869*(1-M869))</f>
        <v>6792.5</v>
      </c>
      <c r="P869" s="84" t="n">
        <f aca="false">IF($N869="مرتجع",0,K869*IFERROR(INDEX(p_Cost,MATCH($F869,p_ID,0)),0))</f>
        <v>4620</v>
      </c>
      <c r="Q869" s="84" t="n">
        <f aca="false">O869-P869</f>
        <v>2172.5</v>
      </c>
      <c r="R869" s="86" t="n">
        <f aca="false">DATE(YEAR(B869),MONTH(B869),1)</f>
        <v>46113</v>
      </c>
      <c r="S869" s="83" t="str">
        <f aca="false">YEAR(B869)&amp;"-Q"&amp;ROUNDUP(MONTH(B869)/3,0)</f>
        <v>2026-Q2</v>
      </c>
      <c r="T869" s="87" t="n">
        <f aca="false">IF(O869&gt;0,Q869/O869,"")</f>
        <v>0.319838056680162</v>
      </c>
      <c r="U869" s="84" t="n">
        <f aca="false">IF(O869&gt;0,O869,"")</f>
        <v>6792.5</v>
      </c>
    </row>
    <row r="870" customFormat="false" ht="15" hidden="false" customHeight="false" outlineLevel="0" collapsed="false">
      <c r="A870" s="81" t="s">
        <v>1513</v>
      </c>
      <c r="B870" s="82" t="n">
        <v>46130</v>
      </c>
      <c r="C870" s="81" t="s">
        <v>244</v>
      </c>
      <c r="D870" s="83" t="str">
        <f aca="false">IFERROR(INDEX(c_Name,MATCH($C870,c_ID,0)),"غير معرّف")</f>
        <v>طارق الشهري</v>
      </c>
      <c r="E870" s="83" t="str">
        <f aca="false">IFERROR(INDEX(c_Region,MATCH($C870,c_ID,0)),"غير معرّف")</f>
        <v>الوسطى</v>
      </c>
      <c r="F870" s="81" t="s">
        <v>183</v>
      </c>
      <c r="G870" s="83" t="str">
        <f aca="false">IFERROR(INDEX(p_Name,MATCH($F870,p_ID,0)),"غير معرّف")</f>
        <v>سجادة يوغا</v>
      </c>
      <c r="H870" s="83" t="str">
        <f aca="false">IFERROR(INDEX(p_Cat,MATCH($F870,p_ID,0)),"غير معرّف")</f>
        <v>رياضة</v>
      </c>
      <c r="I870" s="81" t="s">
        <v>446</v>
      </c>
      <c r="J870" s="81" t="s">
        <v>93</v>
      </c>
      <c r="K870" s="81" t="n">
        <v>3</v>
      </c>
      <c r="L870" s="84" t="n">
        <f aca="false">IFERROR(INDEX(p_Price,MATCH($F870,p_ID,0)),0)</f>
        <v>120</v>
      </c>
      <c r="M870" s="85" t="n">
        <v>0.2</v>
      </c>
      <c r="N870" s="81" t="s">
        <v>644</v>
      </c>
      <c r="O870" s="84" t="n">
        <f aca="false">IF($N870="مرتجع",0,K870*L870*(1-M870))</f>
        <v>288</v>
      </c>
      <c r="P870" s="84" t="n">
        <f aca="false">IF($N870="مرتجع",0,K870*IFERROR(INDEX(p_Cost,MATCH($F870,p_ID,0)),0))</f>
        <v>150</v>
      </c>
      <c r="Q870" s="84" t="n">
        <f aca="false">O870-P870</f>
        <v>138</v>
      </c>
      <c r="R870" s="86" t="n">
        <f aca="false">DATE(YEAR(B870),MONTH(B870),1)</f>
        <v>46113</v>
      </c>
      <c r="S870" s="83" t="str">
        <f aca="false">YEAR(B870)&amp;"-Q"&amp;ROUNDUP(MONTH(B870)/3,0)</f>
        <v>2026-Q2</v>
      </c>
      <c r="T870" s="87" t="n">
        <f aca="false">IF(O870&gt;0,Q870/O870,"")</f>
        <v>0.479166666666667</v>
      </c>
      <c r="U870" s="84" t="n">
        <f aca="false">IF(O870&gt;0,O870,"")</f>
        <v>288</v>
      </c>
    </row>
    <row r="871" customFormat="false" ht="15" hidden="false" customHeight="false" outlineLevel="0" collapsed="false">
      <c r="A871" s="81" t="s">
        <v>1514</v>
      </c>
      <c r="B871" s="82" t="n">
        <v>46130</v>
      </c>
      <c r="C871" s="81" t="s">
        <v>264</v>
      </c>
      <c r="D871" s="83" t="str">
        <f aca="false">IFERROR(INDEX(c_Name,MATCH($C871,c_ID,0)),"غير معرّف")</f>
        <v>عبدالله التميمي</v>
      </c>
      <c r="E871" s="83" t="str">
        <f aca="false">IFERROR(INDEX(c_Region,MATCH($C871,c_ID,0)),"غير معرّف")</f>
        <v>الوسطى</v>
      </c>
      <c r="F871" s="81" t="s">
        <v>182</v>
      </c>
      <c r="G871" s="83" t="str">
        <f aca="false">IFERROR(INDEX(p_Name,MATCH($F871,p_ID,0)),"غير معرّف")</f>
        <v>طقم أوزان</v>
      </c>
      <c r="H871" s="83" t="str">
        <f aca="false">IFERROR(INDEX(p_Cat,MATCH($F871,p_ID,0)),"غير معرّف")</f>
        <v>رياضة</v>
      </c>
      <c r="I871" s="81" t="s">
        <v>443</v>
      </c>
      <c r="J871" s="81" t="s">
        <v>91</v>
      </c>
      <c r="K871" s="81" t="n">
        <v>1</v>
      </c>
      <c r="L871" s="84" t="n">
        <f aca="false">IFERROR(INDEX(p_Price,MATCH($F871,p_ID,0)),0)</f>
        <v>380</v>
      </c>
      <c r="M871" s="85" t="n">
        <v>0</v>
      </c>
      <c r="N871" s="81" t="s">
        <v>644</v>
      </c>
      <c r="O871" s="84" t="n">
        <f aca="false">IF($N871="مرتجع",0,K871*L871*(1-M871))</f>
        <v>380</v>
      </c>
      <c r="P871" s="84" t="n">
        <f aca="false">IF($N871="مرتجع",0,K871*IFERROR(INDEX(p_Cost,MATCH($F871,p_ID,0)),0))</f>
        <v>210</v>
      </c>
      <c r="Q871" s="84" t="n">
        <f aca="false">O871-P871</f>
        <v>170</v>
      </c>
      <c r="R871" s="86" t="n">
        <f aca="false">DATE(YEAR(B871),MONTH(B871),1)</f>
        <v>46113</v>
      </c>
      <c r="S871" s="83" t="str">
        <f aca="false">YEAR(B871)&amp;"-Q"&amp;ROUNDUP(MONTH(B871)/3,0)</f>
        <v>2026-Q2</v>
      </c>
      <c r="T871" s="87" t="n">
        <f aca="false">IF(O871&gt;0,Q871/O871,"")</f>
        <v>0.447368421052632</v>
      </c>
      <c r="U871" s="84" t="n">
        <f aca="false">IF(O871&gt;0,O871,"")</f>
        <v>380</v>
      </c>
    </row>
    <row r="872" customFormat="false" ht="15" hidden="false" customHeight="false" outlineLevel="0" collapsed="false">
      <c r="A872" s="81" t="s">
        <v>1515</v>
      </c>
      <c r="B872" s="82" t="n">
        <v>46130</v>
      </c>
      <c r="C872" s="81" t="s">
        <v>334</v>
      </c>
      <c r="D872" s="83" t="str">
        <f aca="false">IFERROR(INDEX(c_Name,MATCH($C872,c_ID,0)),"غير معرّف")</f>
        <v>ناصر الغامدي</v>
      </c>
      <c r="E872" s="83" t="str">
        <f aca="false">IFERROR(INDEX(c_Region,MATCH($C872,c_ID,0)),"غير معرّف")</f>
        <v>الغربية</v>
      </c>
      <c r="F872" s="81" t="s">
        <v>183</v>
      </c>
      <c r="G872" s="83" t="str">
        <f aca="false">IFERROR(INDEX(p_Name,MATCH($F872,p_ID,0)),"غير معرّف")</f>
        <v>سجادة يوغا</v>
      </c>
      <c r="H872" s="83" t="str">
        <f aca="false">IFERROR(INDEX(p_Cat,MATCH($F872,p_ID,0)),"غير معرّف")</f>
        <v>رياضة</v>
      </c>
      <c r="I872" s="81" t="s">
        <v>458</v>
      </c>
      <c r="J872" s="81" t="s">
        <v>91</v>
      </c>
      <c r="K872" s="81" t="n">
        <v>1</v>
      </c>
      <c r="L872" s="84" t="n">
        <f aca="false">IFERROR(INDEX(p_Price,MATCH($F872,p_ID,0)),0)</f>
        <v>120</v>
      </c>
      <c r="M872" s="85" t="n">
        <v>0</v>
      </c>
      <c r="N872" s="81" t="s">
        <v>650</v>
      </c>
      <c r="O872" s="84" t="n">
        <f aca="false">IF($N872="مرتجع",0,K872*L872*(1-M872))</f>
        <v>0</v>
      </c>
      <c r="P872" s="84" t="n">
        <f aca="false">IF($N872="مرتجع",0,K872*IFERROR(INDEX(p_Cost,MATCH($F872,p_ID,0)),0))</f>
        <v>0</v>
      </c>
      <c r="Q872" s="84" t="n">
        <f aca="false">O872-P872</f>
        <v>0</v>
      </c>
      <c r="R872" s="86" t="n">
        <f aca="false">DATE(YEAR(B872),MONTH(B872),1)</f>
        <v>46113</v>
      </c>
      <c r="S872" s="83" t="str">
        <f aca="false">YEAR(B872)&amp;"-Q"&amp;ROUNDUP(MONTH(B872)/3,0)</f>
        <v>2026-Q2</v>
      </c>
      <c r="T872" s="87" t="str">
        <f aca="false">IF(O872&gt;0,Q872/O872,"")</f>
        <v/>
      </c>
      <c r="U872" s="84" t="str">
        <f aca="false">IF(O872&gt;0,O872,"")</f>
        <v/>
      </c>
    </row>
    <row r="873" customFormat="false" ht="15" hidden="false" customHeight="false" outlineLevel="0" collapsed="false">
      <c r="A873" s="81" t="s">
        <v>1516</v>
      </c>
      <c r="B873" s="82" t="n">
        <v>46131</v>
      </c>
      <c r="C873" s="81" t="s">
        <v>280</v>
      </c>
      <c r="D873" s="83" t="str">
        <f aca="false">IFERROR(INDEX(c_Name,MATCH($C873,c_ID,0)),"غير معرّف")</f>
        <v>سلمان المطيري</v>
      </c>
      <c r="E873" s="83" t="str">
        <f aca="false">IFERROR(INDEX(c_Region,MATCH($C873,c_ID,0)),"غير معرّف")</f>
        <v>الشرقية</v>
      </c>
      <c r="F873" s="81" t="s">
        <v>169</v>
      </c>
      <c r="G873" s="83" t="str">
        <f aca="false">IFERROR(INDEX(p_Name,MATCH($F873,p_ID,0)),"غير معرّف")</f>
        <v>خلاط</v>
      </c>
      <c r="H873" s="83" t="str">
        <f aca="false">IFERROR(INDEX(p_Cat,MATCH($F873,p_ID,0)),"غير معرّف")</f>
        <v>أجهزة منزلية</v>
      </c>
      <c r="I873" s="81" t="s">
        <v>461</v>
      </c>
      <c r="J873" s="81" t="s">
        <v>93</v>
      </c>
      <c r="K873" s="81" t="n">
        <v>1</v>
      </c>
      <c r="L873" s="84" t="n">
        <f aca="false">IFERROR(INDEX(p_Price,MATCH($F873,p_ID,0)),0)</f>
        <v>300</v>
      </c>
      <c r="M873" s="85" t="n">
        <v>0.1</v>
      </c>
      <c r="N873" s="81" t="s">
        <v>644</v>
      </c>
      <c r="O873" s="84" t="n">
        <f aca="false">IF($N873="مرتجع",0,K873*L873*(1-M873))</f>
        <v>270</v>
      </c>
      <c r="P873" s="84" t="n">
        <f aca="false">IF($N873="مرتجع",0,K873*IFERROR(INDEX(p_Cost,MATCH($F873,p_ID,0)),0))</f>
        <v>175</v>
      </c>
      <c r="Q873" s="84" t="n">
        <f aca="false">O873-P873</f>
        <v>95</v>
      </c>
      <c r="R873" s="86" t="n">
        <f aca="false">DATE(YEAR(B873),MONTH(B873),1)</f>
        <v>46113</v>
      </c>
      <c r="S873" s="83" t="str">
        <f aca="false">YEAR(B873)&amp;"-Q"&amp;ROUNDUP(MONTH(B873)/3,0)</f>
        <v>2026-Q2</v>
      </c>
      <c r="T873" s="87" t="n">
        <f aca="false">IF(O873&gt;0,Q873/O873,"")</f>
        <v>0.351851851851852</v>
      </c>
      <c r="U873" s="84" t="n">
        <f aca="false">IF(O873&gt;0,O873,"")</f>
        <v>270</v>
      </c>
    </row>
    <row r="874" customFormat="false" ht="15" hidden="false" customHeight="false" outlineLevel="0" collapsed="false">
      <c r="A874" s="81" t="s">
        <v>1517</v>
      </c>
      <c r="B874" s="82" t="n">
        <v>46131</v>
      </c>
      <c r="C874" s="81" t="s">
        <v>419</v>
      </c>
      <c r="D874" s="83" t="str">
        <f aca="false">IFERROR(INDEX(c_Name,MATCH($C874,c_ID,0)),"غير معرّف")</f>
        <v>خالد العتيبي</v>
      </c>
      <c r="E874" s="83" t="str">
        <f aca="false">IFERROR(INDEX(c_Region,MATCH($C874,c_ID,0)),"غير معرّف")</f>
        <v>الجنوبية</v>
      </c>
      <c r="F874" s="81" t="s">
        <v>184</v>
      </c>
      <c r="G874" s="83" t="str">
        <f aca="false">IFERROR(INDEX(p_Name,MATCH($F874,p_ID,0)),"غير معرّف")</f>
        <v>عطر فاخر</v>
      </c>
      <c r="H874" s="83" t="str">
        <f aca="false">IFERROR(INDEX(p_Cat,MATCH($F874,p_ID,0)),"غير معرّف")</f>
        <v>عناية شخصية</v>
      </c>
      <c r="I874" s="81" t="s">
        <v>467</v>
      </c>
      <c r="J874" s="81" t="s">
        <v>91</v>
      </c>
      <c r="K874" s="81" t="n">
        <v>4</v>
      </c>
      <c r="L874" s="84" t="n">
        <f aca="false">IFERROR(INDEX(p_Price,MATCH($F874,p_ID,0)),0)</f>
        <v>520</v>
      </c>
      <c r="M874" s="85" t="n">
        <v>0.1</v>
      </c>
      <c r="N874" s="81" t="s">
        <v>644</v>
      </c>
      <c r="O874" s="84" t="n">
        <f aca="false">IF($N874="مرتجع",0,K874*L874*(1-M874))</f>
        <v>1872</v>
      </c>
      <c r="P874" s="84" t="n">
        <f aca="false">IF($N874="مرتجع",0,K874*IFERROR(INDEX(p_Cost,MATCH($F874,p_ID,0)),0))</f>
        <v>840</v>
      </c>
      <c r="Q874" s="84" t="n">
        <f aca="false">O874-P874</f>
        <v>1032</v>
      </c>
      <c r="R874" s="86" t="n">
        <f aca="false">DATE(YEAR(B874),MONTH(B874),1)</f>
        <v>46113</v>
      </c>
      <c r="S874" s="83" t="str">
        <f aca="false">YEAR(B874)&amp;"-Q"&amp;ROUNDUP(MONTH(B874)/3,0)</f>
        <v>2026-Q2</v>
      </c>
      <c r="T874" s="87" t="n">
        <f aca="false">IF(O874&gt;0,Q874/O874,"")</f>
        <v>0.551282051282051</v>
      </c>
      <c r="U874" s="84" t="n">
        <f aca="false">IF(O874&gt;0,O874,"")</f>
        <v>1872</v>
      </c>
    </row>
    <row r="875" customFormat="false" ht="15" hidden="false" customHeight="false" outlineLevel="0" collapsed="false">
      <c r="A875" s="81" t="s">
        <v>1518</v>
      </c>
      <c r="B875" s="82" t="n">
        <v>46131</v>
      </c>
      <c r="C875" s="81" t="s">
        <v>264</v>
      </c>
      <c r="D875" s="83" t="str">
        <f aca="false">IFERROR(INDEX(c_Name,MATCH($C875,c_ID,0)),"غير معرّف")</f>
        <v>عبدالله التميمي</v>
      </c>
      <c r="E875" s="83" t="str">
        <f aca="false">IFERROR(INDEX(c_Region,MATCH($C875,c_ID,0)),"غير معرّف")</f>
        <v>الوسطى</v>
      </c>
      <c r="F875" s="81" t="s">
        <v>178</v>
      </c>
      <c r="G875" s="83" t="str">
        <f aca="false">IFERROR(INDEX(p_Name,MATCH($F875,p_ID,0)),"غير معرّف")</f>
        <v>حقيبة لابتوب</v>
      </c>
      <c r="H875" s="83" t="str">
        <f aca="false">IFERROR(INDEX(p_Cat,MATCH($F875,p_ID,0)),"غير معرّف")</f>
        <v>مستلزمات مكتبية</v>
      </c>
      <c r="I875" s="81" t="s">
        <v>446</v>
      </c>
      <c r="J875" s="81" t="s">
        <v>91</v>
      </c>
      <c r="K875" s="81" t="n">
        <v>1</v>
      </c>
      <c r="L875" s="84" t="n">
        <f aca="false">IFERROR(INDEX(p_Price,MATCH($F875,p_ID,0)),0)</f>
        <v>260</v>
      </c>
      <c r="M875" s="85" t="n">
        <v>0.1</v>
      </c>
      <c r="N875" s="81" t="s">
        <v>644</v>
      </c>
      <c r="O875" s="84" t="n">
        <f aca="false">IF($N875="مرتجع",0,K875*L875*(1-M875))</f>
        <v>234</v>
      </c>
      <c r="P875" s="84" t="n">
        <f aca="false">IF($N875="مرتجع",0,K875*IFERROR(INDEX(p_Cost,MATCH($F875,p_ID,0)),0))</f>
        <v>120</v>
      </c>
      <c r="Q875" s="84" t="n">
        <f aca="false">O875-P875</f>
        <v>114</v>
      </c>
      <c r="R875" s="86" t="n">
        <f aca="false">DATE(YEAR(B875),MONTH(B875),1)</f>
        <v>46113</v>
      </c>
      <c r="S875" s="83" t="str">
        <f aca="false">YEAR(B875)&amp;"-Q"&amp;ROUNDUP(MONTH(B875)/3,0)</f>
        <v>2026-Q2</v>
      </c>
      <c r="T875" s="87" t="n">
        <f aca="false">IF(O875&gt;0,Q875/O875,"")</f>
        <v>0.487179487179487</v>
      </c>
      <c r="U875" s="84" t="n">
        <f aca="false">IF(O875&gt;0,O875,"")</f>
        <v>234</v>
      </c>
    </row>
    <row r="876" customFormat="false" ht="15" hidden="false" customHeight="false" outlineLevel="0" collapsed="false">
      <c r="A876" s="81" t="s">
        <v>1519</v>
      </c>
      <c r="B876" s="82" t="n">
        <v>46131</v>
      </c>
      <c r="C876" s="81" t="s">
        <v>426</v>
      </c>
      <c r="D876" s="83" t="str">
        <f aca="false">IFERROR(INDEX(c_Name,MATCH($C876,c_ID,0)),"غير معرّف")</f>
        <v>لمى البلوي</v>
      </c>
      <c r="E876" s="83" t="str">
        <f aca="false">IFERROR(INDEX(c_Region,MATCH($C876,c_ID,0)),"غير معرّف")</f>
        <v>الشرقية</v>
      </c>
      <c r="F876" s="81" t="s">
        <v>169</v>
      </c>
      <c r="G876" s="83" t="str">
        <f aca="false">IFERROR(INDEX(p_Name,MATCH($F876,p_ID,0)),"غير معرّف")</f>
        <v>خلاط</v>
      </c>
      <c r="H876" s="83" t="str">
        <f aca="false">IFERROR(INDEX(p_Cat,MATCH($F876,p_ID,0)),"غير معرّف")</f>
        <v>أجهزة منزلية</v>
      </c>
      <c r="I876" s="81" t="s">
        <v>461</v>
      </c>
      <c r="J876" s="81" t="s">
        <v>91</v>
      </c>
      <c r="K876" s="81" t="n">
        <v>1</v>
      </c>
      <c r="L876" s="84" t="n">
        <f aca="false">IFERROR(INDEX(p_Price,MATCH($F876,p_ID,0)),0)</f>
        <v>300</v>
      </c>
      <c r="M876" s="85" t="n">
        <v>0.05</v>
      </c>
      <c r="N876" s="81" t="s">
        <v>644</v>
      </c>
      <c r="O876" s="84" t="n">
        <f aca="false">IF($N876="مرتجع",0,K876*L876*(1-M876))</f>
        <v>285</v>
      </c>
      <c r="P876" s="84" t="n">
        <f aca="false">IF($N876="مرتجع",0,K876*IFERROR(INDEX(p_Cost,MATCH($F876,p_ID,0)),0))</f>
        <v>175</v>
      </c>
      <c r="Q876" s="84" t="n">
        <f aca="false">O876-P876</f>
        <v>110</v>
      </c>
      <c r="R876" s="86" t="n">
        <f aca="false">DATE(YEAR(B876),MONTH(B876),1)</f>
        <v>46113</v>
      </c>
      <c r="S876" s="83" t="str">
        <f aca="false">YEAR(B876)&amp;"-Q"&amp;ROUNDUP(MONTH(B876)/3,0)</f>
        <v>2026-Q2</v>
      </c>
      <c r="T876" s="87" t="n">
        <f aca="false">IF(O876&gt;0,Q876/O876,"")</f>
        <v>0.385964912280702</v>
      </c>
      <c r="U876" s="84" t="n">
        <f aca="false">IF(O876&gt;0,O876,"")</f>
        <v>285</v>
      </c>
    </row>
    <row r="877" customFormat="false" ht="15" hidden="false" customHeight="false" outlineLevel="0" collapsed="false">
      <c r="A877" s="81" t="s">
        <v>1520</v>
      </c>
      <c r="B877" s="82" t="n">
        <v>46131</v>
      </c>
      <c r="C877" s="81" t="s">
        <v>347</v>
      </c>
      <c r="D877" s="83" t="str">
        <f aca="false">IFERROR(INDEX(c_Name,MATCH($C877,c_ID,0)),"غير معرّف")</f>
        <v>محمد الشمري</v>
      </c>
      <c r="E877" s="83" t="str">
        <f aca="false">IFERROR(INDEX(c_Region,MATCH($C877,c_ID,0)),"غير معرّف")</f>
        <v>الغربية</v>
      </c>
      <c r="F877" s="81" t="s">
        <v>185</v>
      </c>
      <c r="G877" s="83" t="str">
        <f aca="false">IFERROR(INDEX(p_Name,MATCH($F877,p_ID,0)),"غير معرّف")</f>
        <v>ماكينة حلاقة</v>
      </c>
      <c r="H877" s="83" t="str">
        <f aca="false">IFERROR(INDEX(p_Cat,MATCH($F877,p_ID,0)),"غير معرّف")</f>
        <v>عناية شخصية</v>
      </c>
      <c r="I877" s="81" t="s">
        <v>452</v>
      </c>
      <c r="J877" s="81" t="s">
        <v>93</v>
      </c>
      <c r="K877" s="81" t="n">
        <v>1</v>
      </c>
      <c r="L877" s="84" t="n">
        <f aca="false">IFERROR(INDEX(p_Price,MATCH($F877,p_ID,0)),0)</f>
        <v>340</v>
      </c>
      <c r="M877" s="85" t="n">
        <v>0.2</v>
      </c>
      <c r="N877" s="81" t="s">
        <v>644</v>
      </c>
      <c r="O877" s="84" t="n">
        <f aca="false">IF($N877="مرتجع",0,K877*L877*(1-M877))</f>
        <v>272</v>
      </c>
      <c r="P877" s="84" t="n">
        <f aca="false">IF($N877="مرتجع",0,K877*IFERROR(INDEX(p_Cost,MATCH($F877,p_ID,0)),0))</f>
        <v>170</v>
      </c>
      <c r="Q877" s="84" t="n">
        <f aca="false">O877-P877</f>
        <v>102</v>
      </c>
      <c r="R877" s="86" t="n">
        <f aca="false">DATE(YEAR(B877),MONTH(B877),1)</f>
        <v>46113</v>
      </c>
      <c r="S877" s="83" t="str">
        <f aca="false">YEAR(B877)&amp;"-Q"&amp;ROUNDUP(MONTH(B877)/3,0)</f>
        <v>2026-Q2</v>
      </c>
      <c r="T877" s="87" t="n">
        <f aca="false">IF(O877&gt;0,Q877/O877,"")</f>
        <v>0.375</v>
      </c>
      <c r="U877" s="84" t="n">
        <f aca="false">IF(O877&gt;0,O877,"")</f>
        <v>272</v>
      </c>
    </row>
    <row r="878" customFormat="false" ht="15" hidden="false" customHeight="false" outlineLevel="0" collapsed="false">
      <c r="A878" s="81" t="s">
        <v>1521</v>
      </c>
      <c r="B878" s="82" t="n">
        <v>46131</v>
      </c>
      <c r="C878" s="81" t="s">
        <v>248</v>
      </c>
      <c r="D878" s="83" t="str">
        <f aca="false">IFERROR(INDEX(c_Name,MATCH($C878,c_ID,0)),"غير معرّف")</f>
        <v>خالد الشهري</v>
      </c>
      <c r="E878" s="83" t="str">
        <f aca="false">IFERROR(INDEX(c_Region,MATCH($C878,c_ID,0)),"غير معرّف")</f>
        <v>الوسطى</v>
      </c>
      <c r="F878" s="81" t="s">
        <v>181</v>
      </c>
      <c r="G878" s="83" t="str">
        <f aca="false">IFERROR(INDEX(p_Name,MATCH($F878,p_ID,0)),"غير معرّف")</f>
        <v>دراجة ثابتة</v>
      </c>
      <c r="H878" s="83" t="str">
        <f aca="false">IFERROR(INDEX(p_Cat,MATCH($F878,p_ID,0)),"غير معرّف")</f>
        <v>رياضة</v>
      </c>
      <c r="I878" s="81" t="s">
        <v>449</v>
      </c>
      <c r="J878" s="81" t="s">
        <v>93</v>
      </c>
      <c r="K878" s="81" t="n">
        <v>1</v>
      </c>
      <c r="L878" s="84" t="n">
        <f aca="false">IFERROR(INDEX(p_Price,MATCH($F878,p_ID,0)),0)</f>
        <v>1800</v>
      </c>
      <c r="M878" s="85" t="n">
        <v>0</v>
      </c>
      <c r="N878" s="81" t="s">
        <v>644</v>
      </c>
      <c r="O878" s="84" t="n">
        <f aca="false">IF($N878="مرتجع",0,K878*L878*(1-M878))</f>
        <v>1800</v>
      </c>
      <c r="P878" s="84" t="n">
        <f aca="false">IF($N878="مرتجع",0,K878*IFERROR(INDEX(p_Cost,MATCH($F878,p_ID,0)),0))</f>
        <v>1200</v>
      </c>
      <c r="Q878" s="84" t="n">
        <f aca="false">O878-P878</f>
        <v>600</v>
      </c>
      <c r="R878" s="86" t="n">
        <f aca="false">DATE(YEAR(B878),MONTH(B878),1)</f>
        <v>46113</v>
      </c>
      <c r="S878" s="83" t="str">
        <f aca="false">YEAR(B878)&amp;"-Q"&amp;ROUNDUP(MONTH(B878)/3,0)</f>
        <v>2026-Q2</v>
      </c>
      <c r="T878" s="87" t="n">
        <f aca="false">IF(O878&gt;0,Q878/O878,"")</f>
        <v>0.333333333333333</v>
      </c>
      <c r="U878" s="84" t="n">
        <f aca="false">IF(O878&gt;0,O878,"")</f>
        <v>1800</v>
      </c>
    </row>
    <row r="879" customFormat="false" ht="15" hidden="false" customHeight="false" outlineLevel="0" collapsed="false">
      <c r="A879" s="81" t="s">
        <v>1522</v>
      </c>
      <c r="B879" s="82" t="n">
        <v>46131</v>
      </c>
      <c r="C879" s="81" t="s">
        <v>319</v>
      </c>
      <c r="D879" s="83" t="str">
        <f aca="false">IFERROR(INDEX(c_Name,MATCH($C879,c_ID,0)),"غير معرّف")</f>
        <v>سعد التميمي</v>
      </c>
      <c r="E879" s="83" t="str">
        <f aca="false">IFERROR(INDEX(c_Region,MATCH($C879,c_ID,0)),"غير معرّف")</f>
        <v>الغربية</v>
      </c>
      <c r="F879" s="81" t="s">
        <v>177</v>
      </c>
      <c r="G879" s="83" t="str">
        <f aca="false">IFERROR(INDEX(p_Name,MATCH($F879,p_ID,0)),"غير معرّف")</f>
        <v>ورق A4 (صندوق)</v>
      </c>
      <c r="H879" s="83" t="str">
        <f aca="false">IFERROR(INDEX(p_Cat,MATCH($F879,p_ID,0)),"غير معرّف")</f>
        <v>مستلزمات مكتبية</v>
      </c>
      <c r="I879" s="81" t="s">
        <v>458</v>
      </c>
      <c r="J879" s="81" t="s">
        <v>95</v>
      </c>
      <c r="K879" s="81" t="n">
        <v>13</v>
      </c>
      <c r="L879" s="84" t="n">
        <f aca="false">IFERROR(INDEX(p_Price,MATCH($F879,p_ID,0)),0)</f>
        <v>140</v>
      </c>
      <c r="M879" s="85" t="n">
        <v>0.05</v>
      </c>
      <c r="N879" s="81" t="s">
        <v>644</v>
      </c>
      <c r="O879" s="84" t="n">
        <f aca="false">IF($N879="مرتجع",0,K879*L879*(1-M879))</f>
        <v>1729</v>
      </c>
      <c r="P879" s="84" t="n">
        <f aca="false">IF($N879="مرتجع",0,K879*IFERROR(INDEX(p_Cost,MATCH($F879,p_ID,0)),0))</f>
        <v>1235</v>
      </c>
      <c r="Q879" s="84" t="n">
        <f aca="false">O879-P879</f>
        <v>494</v>
      </c>
      <c r="R879" s="86" t="n">
        <f aca="false">DATE(YEAR(B879),MONTH(B879),1)</f>
        <v>46113</v>
      </c>
      <c r="S879" s="83" t="str">
        <f aca="false">YEAR(B879)&amp;"-Q"&amp;ROUNDUP(MONTH(B879)/3,0)</f>
        <v>2026-Q2</v>
      </c>
      <c r="T879" s="87" t="n">
        <f aca="false">IF(O879&gt;0,Q879/O879,"")</f>
        <v>0.285714285714286</v>
      </c>
      <c r="U879" s="84" t="n">
        <f aca="false">IF(O879&gt;0,O879,"")</f>
        <v>1729</v>
      </c>
    </row>
    <row r="880" customFormat="false" ht="15" hidden="false" customHeight="false" outlineLevel="0" collapsed="false">
      <c r="A880" s="81" t="s">
        <v>1523</v>
      </c>
      <c r="B880" s="82" t="n">
        <v>46132</v>
      </c>
      <c r="C880" s="81" t="s">
        <v>347</v>
      </c>
      <c r="D880" s="83" t="str">
        <f aca="false">IFERROR(INDEX(c_Name,MATCH($C880,c_ID,0)),"غير معرّف")</f>
        <v>محمد الشمري</v>
      </c>
      <c r="E880" s="83" t="str">
        <f aca="false">IFERROR(INDEX(c_Region,MATCH($C880,c_ID,0)),"غير معرّف")</f>
        <v>الغربية</v>
      </c>
      <c r="F880" s="81" t="s">
        <v>180</v>
      </c>
      <c r="G880" s="83" t="str">
        <f aca="false">IFERROR(INDEX(p_Name,MATCH($F880,p_ID,0)),"غير معرّف")</f>
        <v>جهاز مشي</v>
      </c>
      <c r="H880" s="83" t="str">
        <f aca="false">IFERROR(INDEX(p_Cat,MATCH($F880,p_ID,0)),"غير معرّف")</f>
        <v>رياضة</v>
      </c>
      <c r="I880" s="81" t="s">
        <v>452</v>
      </c>
      <c r="J880" s="81" t="s">
        <v>91</v>
      </c>
      <c r="K880" s="81" t="n">
        <v>1</v>
      </c>
      <c r="L880" s="84" t="n">
        <f aca="false">IFERROR(INDEX(p_Price,MATCH($F880,p_ID,0)),0)</f>
        <v>3200</v>
      </c>
      <c r="M880" s="85" t="n">
        <v>0</v>
      </c>
      <c r="N880" s="81" t="s">
        <v>644</v>
      </c>
      <c r="O880" s="84" t="n">
        <f aca="false">IF($N880="مرتجع",0,K880*L880*(1-M880))</f>
        <v>3200</v>
      </c>
      <c r="P880" s="84" t="n">
        <f aca="false">IF($N880="مرتجع",0,K880*IFERROR(INDEX(p_Cost,MATCH($F880,p_ID,0)),0))</f>
        <v>2200</v>
      </c>
      <c r="Q880" s="84" t="n">
        <f aca="false">O880-P880</f>
        <v>1000</v>
      </c>
      <c r="R880" s="86" t="n">
        <f aca="false">DATE(YEAR(B880),MONTH(B880),1)</f>
        <v>46113</v>
      </c>
      <c r="S880" s="83" t="str">
        <f aca="false">YEAR(B880)&amp;"-Q"&amp;ROUNDUP(MONTH(B880)/3,0)</f>
        <v>2026-Q2</v>
      </c>
      <c r="T880" s="87" t="n">
        <f aca="false">IF(O880&gt;0,Q880/O880,"")</f>
        <v>0.3125</v>
      </c>
      <c r="U880" s="84" t="n">
        <f aca="false">IF(O880&gt;0,O880,"")</f>
        <v>3200</v>
      </c>
    </row>
    <row r="881" customFormat="false" ht="15" hidden="false" customHeight="false" outlineLevel="0" collapsed="false">
      <c r="A881" s="81" t="s">
        <v>1524</v>
      </c>
      <c r="B881" s="82" t="n">
        <v>46132</v>
      </c>
      <c r="C881" s="81" t="s">
        <v>364</v>
      </c>
      <c r="D881" s="83" t="str">
        <f aca="false">IFERROR(INDEX(c_Name,MATCH($C881,c_ID,0)),"غير معرّف")</f>
        <v>عبير الدوسري</v>
      </c>
      <c r="E881" s="83" t="str">
        <f aca="false">IFERROR(INDEX(c_Region,MATCH($C881,c_ID,0)),"غير معرّف")</f>
        <v>الشرقية</v>
      </c>
      <c r="F881" s="81" t="s">
        <v>175</v>
      </c>
      <c r="G881" s="83" t="str">
        <f aca="false">IFERROR(INDEX(p_Name,MATCH($F881,p_ID,0)),"غير معرّف")</f>
        <v>رف كتب</v>
      </c>
      <c r="H881" s="83" t="str">
        <f aca="false">IFERROR(INDEX(p_Cat,MATCH($F881,p_ID,0)),"غير معرّف")</f>
        <v>أثاث</v>
      </c>
      <c r="I881" s="81" t="s">
        <v>463</v>
      </c>
      <c r="J881" s="81" t="s">
        <v>91</v>
      </c>
      <c r="K881" s="81" t="n">
        <v>1</v>
      </c>
      <c r="L881" s="84" t="n">
        <f aca="false">IFERROR(INDEX(p_Price,MATCH($F881,p_ID,0)),0)</f>
        <v>400</v>
      </c>
      <c r="M881" s="85" t="n">
        <v>0</v>
      </c>
      <c r="N881" s="81" t="s">
        <v>644</v>
      </c>
      <c r="O881" s="84" t="n">
        <f aca="false">IF($N881="مرتجع",0,K881*L881*(1-M881))</f>
        <v>400</v>
      </c>
      <c r="P881" s="84" t="n">
        <f aca="false">IF($N881="مرتجع",0,K881*IFERROR(INDEX(p_Cost,MATCH($F881,p_ID,0)),0))</f>
        <v>220</v>
      </c>
      <c r="Q881" s="84" t="n">
        <f aca="false">O881-P881</f>
        <v>180</v>
      </c>
      <c r="R881" s="86" t="n">
        <f aca="false">DATE(YEAR(B881),MONTH(B881),1)</f>
        <v>46113</v>
      </c>
      <c r="S881" s="83" t="str">
        <f aca="false">YEAR(B881)&amp;"-Q"&amp;ROUNDUP(MONTH(B881)/3,0)</f>
        <v>2026-Q2</v>
      </c>
      <c r="T881" s="87" t="n">
        <f aca="false">IF(O881&gt;0,Q881/O881,"")</f>
        <v>0.45</v>
      </c>
      <c r="U881" s="84" t="n">
        <f aca="false">IF(O881&gt;0,O881,"")</f>
        <v>400</v>
      </c>
    </row>
    <row r="882" customFormat="false" ht="15" hidden="false" customHeight="false" outlineLevel="0" collapsed="false">
      <c r="A882" s="81" t="s">
        <v>1525</v>
      </c>
      <c r="B882" s="82" t="n">
        <v>46133</v>
      </c>
      <c r="C882" s="81" t="s">
        <v>383</v>
      </c>
      <c r="D882" s="83" t="str">
        <f aca="false">IFERROR(INDEX(c_Name,MATCH($C882,c_ID,0)),"غير معرّف")</f>
        <v>منى الشمري</v>
      </c>
      <c r="E882" s="83" t="str">
        <f aca="false">IFERROR(INDEX(c_Region,MATCH($C882,c_ID,0)),"غير معرّف")</f>
        <v>الغربية</v>
      </c>
      <c r="F882" s="81" t="s">
        <v>174</v>
      </c>
      <c r="G882" s="83" t="str">
        <f aca="false">IFERROR(INDEX(p_Name,MATCH($F882,p_ID,0)),"غير معرّف")</f>
        <v>خزانة ملفات</v>
      </c>
      <c r="H882" s="83" t="str">
        <f aca="false">IFERROR(INDEX(p_Cat,MATCH($F882,p_ID,0)),"غير معرّف")</f>
        <v>أثاث</v>
      </c>
      <c r="I882" s="81" t="s">
        <v>458</v>
      </c>
      <c r="J882" s="81" t="s">
        <v>91</v>
      </c>
      <c r="K882" s="81" t="n">
        <v>6</v>
      </c>
      <c r="L882" s="84" t="n">
        <f aca="false">IFERROR(INDEX(p_Price,MATCH($F882,p_ID,0)),0)</f>
        <v>700</v>
      </c>
      <c r="M882" s="85" t="n">
        <v>0.15</v>
      </c>
      <c r="N882" s="81" t="s">
        <v>644</v>
      </c>
      <c r="O882" s="84" t="n">
        <f aca="false">IF($N882="مرتجع",0,K882*L882*(1-M882))</f>
        <v>3570</v>
      </c>
      <c r="P882" s="84" t="n">
        <f aca="false">IF($N882="مرتجع",0,K882*IFERROR(INDEX(p_Cost,MATCH($F882,p_ID,0)),0))</f>
        <v>2460</v>
      </c>
      <c r="Q882" s="84" t="n">
        <f aca="false">O882-P882</f>
        <v>1110</v>
      </c>
      <c r="R882" s="86" t="n">
        <f aca="false">DATE(YEAR(B882),MONTH(B882),1)</f>
        <v>46113</v>
      </c>
      <c r="S882" s="83" t="str">
        <f aca="false">YEAR(B882)&amp;"-Q"&amp;ROUNDUP(MONTH(B882)/3,0)</f>
        <v>2026-Q2</v>
      </c>
      <c r="T882" s="87" t="n">
        <f aca="false">IF(O882&gt;0,Q882/O882,"")</f>
        <v>0.310924369747899</v>
      </c>
      <c r="U882" s="84" t="n">
        <f aca="false">IF(O882&gt;0,O882,"")</f>
        <v>3570</v>
      </c>
    </row>
    <row r="883" customFormat="false" ht="15" hidden="false" customHeight="false" outlineLevel="0" collapsed="false">
      <c r="A883" s="81" t="s">
        <v>1526</v>
      </c>
      <c r="B883" s="82" t="n">
        <v>46133</v>
      </c>
      <c r="C883" s="81" t="s">
        <v>368</v>
      </c>
      <c r="D883" s="83" t="str">
        <f aca="false">IFERROR(INDEX(c_Name,MATCH($C883,c_ID,0)),"غير معرّف")</f>
        <v>خالد الحربي</v>
      </c>
      <c r="E883" s="83" t="str">
        <f aca="false">IFERROR(INDEX(c_Region,MATCH($C883,c_ID,0)),"غير معرّف")</f>
        <v>الغربية</v>
      </c>
      <c r="F883" s="81" t="s">
        <v>174</v>
      </c>
      <c r="G883" s="83" t="str">
        <f aca="false">IFERROR(INDEX(p_Name,MATCH($F883,p_ID,0)),"غير معرّف")</f>
        <v>خزانة ملفات</v>
      </c>
      <c r="H883" s="83" t="str">
        <f aca="false">IFERROR(INDEX(p_Cat,MATCH($F883,p_ID,0)),"غير معرّف")</f>
        <v>أثاث</v>
      </c>
      <c r="I883" s="81" t="s">
        <v>458</v>
      </c>
      <c r="J883" s="81" t="s">
        <v>93</v>
      </c>
      <c r="K883" s="81" t="n">
        <v>1</v>
      </c>
      <c r="L883" s="84" t="n">
        <f aca="false">IFERROR(INDEX(p_Price,MATCH($F883,p_ID,0)),0)</f>
        <v>700</v>
      </c>
      <c r="M883" s="85" t="n">
        <v>0</v>
      </c>
      <c r="N883" s="81" t="s">
        <v>644</v>
      </c>
      <c r="O883" s="84" t="n">
        <f aca="false">IF($N883="مرتجع",0,K883*L883*(1-M883))</f>
        <v>700</v>
      </c>
      <c r="P883" s="84" t="n">
        <f aca="false">IF($N883="مرتجع",0,K883*IFERROR(INDEX(p_Cost,MATCH($F883,p_ID,0)),0))</f>
        <v>410</v>
      </c>
      <c r="Q883" s="84" t="n">
        <f aca="false">O883-P883</f>
        <v>290</v>
      </c>
      <c r="R883" s="86" t="n">
        <f aca="false">DATE(YEAR(B883),MONTH(B883),1)</f>
        <v>46113</v>
      </c>
      <c r="S883" s="83" t="str">
        <f aca="false">YEAR(B883)&amp;"-Q"&amp;ROUNDUP(MONTH(B883)/3,0)</f>
        <v>2026-Q2</v>
      </c>
      <c r="T883" s="87" t="n">
        <f aca="false">IF(O883&gt;0,Q883/O883,"")</f>
        <v>0.414285714285714</v>
      </c>
      <c r="U883" s="84" t="n">
        <f aca="false">IF(O883&gt;0,O883,"")</f>
        <v>700</v>
      </c>
    </row>
    <row r="884" customFormat="false" ht="15" hidden="false" customHeight="false" outlineLevel="0" collapsed="false">
      <c r="A884" s="81" t="s">
        <v>1527</v>
      </c>
      <c r="B884" s="82" t="n">
        <v>46133</v>
      </c>
      <c r="C884" s="81" t="s">
        <v>248</v>
      </c>
      <c r="D884" s="83" t="str">
        <f aca="false">IFERROR(INDEX(c_Name,MATCH($C884,c_ID,0)),"غير معرّف")</f>
        <v>خالد الشهري</v>
      </c>
      <c r="E884" s="83" t="str">
        <f aca="false">IFERROR(INDEX(c_Region,MATCH($C884,c_ID,0)),"غير معرّف")</f>
        <v>الوسطى</v>
      </c>
      <c r="F884" s="81" t="s">
        <v>177</v>
      </c>
      <c r="G884" s="83" t="str">
        <f aca="false">IFERROR(INDEX(p_Name,MATCH($F884,p_ID,0)),"غير معرّف")</f>
        <v>ورق A4 (صندوق)</v>
      </c>
      <c r="H884" s="83" t="str">
        <f aca="false">IFERROR(INDEX(p_Cat,MATCH($F884,p_ID,0)),"غير معرّف")</f>
        <v>مستلزمات مكتبية</v>
      </c>
      <c r="I884" s="81" t="s">
        <v>446</v>
      </c>
      <c r="J884" s="81" t="s">
        <v>91</v>
      </c>
      <c r="K884" s="81" t="n">
        <v>1</v>
      </c>
      <c r="L884" s="84" t="n">
        <f aca="false">IFERROR(INDEX(p_Price,MATCH($F884,p_ID,0)),0)</f>
        <v>140</v>
      </c>
      <c r="M884" s="85" t="n">
        <v>0.1</v>
      </c>
      <c r="N884" s="81" t="s">
        <v>644</v>
      </c>
      <c r="O884" s="84" t="n">
        <f aca="false">IF($N884="مرتجع",0,K884*L884*(1-M884))</f>
        <v>126</v>
      </c>
      <c r="P884" s="84" t="n">
        <f aca="false">IF($N884="مرتجع",0,K884*IFERROR(INDEX(p_Cost,MATCH($F884,p_ID,0)),0))</f>
        <v>95</v>
      </c>
      <c r="Q884" s="84" t="n">
        <f aca="false">O884-P884</f>
        <v>31</v>
      </c>
      <c r="R884" s="86" t="n">
        <f aca="false">DATE(YEAR(B884),MONTH(B884),1)</f>
        <v>46113</v>
      </c>
      <c r="S884" s="83" t="str">
        <f aca="false">YEAR(B884)&amp;"-Q"&amp;ROUNDUP(MONTH(B884)/3,0)</f>
        <v>2026-Q2</v>
      </c>
      <c r="T884" s="87" t="n">
        <f aca="false">IF(O884&gt;0,Q884/O884,"")</f>
        <v>0.246031746031746</v>
      </c>
      <c r="U884" s="84" t="n">
        <f aca="false">IF(O884&gt;0,O884,"")</f>
        <v>126</v>
      </c>
    </row>
    <row r="885" customFormat="false" ht="15" hidden="false" customHeight="false" outlineLevel="0" collapsed="false">
      <c r="A885" s="81" t="s">
        <v>1528</v>
      </c>
      <c r="B885" s="82" t="n">
        <v>46134</v>
      </c>
      <c r="C885" s="81" t="s">
        <v>270</v>
      </c>
      <c r="D885" s="83" t="str">
        <f aca="false">IFERROR(INDEX(c_Name,MATCH($C885,c_ID,0)),"غير معرّف")</f>
        <v>ريم التميمي</v>
      </c>
      <c r="E885" s="83" t="str">
        <f aca="false">IFERROR(INDEX(c_Region,MATCH($C885,c_ID,0)),"غير معرّف")</f>
        <v>الشرقية</v>
      </c>
      <c r="F885" s="81" t="s">
        <v>170</v>
      </c>
      <c r="G885" s="83" t="str">
        <f aca="false">IFERROR(INDEX(p_Name,MATCH($F885,p_ID,0)),"غير معرّف")</f>
        <v>مكيف نقال</v>
      </c>
      <c r="H885" s="83" t="str">
        <f aca="false">IFERROR(INDEX(p_Cat,MATCH($F885,p_ID,0)),"غير معرّف")</f>
        <v>أجهزة منزلية</v>
      </c>
      <c r="I885" s="81" t="s">
        <v>461</v>
      </c>
      <c r="J885" s="81" t="s">
        <v>91</v>
      </c>
      <c r="K885" s="81" t="n">
        <v>1</v>
      </c>
      <c r="L885" s="84" t="n">
        <f aca="false">IFERROR(INDEX(p_Price,MATCH($F885,p_ID,0)),0)</f>
        <v>1900</v>
      </c>
      <c r="M885" s="85" t="n">
        <v>0</v>
      </c>
      <c r="N885" s="81" t="s">
        <v>644</v>
      </c>
      <c r="O885" s="84" t="n">
        <f aca="false">IF($N885="مرتجع",0,K885*L885*(1-M885))</f>
        <v>1900</v>
      </c>
      <c r="P885" s="84" t="n">
        <f aca="false">IF($N885="مرتجع",0,K885*IFERROR(INDEX(p_Cost,MATCH($F885,p_ID,0)),0))</f>
        <v>1350</v>
      </c>
      <c r="Q885" s="84" t="n">
        <f aca="false">O885-P885</f>
        <v>550</v>
      </c>
      <c r="R885" s="86" t="n">
        <f aca="false">DATE(YEAR(B885),MONTH(B885),1)</f>
        <v>46113</v>
      </c>
      <c r="S885" s="83" t="str">
        <f aca="false">YEAR(B885)&amp;"-Q"&amp;ROUNDUP(MONTH(B885)/3,0)</f>
        <v>2026-Q2</v>
      </c>
      <c r="T885" s="87" t="n">
        <f aca="false">IF(O885&gt;0,Q885/O885,"")</f>
        <v>0.289473684210526</v>
      </c>
      <c r="U885" s="84" t="n">
        <f aca="false">IF(O885&gt;0,O885,"")</f>
        <v>1900</v>
      </c>
    </row>
    <row r="886" customFormat="false" ht="15" hidden="false" customHeight="false" outlineLevel="0" collapsed="false">
      <c r="A886" s="81" t="s">
        <v>1529</v>
      </c>
      <c r="B886" s="82" t="n">
        <v>46134</v>
      </c>
      <c r="C886" s="81" t="s">
        <v>418</v>
      </c>
      <c r="D886" s="83" t="str">
        <f aca="false">IFERROR(INDEX(c_Name,MATCH($C886,c_ID,0)),"غير معرّف")</f>
        <v>ياسر الزهراني</v>
      </c>
      <c r="E886" s="83" t="str">
        <f aca="false">IFERROR(INDEX(c_Region,MATCH($C886,c_ID,0)),"غير معرّف")</f>
        <v>الشرقية</v>
      </c>
      <c r="F886" s="81" t="s">
        <v>169</v>
      </c>
      <c r="G886" s="83" t="str">
        <f aca="false">IFERROR(INDEX(p_Name,MATCH($F886,p_ID,0)),"غير معرّف")</f>
        <v>خلاط</v>
      </c>
      <c r="H886" s="83" t="str">
        <f aca="false">IFERROR(INDEX(p_Cat,MATCH($F886,p_ID,0)),"غير معرّف")</f>
        <v>أجهزة منزلية</v>
      </c>
      <c r="I886" s="81" t="s">
        <v>463</v>
      </c>
      <c r="J886" s="81" t="s">
        <v>93</v>
      </c>
      <c r="K886" s="81" t="n">
        <v>8</v>
      </c>
      <c r="L886" s="84" t="n">
        <f aca="false">IFERROR(INDEX(p_Price,MATCH($F886,p_ID,0)),0)</f>
        <v>300</v>
      </c>
      <c r="M886" s="85" t="n">
        <v>0.15</v>
      </c>
      <c r="N886" s="81" t="s">
        <v>644</v>
      </c>
      <c r="O886" s="84" t="n">
        <f aca="false">IF($N886="مرتجع",0,K886*L886*(1-M886))</f>
        <v>2040</v>
      </c>
      <c r="P886" s="84" t="n">
        <f aca="false">IF($N886="مرتجع",0,K886*IFERROR(INDEX(p_Cost,MATCH($F886,p_ID,0)),0))</f>
        <v>1400</v>
      </c>
      <c r="Q886" s="84" t="n">
        <f aca="false">O886-P886</f>
        <v>640</v>
      </c>
      <c r="R886" s="86" t="n">
        <f aca="false">DATE(YEAR(B886),MONTH(B886),1)</f>
        <v>46113</v>
      </c>
      <c r="S886" s="83" t="str">
        <f aca="false">YEAR(B886)&amp;"-Q"&amp;ROUNDUP(MONTH(B886)/3,0)</f>
        <v>2026-Q2</v>
      </c>
      <c r="T886" s="87" t="n">
        <f aca="false">IF(O886&gt;0,Q886/O886,"")</f>
        <v>0.313725490196078</v>
      </c>
      <c r="U886" s="84" t="n">
        <f aca="false">IF(O886&gt;0,O886,"")</f>
        <v>2040</v>
      </c>
    </row>
    <row r="887" customFormat="false" ht="15" hidden="false" customHeight="false" outlineLevel="0" collapsed="false">
      <c r="A887" s="81" t="s">
        <v>1530</v>
      </c>
      <c r="B887" s="82" t="n">
        <v>46134</v>
      </c>
      <c r="C887" s="81" t="s">
        <v>301</v>
      </c>
      <c r="D887" s="83" t="str">
        <f aca="false">IFERROR(INDEX(c_Name,MATCH($C887,c_ID,0)),"غير معرّف")</f>
        <v>أحمد الغامدي</v>
      </c>
      <c r="E887" s="83" t="str">
        <f aca="false">IFERROR(INDEX(c_Region,MATCH($C887,c_ID,0)),"غير معرّف")</f>
        <v>الشرقية</v>
      </c>
      <c r="F887" s="81" t="s">
        <v>179</v>
      </c>
      <c r="G887" s="83" t="str">
        <f aca="false">IFERROR(INDEX(p_Name,MATCH($F887,p_ID,0)),"غير معرّف")</f>
        <v>طقم أدوات مكتبية</v>
      </c>
      <c r="H887" s="83" t="str">
        <f aca="false">IFERROR(INDEX(p_Cat,MATCH($F887,p_ID,0)),"غير معرّف")</f>
        <v>مستلزمات مكتبية</v>
      </c>
      <c r="I887" s="81" t="s">
        <v>461</v>
      </c>
      <c r="J887" s="81" t="s">
        <v>91</v>
      </c>
      <c r="K887" s="81" t="n">
        <v>1</v>
      </c>
      <c r="L887" s="84" t="n">
        <f aca="false">IFERROR(INDEX(p_Price,MATCH($F887,p_ID,0)),0)</f>
        <v>90</v>
      </c>
      <c r="M887" s="85" t="n">
        <v>0.15</v>
      </c>
      <c r="N887" s="81" t="s">
        <v>644</v>
      </c>
      <c r="O887" s="84" t="n">
        <f aca="false">IF($N887="مرتجع",0,K887*L887*(1-M887))</f>
        <v>76.5</v>
      </c>
      <c r="P887" s="84" t="n">
        <f aca="false">IF($N887="مرتجع",0,K887*IFERROR(INDEX(p_Cost,MATCH($F887,p_ID,0)),0))</f>
        <v>45</v>
      </c>
      <c r="Q887" s="84" t="n">
        <f aca="false">O887-P887</f>
        <v>31.5</v>
      </c>
      <c r="R887" s="86" t="n">
        <f aca="false">DATE(YEAR(B887),MONTH(B887),1)</f>
        <v>46113</v>
      </c>
      <c r="S887" s="83" t="str">
        <f aca="false">YEAR(B887)&amp;"-Q"&amp;ROUNDUP(MONTH(B887)/3,0)</f>
        <v>2026-Q2</v>
      </c>
      <c r="T887" s="87" t="n">
        <f aca="false">IF(O887&gt;0,Q887/O887,"")</f>
        <v>0.411764705882353</v>
      </c>
      <c r="U887" s="84" t="n">
        <f aca="false">IF(O887&gt;0,O887,"")</f>
        <v>76.5</v>
      </c>
    </row>
    <row r="888" customFormat="false" ht="15" hidden="false" customHeight="false" outlineLevel="0" collapsed="false">
      <c r="A888" s="81" t="s">
        <v>1531</v>
      </c>
      <c r="B888" s="82" t="n">
        <v>46135</v>
      </c>
      <c r="C888" s="81" t="s">
        <v>333</v>
      </c>
      <c r="D888" s="83" t="str">
        <f aca="false">IFERROR(INDEX(c_Name,MATCH($C888,c_ID,0)),"غير معرّف")</f>
        <v>جود الحربي</v>
      </c>
      <c r="E888" s="83" t="str">
        <f aca="false">IFERROR(INDEX(c_Region,MATCH($C888,c_ID,0)),"غير معرّف")</f>
        <v>الوسطى</v>
      </c>
      <c r="F888" s="81" t="s">
        <v>175</v>
      </c>
      <c r="G888" s="83" t="str">
        <f aca="false">IFERROR(INDEX(p_Name,MATCH($F888,p_ID,0)),"غير معرّف")</f>
        <v>رف كتب</v>
      </c>
      <c r="H888" s="83" t="str">
        <f aca="false">IFERROR(INDEX(p_Cat,MATCH($F888,p_ID,0)),"غير معرّف")</f>
        <v>أثاث</v>
      </c>
      <c r="I888" s="81" t="s">
        <v>443</v>
      </c>
      <c r="J888" s="81" t="s">
        <v>91</v>
      </c>
      <c r="K888" s="81" t="n">
        <v>1</v>
      </c>
      <c r="L888" s="84" t="n">
        <f aca="false">IFERROR(INDEX(p_Price,MATCH($F888,p_ID,0)),0)</f>
        <v>400</v>
      </c>
      <c r="M888" s="85" t="n">
        <v>0</v>
      </c>
      <c r="N888" s="81" t="s">
        <v>644</v>
      </c>
      <c r="O888" s="84" t="n">
        <f aca="false">IF($N888="مرتجع",0,K888*L888*(1-M888))</f>
        <v>400</v>
      </c>
      <c r="P888" s="84" t="n">
        <f aca="false">IF($N888="مرتجع",0,K888*IFERROR(INDEX(p_Cost,MATCH($F888,p_ID,0)),0))</f>
        <v>220</v>
      </c>
      <c r="Q888" s="84" t="n">
        <f aca="false">O888-P888</f>
        <v>180</v>
      </c>
      <c r="R888" s="86" t="n">
        <f aca="false">DATE(YEAR(B888),MONTH(B888),1)</f>
        <v>46113</v>
      </c>
      <c r="S888" s="83" t="str">
        <f aca="false">YEAR(B888)&amp;"-Q"&amp;ROUNDUP(MONTH(B888)/3,0)</f>
        <v>2026-Q2</v>
      </c>
      <c r="T888" s="87" t="n">
        <f aca="false">IF(O888&gt;0,Q888/O888,"")</f>
        <v>0.45</v>
      </c>
      <c r="U888" s="84" t="n">
        <f aca="false">IF(O888&gt;0,O888,"")</f>
        <v>400</v>
      </c>
    </row>
    <row r="889" customFormat="false" ht="15" hidden="false" customHeight="false" outlineLevel="0" collapsed="false">
      <c r="A889" s="81" t="s">
        <v>1532</v>
      </c>
      <c r="B889" s="82" t="n">
        <v>46135</v>
      </c>
      <c r="C889" s="81" t="s">
        <v>365</v>
      </c>
      <c r="D889" s="83" t="str">
        <f aca="false">IFERROR(INDEX(c_Name,MATCH($C889,c_ID,0)),"غير معرّف")</f>
        <v>نورة الغامدي</v>
      </c>
      <c r="E889" s="83" t="str">
        <f aca="false">IFERROR(INDEX(c_Region,MATCH($C889,c_ID,0)),"غير معرّف")</f>
        <v>الوسطى</v>
      </c>
      <c r="F889" s="81" t="s">
        <v>185</v>
      </c>
      <c r="G889" s="83" t="str">
        <f aca="false">IFERROR(INDEX(p_Name,MATCH($F889,p_ID,0)),"غير معرّف")</f>
        <v>ماكينة حلاقة</v>
      </c>
      <c r="H889" s="83" t="str">
        <f aca="false">IFERROR(INDEX(p_Cat,MATCH($F889,p_ID,0)),"غير معرّف")</f>
        <v>عناية شخصية</v>
      </c>
      <c r="I889" s="81" t="s">
        <v>446</v>
      </c>
      <c r="J889" s="81" t="s">
        <v>91</v>
      </c>
      <c r="K889" s="81" t="n">
        <v>4</v>
      </c>
      <c r="L889" s="84" t="n">
        <f aca="false">IFERROR(INDEX(p_Price,MATCH($F889,p_ID,0)),0)</f>
        <v>340</v>
      </c>
      <c r="M889" s="85" t="n">
        <v>0.1</v>
      </c>
      <c r="N889" s="81" t="s">
        <v>644</v>
      </c>
      <c r="O889" s="84" t="n">
        <f aca="false">IF($N889="مرتجع",0,K889*L889*(1-M889))</f>
        <v>1224</v>
      </c>
      <c r="P889" s="84" t="n">
        <f aca="false">IF($N889="مرتجع",0,K889*IFERROR(INDEX(p_Cost,MATCH($F889,p_ID,0)),0))</f>
        <v>680</v>
      </c>
      <c r="Q889" s="84" t="n">
        <f aca="false">O889-P889</f>
        <v>544</v>
      </c>
      <c r="R889" s="86" t="n">
        <f aca="false">DATE(YEAR(B889),MONTH(B889),1)</f>
        <v>46113</v>
      </c>
      <c r="S889" s="83" t="str">
        <f aca="false">YEAR(B889)&amp;"-Q"&amp;ROUNDUP(MONTH(B889)/3,0)</f>
        <v>2026-Q2</v>
      </c>
      <c r="T889" s="87" t="n">
        <f aca="false">IF(O889&gt;0,Q889/O889,"")</f>
        <v>0.444444444444444</v>
      </c>
      <c r="U889" s="84" t="n">
        <f aca="false">IF(O889&gt;0,O889,"")</f>
        <v>1224</v>
      </c>
    </row>
    <row r="890" customFormat="false" ht="15" hidden="false" customHeight="false" outlineLevel="0" collapsed="false">
      <c r="A890" s="81" t="s">
        <v>1533</v>
      </c>
      <c r="B890" s="82" t="n">
        <v>46135</v>
      </c>
      <c r="C890" s="81" t="s">
        <v>345</v>
      </c>
      <c r="D890" s="83" t="str">
        <f aca="false">IFERROR(INDEX(c_Name,MATCH($C890,c_ID,0)),"غير معرّف")</f>
        <v>عبدالله العنزي</v>
      </c>
      <c r="E890" s="83" t="str">
        <f aca="false">IFERROR(INDEX(c_Region,MATCH($C890,c_ID,0)),"غير معرّف")</f>
        <v>الغربية</v>
      </c>
      <c r="F890" s="81" t="s">
        <v>168</v>
      </c>
      <c r="G890" s="83" t="str">
        <f aca="false">IFERROR(INDEX(p_Name,MATCH($F890,p_ID,0)),"غير معرّف")</f>
        <v>مكنسة كهربائية</v>
      </c>
      <c r="H890" s="83" t="str">
        <f aca="false">IFERROR(INDEX(p_Cat,MATCH($F890,p_ID,0)),"غير معرّف")</f>
        <v>أجهزة منزلية</v>
      </c>
      <c r="I890" s="81" t="s">
        <v>452</v>
      </c>
      <c r="J890" s="81" t="s">
        <v>93</v>
      </c>
      <c r="K890" s="81" t="n">
        <v>1</v>
      </c>
      <c r="L890" s="84" t="n">
        <f aca="false">IFERROR(INDEX(p_Price,MATCH($F890,p_ID,0)),0)</f>
        <v>650</v>
      </c>
      <c r="M890" s="85" t="n">
        <v>0.1</v>
      </c>
      <c r="N890" s="81" t="s">
        <v>644</v>
      </c>
      <c r="O890" s="84" t="n">
        <f aca="false">IF($N890="مرتجع",0,K890*L890*(1-M890))</f>
        <v>585</v>
      </c>
      <c r="P890" s="84" t="n">
        <f aca="false">IF($N890="مرتجع",0,K890*IFERROR(INDEX(p_Cost,MATCH($F890,p_ID,0)),0))</f>
        <v>420</v>
      </c>
      <c r="Q890" s="84" t="n">
        <f aca="false">O890-P890</f>
        <v>165</v>
      </c>
      <c r="R890" s="86" t="n">
        <f aca="false">DATE(YEAR(B890),MONTH(B890),1)</f>
        <v>46113</v>
      </c>
      <c r="S890" s="83" t="str">
        <f aca="false">YEAR(B890)&amp;"-Q"&amp;ROUNDUP(MONTH(B890)/3,0)</f>
        <v>2026-Q2</v>
      </c>
      <c r="T890" s="87" t="n">
        <f aca="false">IF(O890&gt;0,Q890/O890,"")</f>
        <v>0.282051282051282</v>
      </c>
      <c r="U890" s="84" t="n">
        <f aca="false">IF(O890&gt;0,O890,"")</f>
        <v>585</v>
      </c>
    </row>
    <row r="891" customFormat="false" ht="15" hidden="false" customHeight="false" outlineLevel="0" collapsed="false">
      <c r="A891" s="81" t="s">
        <v>1534</v>
      </c>
      <c r="B891" s="82" t="n">
        <v>46135</v>
      </c>
      <c r="C891" s="81" t="s">
        <v>246</v>
      </c>
      <c r="D891" s="83" t="str">
        <f aca="false">IFERROR(INDEX(c_Name,MATCH($C891,c_ID,0)),"غير معرّف")</f>
        <v>ياسر العتيبي</v>
      </c>
      <c r="E891" s="83" t="str">
        <f aca="false">IFERROR(INDEX(c_Region,MATCH($C891,c_ID,0)),"غير معرّف")</f>
        <v>الجنوبية</v>
      </c>
      <c r="F891" s="81" t="s">
        <v>170</v>
      </c>
      <c r="G891" s="83" t="str">
        <f aca="false">IFERROR(INDEX(p_Name,MATCH($F891,p_ID,0)),"غير معرّف")</f>
        <v>مكيف نقال</v>
      </c>
      <c r="H891" s="83" t="str">
        <f aca="false">IFERROR(INDEX(p_Cat,MATCH($F891,p_ID,0)),"غير معرّف")</f>
        <v>أجهزة منزلية</v>
      </c>
      <c r="I891" s="81" t="s">
        <v>467</v>
      </c>
      <c r="J891" s="81" t="s">
        <v>93</v>
      </c>
      <c r="K891" s="81" t="n">
        <v>1</v>
      </c>
      <c r="L891" s="84" t="n">
        <f aca="false">IFERROR(INDEX(p_Price,MATCH($F891,p_ID,0)),0)</f>
        <v>1900</v>
      </c>
      <c r="M891" s="85" t="n">
        <v>0.15</v>
      </c>
      <c r="N891" s="81" t="s">
        <v>644</v>
      </c>
      <c r="O891" s="84" t="n">
        <f aca="false">IF($N891="مرتجع",0,K891*L891*(1-M891))</f>
        <v>1615</v>
      </c>
      <c r="P891" s="84" t="n">
        <f aca="false">IF($N891="مرتجع",0,K891*IFERROR(INDEX(p_Cost,MATCH($F891,p_ID,0)),0))</f>
        <v>1350</v>
      </c>
      <c r="Q891" s="84" t="n">
        <f aca="false">O891-P891</f>
        <v>265</v>
      </c>
      <c r="R891" s="86" t="n">
        <f aca="false">DATE(YEAR(B891),MONTH(B891),1)</f>
        <v>46113</v>
      </c>
      <c r="S891" s="83" t="str">
        <f aca="false">YEAR(B891)&amp;"-Q"&amp;ROUNDUP(MONTH(B891)/3,0)</f>
        <v>2026-Q2</v>
      </c>
      <c r="T891" s="87" t="n">
        <f aca="false">IF(O891&gt;0,Q891/O891,"")</f>
        <v>0.164086687306502</v>
      </c>
      <c r="U891" s="84" t="n">
        <f aca="false">IF(O891&gt;0,O891,"")</f>
        <v>1615</v>
      </c>
    </row>
    <row r="892" customFormat="false" ht="15" hidden="false" customHeight="false" outlineLevel="0" collapsed="false">
      <c r="A892" s="81" t="s">
        <v>1535</v>
      </c>
      <c r="B892" s="82" t="n">
        <v>46136</v>
      </c>
      <c r="C892" s="81" t="s">
        <v>369</v>
      </c>
      <c r="D892" s="83" t="str">
        <f aca="false">IFERROR(INDEX(c_Name,MATCH($C892,c_ID,0)),"غير معرّف")</f>
        <v>منى الغامدي</v>
      </c>
      <c r="E892" s="83" t="str">
        <f aca="false">IFERROR(INDEX(c_Region,MATCH($C892,c_ID,0)),"غير معرّف")</f>
        <v>الوسطى</v>
      </c>
      <c r="F892" s="81" t="s">
        <v>179</v>
      </c>
      <c r="G892" s="83" t="str">
        <f aca="false">IFERROR(INDEX(p_Name,MATCH($F892,p_ID,0)),"غير معرّف")</f>
        <v>طقم أدوات مكتبية</v>
      </c>
      <c r="H892" s="83" t="str">
        <f aca="false">IFERROR(INDEX(p_Cat,MATCH($F892,p_ID,0)),"غير معرّف")</f>
        <v>مستلزمات مكتبية</v>
      </c>
      <c r="I892" s="81" t="s">
        <v>449</v>
      </c>
      <c r="J892" s="81" t="s">
        <v>91</v>
      </c>
      <c r="K892" s="81" t="n">
        <v>8</v>
      </c>
      <c r="L892" s="84" t="n">
        <f aca="false">IFERROR(INDEX(p_Price,MATCH($F892,p_ID,0)),0)</f>
        <v>90</v>
      </c>
      <c r="M892" s="85" t="n">
        <v>0.05</v>
      </c>
      <c r="N892" s="81" t="s">
        <v>644</v>
      </c>
      <c r="O892" s="84" t="n">
        <f aca="false">IF($N892="مرتجع",0,K892*L892*(1-M892))</f>
        <v>684</v>
      </c>
      <c r="P892" s="84" t="n">
        <f aca="false">IF($N892="مرتجع",0,K892*IFERROR(INDEX(p_Cost,MATCH($F892,p_ID,0)),0))</f>
        <v>360</v>
      </c>
      <c r="Q892" s="84" t="n">
        <f aca="false">O892-P892</f>
        <v>324</v>
      </c>
      <c r="R892" s="86" t="n">
        <f aca="false">DATE(YEAR(B892),MONTH(B892),1)</f>
        <v>46113</v>
      </c>
      <c r="S892" s="83" t="str">
        <f aca="false">YEAR(B892)&amp;"-Q"&amp;ROUNDUP(MONTH(B892)/3,0)</f>
        <v>2026-Q2</v>
      </c>
      <c r="T892" s="87" t="n">
        <f aca="false">IF(O892&gt;0,Q892/O892,"")</f>
        <v>0.473684210526316</v>
      </c>
      <c r="U892" s="84" t="n">
        <f aca="false">IF(O892&gt;0,O892,"")</f>
        <v>684</v>
      </c>
    </row>
    <row r="893" customFormat="false" ht="15" hidden="false" customHeight="false" outlineLevel="0" collapsed="false">
      <c r="A893" s="81" t="s">
        <v>1536</v>
      </c>
      <c r="B893" s="82" t="n">
        <v>46136</v>
      </c>
      <c r="C893" s="81" t="s">
        <v>291</v>
      </c>
      <c r="D893" s="83" t="str">
        <f aca="false">IFERROR(INDEX(c_Name,MATCH($C893,c_ID,0)),"غير معرّف")</f>
        <v>ياسر الشمري</v>
      </c>
      <c r="E893" s="83" t="str">
        <f aca="false">IFERROR(INDEX(c_Region,MATCH($C893,c_ID,0)),"غير معرّف")</f>
        <v>الوسطى</v>
      </c>
      <c r="F893" s="81" t="s">
        <v>183</v>
      </c>
      <c r="G893" s="83" t="str">
        <f aca="false">IFERROR(INDEX(p_Name,MATCH($F893,p_ID,0)),"غير معرّف")</f>
        <v>سجادة يوغا</v>
      </c>
      <c r="H893" s="83" t="str">
        <f aca="false">IFERROR(INDEX(p_Cat,MATCH($F893,p_ID,0)),"غير معرّف")</f>
        <v>رياضة</v>
      </c>
      <c r="I893" s="81" t="s">
        <v>446</v>
      </c>
      <c r="J893" s="81" t="s">
        <v>91</v>
      </c>
      <c r="K893" s="81" t="n">
        <v>1</v>
      </c>
      <c r="L893" s="84" t="n">
        <f aca="false">IFERROR(INDEX(p_Price,MATCH($F893,p_ID,0)),0)</f>
        <v>120</v>
      </c>
      <c r="M893" s="85" t="n">
        <v>0.05</v>
      </c>
      <c r="N893" s="81" t="s">
        <v>644</v>
      </c>
      <c r="O893" s="84" t="n">
        <f aca="false">IF($N893="مرتجع",0,K893*L893*(1-M893))</f>
        <v>114</v>
      </c>
      <c r="P893" s="84" t="n">
        <f aca="false">IF($N893="مرتجع",0,K893*IFERROR(INDEX(p_Cost,MATCH($F893,p_ID,0)),0))</f>
        <v>50</v>
      </c>
      <c r="Q893" s="84" t="n">
        <f aca="false">O893-P893</f>
        <v>64</v>
      </c>
      <c r="R893" s="86" t="n">
        <f aca="false">DATE(YEAR(B893),MONTH(B893),1)</f>
        <v>46113</v>
      </c>
      <c r="S893" s="83" t="str">
        <f aca="false">YEAR(B893)&amp;"-Q"&amp;ROUNDUP(MONTH(B893)/3,0)</f>
        <v>2026-Q2</v>
      </c>
      <c r="T893" s="87" t="n">
        <f aca="false">IF(O893&gt;0,Q893/O893,"")</f>
        <v>0.56140350877193</v>
      </c>
      <c r="U893" s="84" t="n">
        <f aca="false">IF(O893&gt;0,O893,"")</f>
        <v>114</v>
      </c>
    </row>
    <row r="894" customFormat="false" ht="15" hidden="false" customHeight="false" outlineLevel="0" collapsed="false">
      <c r="A894" s="81" t="s">
        <v>1537</v>
      </c>
      <c r="B894" s="82" t="n">
        <v>46137</v>
      </c>
      <c r="C894" s="81" t="s">
        <v>331</v>
      </c>
      <c r="D894" s="83" t="str">
        <f aca="false">IFERROR(INDEX(c_Name,MATCH($C894,c_ID,0)),"غير معرّف")</f>
        <v>ليلى الخالدي</v>
      </c>
      <c r="E894" s="83" t="str">
        <f aca="false">IFERROR(INDEX(c_Region,MATCH($C894,c_ID,0)),"غير معرّف")</f>
        <v>الوسطى</v>
      </c>
      <c r="F894" s="81" t="s">
        <v>182</v>
      </c>
      <c r="G894" s="83" t="str">
        <f aca="false">IFERROR(INDEX(p_Name,MATCH($F894,p_ID,0)),"غير معرّف")</f>
        <v>طقم أوزان</v>
      </c>
      <c r="H894" s="83" t="str">
        <f aca="false">IFERROR(INDEX(p_Cat,MATCH($F894,p_ID,0)),"غير معرّف")</f>
        <v>رياضة</v>
      </c>
      <c r="I894" s="81" t="s">
        <v>449</v>
      </c>
      <c r="J894" s="81" t="s">
        <v>91</v>
      </c>
      <c r="K894" s="81" t="n">
        <v>2</v>
      </c>
      <c r="L894" s="84" t="n">
        <f aca="false">IFERROR(INDEX(p_Price,MATCH($F894,p_ID,0)),0)</f>
        <v>380</v>
      </c>
      <c r="M894" s="85" t="n">
        <v>0</v>
      </c>
      <c r="N894" s="81" t="s">
        <v>644</v>
      </c>
      <c r="O894" s="84" t="n">
        <f aca="false">IF($N894="مرتجع",0,K894*L894*(1-M894))</f>
        <v>760</v>
      </c>
      <c r="P894" s="84" t="n">
        <f aca="false">IF($N894="مرتجع",0,K894*IFERROR(INDEX(p_Cost,MATCH($F894,p_ID,0)),0))</f>
        <v>420</v>
      </c>
      <c r="Q894" s="84" t="n">
        <f aca="false">O894-P894</f>
        <v>340</v>
      </c>
      <c r="R894" s="86" t="n">
        <f aca="false">DATE(YEAR(B894),MONTH(B894),1)</f>
        <v>46113</v>
      </c>
      <c r="S894" s="83" t="str">
        <f aca="false">YEAR(B894)&amp;"-Q"&amp;ROUNDUP(MONTH(B894)/3,0)</f>
        <v>2026-Q2</v>
      </c>
      <c r="T894" s="87" t="n">
        <f aca="false">IF(O894&gt;0,Q894/O894,"")</f>
        <v>0.447368421052632</v>
      </c>
      <c r="U894" s="84" t="n">
        <f aca="false">IF(O894&gt;0,O894,"")</f>
        <v>760</v>
      </c>
    </row>
    <row r="895" customFormat="false" ht="15" hidden="false" customHeight="false" outlineLevel="0" collapsed="false">
      <c r="A895" s="81" t="s">
        <v>1538</v>
      </c>
      <c r="B895" s="82" t="n">
        <v>46137</v>
      </c>
      <c r="C895" s="81" t="s">
        <v>402</v>
      </c>
      <c r="D895" s="83" t="str">
        <f aca="false">IFERROR(INDEX(c_Name,MATCH($C895,c_ID,0)),"غير معرّف")</f>
        <v>أحمد القحطاني</v>
      </c>
      <c r="E895" s="83" t="str">
        <f aca="false">IFERROR(INDEX(c_Region,MATCH($C895,c_ID,0)),"غير معرّف")</f>
        <v>الوسطى</v>
      </c>
      <c r="F895" s="81" t="s">
        <v>170</v>
      </c>
      <c r="G895" s="83" t="str">
        <f aca="false">IFERROR(INDEX(p_Name,MATCH($F895,p_ID,0)),"غير معرّف")</f>
        <v>مكيف نقال</v>
      </c>
      <c r="H895" s="83" t="str">
        <f aca="false">IFERROR(INDEX(p_Cat,MATCH($F895,p_ID,0)),"غير معرّف")</f>
        <v>أجهزة منزلية</v>
      </c>
      <c r="I895" s="81" t="s">
        <v>443</v>
      </c>
      <c r="J895" s="81" t="s">
        <v>95</v>
      </c>
      <c r="K895" s="81" t="n">
        <v>6</v>
      </c>
      <c r="L895" s="84" t="n">
        <f aca="false">IFERROR(INDEX(p_Price,MATCH($F895,p_ID,0)),0)</f>
        <v>1900</v>
      </c>
      <c r="M895" s="85" t="n">
        <v>0.1</v>
      </c>
      <c r="N895" s="81" t="s">
        <v>644</v>
      </c>
      <c r="O895" s="84" t="n">
        <f aca="false">IF($N895="مرتجع",0,K895*L895*(1-M895))</f>
        <v>10260</v>
      </c>
      <c r="P895" s="84" t="n">
        <f aca="false">IF($N895="مرتجع",0,K895*IFERROR(INDEX(p_Cost,MATCH($F895,p_ID,0)),0))</f>
        <v>8100</v>
      </c>
      <c r="Q895" s="84" t="n">
        <f aca="false">O895-P895</f>
        <v>2160</v>
      </c>
      <c r="R895" s="86" t="n">
        <f aca="false">DATE(YEAR(B895),MONTH(B895),1)</f>
        <v>46113</v>
      </c>
      <c r="S895" s="83" t="str">
        <f aca="false">YEAR(B895)&amp;"-Q"&amp;ROUNDUP(MONTH(B895)/3,0)</f>
        <v>2026-Q2</v>
      </c>
      <c r="T895" s="87" t="n">
        <f aca="false">IF(O895&gt;0,Q895/O895,"")</f>
        <v>0.210526315789474</v>
      </c>
      <c r="U895" s="84" t="n">
        <f aca="false">IF(O895&gt;0,O895,"")</f>
        <v>10260</v>
      </c>
    </row>
    <row r="896" customFormat="false" ht="15" hidden="false" customHeight="false" outlineLevel="0" collapsed="false">
      <c r="A896" s="81" t="s">
        <v>1539</v>
      </c>
      <c r="B896" s="82" t="n">
        <v>46137</v>
      </c>
      <c r="C896" s="81" t="s">
        <v>292</v>
      </c>
      <c r="D896" s="83" t="str">
        <f aca="false">IFERROR(INDEX(c_Name,MATCH($C896,c_ID,0)),"غير معرّف")</f>
        <v>نورة المطيري</v>
      </c>
      <c r="E896" s="83" t="str">
        <f aca="false">IFERROR(INDEX(c_Region,MATCH($C896,c_ID,0)),"غير معرّف")</f>
        <v>الوسطى</v>
      </c>
      <c r="F896" s="81" t="s">
        <v>170</v>
      </c>
      <c r="G896" s="83" t="str">
        <f aca="false">IFERROR(INDEX(p_Name,MATCH($F896,p_ID,0)),"غير معرّف")</f>
        <v>مكيف نقال</v>
      </c>
      <c r="H896" s="83" t="str">
        <f aca="false">IFERROR(INDEX(p_Cat,MATCH($F896,p_ID,0)),"غير معرّف")</f>
        <v>أجهزة منزلية</v>
      </c>
      <c r="I896" s="81" t="s">
        <v>449</v>
      </c>
      <c r="J896" s="81" t="s">
        <v>91</v>
      </c>
      <c r="K896" s="81" t="n">
        <v>1</v>
      </c>
      <c r="L896" s="84" t="n">
        <f aca="false">IFERROR(INDEX(p_Price,MATCH($F896,p_ID,0)),0)</f>
        <v>1900</v>
      </c>
      <c r="M896" s="85" t="n">
        <v>0.1</v>
      </c>
      <c r="N896" s="81" t="s">
        <v>644</v>
      </c>
      <c r="O896" s="84" t="n">
        <f aca="false">IF($N896="مرتجع",0,K896*L896*(1-M896))</f>
        <v>1710</v>
      </c>
      <c r="P896" s="84" t="n">
        <f aca="false">IF($N896="مرتجع",0,K896*IFERROR(INDEX(p_Cost,MATCH($F896,p_ID,0)),0))</f>
        <v>1350</v>
      </c>
      <c r="Q896" s="84" t="n">
        <f aca="false">O896-P896</f>
        <v>360</v>
      </c>
      <c r="R896" s="86" t="n">
        <f aca="false">DATE(YEAR(B896),MONTH(B896),1)</f>
        <v>46113</v>
      </c>
      <c r="S896" s="83" t="str">
        <f aca="false">YEAR(B896)&amp;"-Q"&amp;ROUNDUP(MONTH(B896)/3,0)</f>
        <v>2026-Q2</v>
      </c>
      <c r="T896" s="87" t="n">
        <f aca="false">IF(O896&gt;0,Q896/O896,"")</f>
        <v>0.210526315789474</v>
      </c>
      <c r="U896" s="84" t="n">
        <f aca="false">IF(O896&gt;0,O896,"")</f>
        <v>1710</v>
      </c>
    </row>
    <row r="897" customFormat="false" ht="15" hidden="false" customHeight="false" outlineLevel="0" collapsed="false">
      <c r="A897" s="81" t="s">
        <v>1540</v>
      </c>
      <c r="B897" s="82" t="n">
        <v>46137</v>
      </c>
      <c r="C897" s="81" t="s">
        <v>273</v>
      </c>
      <c r="D897" s="83" t="str">
        <f aca="false">IFERROR(INDEX(c_Name,MATCH($C897,c_ID,0)),"غير معرّف")</f>
        <v>سلمان التميمي</v>
      </c>
      <c r="E897" s="83" t="str">
        <f aca="false">IFERROR(INDEX(c_Region,MATCH($C897,c_ID,0)),"غير معرّف")</f>
        <v>الشرقية</v>
      </c>
      <c r="F897" s="81" t="s">
        <v>167</v>
      </c>
      <c r="G897" s="83" t="str">
        <f aca="false">IFERROR(INDEX(p_Name,MATCH($F897,p_ID,0)),"غير معرّف")</f>
        <v>شاشة 27 بوصة</v>
      </c>
      <c r="H897" s="83" t="str">
        <f aca="false">IFERROR(INDEX(p_Cat,MATCH($F897,p_ID,0)),"غير معرّف")</f>
        <v>إلكترونيات</v>
      </c>
      <c r="I897" s="81" t="s">
        <v>461</v>
      </c>
      <c r="J897" s="81" t="s">
        <v>93</v>
      </c>
      <c r="K897" s="81" t="n">
        <v>1</v>
      </c>
      <c r="L897" s="84" t="n">
        <f aca="false">IFERROR(INDEX(p_Price,MATCH($F897,p_ID,0)),0)</f>
        <v>1100</v>
      </c>
      <c r="M897" s="85" t="n">
        <v>0.1</v>
      </c>
      <c r="N897" s="81" t="s">
        <v>644</v>
      </c>
      <c r="O897" s="84" t="n">
        <f aca="false">IF($N897="مرتجع",0,K897*L897*(1-M897))</f>
        <v>990</v>
      </c>
      <c r="P897" s="84" t="n">
        <f aca="false">IF($N897="مرتجع",0,K897*IFERROR(INDEX(p_Cost,MATCH($F897,p_ID,0)),0))</f>
        <v>780</v>
      </c>
      <c r="Q897" s="84" t="n">
        <f aca="false">O897-P897</f>
        <v>210</v>
      </c>
      <c r="R897" s="86" t="n">
        <f aca="false">DATE(YEAR(B897),MONTH(B897),1)</f>
        <v>46113</v>
      </c>
      <c r="S897" s="83" t="str">
        <f aca="false">YEAR(B897)&amp;"-Q"&amp;ROUNDUP(MONTH(B897)/3,0)</f>
        <v>2026-Q2</v>
      </c>
      <c r="T897" s="87" t="n">
        <f aca="false">IF(O897&gt;0,Q897/O897,"")</f>
        <v>0.212121212121212</v>
      </c>
      <c r="U897" s="84" t="n">
        <f aca="false">IF(O897&gt;0,O897,"")</f>
        <v>990</v>
      </c>
    </row>
    <row r="898" customFormat="false" ht="15" hidden="false" customHeight="false" outlineLevel="0" collapsed="false">
      <c r="A898" s="81" t="s">
        <v>1541</v>
      </c>
      <c r="B898" s="82" t="n">
        <v>46137</v>
      </c>
      <c r="C898" s="81" t="s">
        <v>329</v>
      </c>
      <c r="D898" s="83" t="str">
        <f aca="false">IFERROR(INDEX(c_Name,MATCH($C898,c_ID,0)),"غير معرّف")</f>
        <v>فهد القحطاني</v>
      </c>
      <c r="E898" s="83" t="str">
        <f aca="false">IFERROR(INDEX(c_Region,MATCH($C898,c_ID,0)),"غير معرّف")</f>
        <v>الغربية</v>
      </c>
      <c r="F898" s="81" t="s">
        <v>177</v>
      </c>
      <c r="G898" s="83" t="str">
        <f aca="false">IFERROR(INDEX(p_Name,MATCH($F898,p_ID,0)),"غير معرّف")</f>
        <v>ورق A4 (صندوق)</v>
      </c>
      <c r="H898" s="83" t="str">
        <f aca="false">IFERROR(INDEX(p_Cat,MATCH($F898,p_ID,0)),"غير معرّف")</f>
        <v>مستلزمات مكتبية</v>
      </c>
      <c r="I898" s="81" t="s">
        <v>455</v>
      </c>
      <c r="J898" s="81" t="s">
        <v>91</v>
      </c>
      <c r="K898" s="81" t="n">
        <v>8</v>
      </c>
      <c r="L898" s="84" t="n">
        <f aca="false">IFERROR(INDEX(p_Price,MATCH($F898,p_ID,0)),0)</f>
        <v>140</v>
      </c>
      <c r="M898" s="85" t="n">
        <v>0.05</v>
      </c>
      <c r="N898" s="81" t="s">
        <v>644</v>
      </c>
      <c r="O898" s="84" t="n">
        <f aca="false">IF($N898="مرتجع",0,K898*L898*(1-M898))</f>
        <v>1064</v>
      </c>
      <c r="P898" s="84" t="n">
        <f aca="false">IF($N898="مرتجع",0,K898*IFERROR(INDEX(p_Cost,MATCH($F898,p_ID,0)),0))</f>
        <v>760</v>
      </c>
      <c r="Q898" s="84" t="n">
        <f aca="false">O898-P898</f>
        <v>304</v>
      </c>
      <c r="R898" s="86" t="n">
        <f aca="false">DATE(YEAR(B898),MONTH(B898),1)</f>
        <v>46113</v>
      </c>
      <c r="S898" s="83" t="str">
        <f aca="false">YEAR(B898)&amp;"-Q"&amp;ROUNDUP(MONTH(B898)/3,0)</f>
        <v>2026-Q2</v>
      </c>
      <c r="T898" s="87" t="n">
        <f aca="false">IF(O898&gt;0,Q898/O898,"")</f>
        <v>0.285714285714286</v>
      </c>
      <c r="U898" s="84" t="n">
        <f aca="false">IF(O898&gt;0,O898,"")</f>
        <v>1064</v>
      </c>
    </row>
    <row r="899" customFormat="false" ht="15" hidden="false" customHeight="false" outlineLevel="0" collapsed="false">
      <c r="A899" s="81" t="s">
        <v>1542</v>
      </c>
      <c r="B899" s="82" t="n">
        <v>46138</v>
      </c>
      <c r="C899" s="81" t="s">
        <v>421</v>
      </c>
      <c r="D899" s="83" t="str">
        <f aca="false">IFERROR(INDEX(c_Name,MATCH($C899,c_ID,0)),"غير معرّف")</f>
        <v>نورة الخالدي</v>
      </c>
      <c r="E899" s="83" t="str">
        <f aca="false">IFERROR(INDEX(c_Region,MATCH($C899,c_ID,0)),"غير معرّف")</f>
        <v>الجنوبية</v>
      </c>
      <c r="F899" s="81" t="s">
        <v>184</v>
      </c>
      <c r="G899" s="83" t="str">
        <f aca="false">IFERROR(INDEX(p_Name,MATCH($F899,p_ID,0)),"غير معرّف")</f>
        <v>عطر فاخر</v>
      </c>
      <c r="H899" s="83" t="str">
        <f aca="false">IFERROR(INDEX(p_Cat,MATCH($F899,p_ID,0)),"غير معرّف")</f>
        <v>عناية شخصية</v>
      </c>
      <c r="I899" s="81" t="s">
        <v>465</v>
      </c>
      <c r="J899" s="81" t="s">
        <v>93</v>
      </c>
      <c r="K899" s="81" t="n">
        <v>3</v>
      </c>
      <c r="L899" s="84" t="n">
        <f aca="false">IFERROR(INDEX(p_Price,MATCH($F899,p_ID,0)),0)</f>
        <v>520</v>
      </c>
      <c r="M899" s="85" t="n">
        <v>0.05</v>
      </c>
      <c r="N899" s="81" t="s">
        <v>644</v>
      </c>
      <c r="O899" s="84" t="n">
        <f aca="false">IF($N899="مرتجع",0,K899*L899*(1-M899))</f>
        <v>1482</v>
      </c>
      <c r="P899" s="84" t="n">
        <f aca="false">IF($N899="مرتجع",0,K899*IFERROR(INDEX(p_Cost,MATCH($F899,p_ID,0)),0))</f>
        <v>630</v>
      </c>
      <c r="Q899" s="84" t="n">
        <f aca="false">O899-P899</f>
        <v>852</v>
      </c>
      <c r="R899" s="86" t="n">
        <f aca="false">DATE(YEAR(B899),MONTH(B899),1)</f>
        <v>46113</v>
      </c>
      <c r="S899" s="83" t="str">
        <f aca="false">YEAR(B899)&amp;"-Q"&amp;ROUNDUP(MONTH(B899)/3,0)</f>
        <v>2026-Q2</v>
      </c>
      <c r="T899" s="87" t="n">
        <f aca="false">IF(O899&gt;0,Q899/O899,"")</f>
        <v>0.574898785425101</v>
      </c>
      <c r="U899" s="84" t="n">
        <f aca="false">IF(O899&gt;0,O899,"")</f>
        <v>1482</v>
      </c>
    </row>
    <row r="900" customFormat="false" ht="15" hidden="false" customHeight="false" outlineLevel="0" collapsed="false">
      <c r="A900" s="81" t="s">
        <v>1543</v>
      </c>
      <c r="B900" s="82" t="n">
        <v>46138</v>
      </c>
      <c r="C900" s="81" t="s">
        <v>306</v>
      </c>
      <c r="D900" s="83" t="str">
        <f aca="false">IFERROR(INDEX(c_Name,MATCH($C900,c_ID,0)),"غير معرّف")</f>
        <v>أحمد العنزي</v>
      </c>
      <c r="E900" s="83" t="str">
        <f aca="false">IFERROR(INDEX(c_Region,MATCH($C900,c_ID,0)),"غير معرّف")</f>
        <v>الغربية</v>
      </c>
      <c r="F900" s="81" t="s">
        <v>179</v>
      </c>
      <c r="G900" s="83" t="str">
        <f aca="false">IFERROR(INDEX(p_Name,MATCH($F900,p_ID,0)),"غير معرّف")</f>
        <v>طقم أدوات مكتبية</v>
      </c>
      <c r="H900" s="83" t="str">
        <f aca="false">IFERROR(INDEX(p_Cat,MATCH($F900,p_ID,0)),"غير معرّف")</f>
        <v>مستلزمات مكتبية</v>
      </c>
      <c r="I900" s="81" t="s">
        <v>458</v>
      </c>
      <c r="J900" s="81" t="s">
        <v>91</v>
      </c>
      <c r="K900" s="81" t="n">
        <v>8</v>
      </c>
      <c r="L900" s="84" t="n">
        <f aca="false">IFERROR(INDEX(p_Price,MATCH($F900,p_ID,0)),0)</f>
        <v>90</v>
      </c>
      <c r="M900" s="85" t="n">
        <v>0.15</v>
      </c>
      <c r="N900" s="81" t="s">
        <v>644</v>
      </c>
      <c r="O900" s="84" t="n">
        <f aca="false">IF($N900="مرتجع",0,K900*L900*(1-M900))</f>
        <v>612</v>
      </c>
      <c r="P900" s="84" t="n">
        <f aca="false">IF($N900="مرتجع",0,K900*IFERROR(INDEX(p_Cost,MATCH($F900,p_ID,0)),0))</f>
        <v>360</v>
      </c>
      <c r="Q900" s="84" t="n">
        <f aca="false">O900-P900</f>
        <v>252</v>
      </c>
      <c r="R900" s="86" t="n">
        <f aca="false">DATE(YEAR(B900),MONTH(B900),1)</f>
        <v>46113</v>
      </c>
      <c r="S900" s="83" t="str">
        <f aca="false">YEAR(B900)&amp;"-Q"&amp;ROUNDUP(MONTH(B900)/3,0)</f>
        <v>2026-Q2</v>
      </c>
      <c r="T900" s="87" t="n">
        <f aca="false">IF(O900&gt;0,Q900/O900,"")</f>
        <v>0.411764705882353</v>
      </c>
      <c r="U900" s="84" t="n">
        <f aca="false">IF(O900&gt;0,O900,"")</f>
        <v>612</v>
      </c>
    </row>
    <row r="901" customFormat="false" ht="15" hidden="false" customHeight="false" outlineLevel="0" collapsed="false">
      <c r="A901" s="81" t="s">
        <v>1544</v>
      </c>
      <c r="B901" s="82" t="n">
        <v>46138</v>
      </c>
      <c r="C901" s="81" t="s">
        <v>357</v>
      </c>
      <c r="D901" s="83" t="str">
        <f aca="false">IFERROR(INDEX(c_Name,MATCH($C901,c_ID,0)),"غير معرّف")</f>
        <v>منى الحربي</v>
      </c>
      <c r="E901" s="83" t="str">
        <f aca="false">IFERROR(INDEX(c_Region,MATCH($C901,c_ID,0)),"غير معرّف")</f>
        <v>الوسطى</v>
      </c>
      <c r="F901" s="81" t="s">
        <v>168</v>
      </c>
      <c r="G901" s="83" t="str">
        <f aca="false">IFERROR(INDEX(p_Name,MATCH($F901,p_ID,0)),"غير معرّف")</f>
        <v>مكنسة كهربائية</v>
      </c>
      <c r="H901" s="83" t="str">
        <f aca="false">IFERROR(INDEX(p_Cat,MATCH($F901,p_ID,0)),"غير معرّف")</f>
        <v>أجهزة منزلية</v>
      </c>
      <c r="I901" s="81" t="s">
        <v>443</v>
      </c>
      <c r="J901" s="81" t="s">
        <v>91</v>
      </c>
      <c r="K901" s="81" t="n">
        <v>3</v>
      </c>
      <c r="L901" s="84" t="n">
        <f aca="false">IFERROR(INDEX(p_Price,MATCH($F901,p_ID,0)),0)</f>
        <v>650</v>
      </c>
      <c r="M901" s="85" t="n">
        <v>0</v>
      </c>
      <c r="N901" s="81" t="s">
        <v>644</v>
      </c>
      <c r="O901" s="84" t="n">
        <f aca="false">IF($N901="مرتجع",0,K901*L901*(1-M901))</f>
        <v>1950</v>
      </c>
      <c r="P901" s="84" t="n">
        <f aca="false">IF($N901="مرتجع",0,K901*IFERROR(INDEX(p_Cost,MATCH($F901,p_ID,0)),0))</f>
        <v>1260</v>
      </c>
      <c r="Q901" s="84" t="n">
        <f aca="false">O901-P901</f>
        <v>690</v>
      </c>
      <c r="R901" s="86" t="n">
        <f aca="false">DATE(YEAR(B901),MONTH(B901),1)</f>
        <v>46113</v>
      </c>
      <c r="S901" s="83" t="str">
        <f aca="false">YEAR(B901)&amp;"-Q"&amp;ROUNDUP(MONTH(B901)/3,0)</f>
        <v>2026-Q2</v>
      </c>
      <c r="T901" s="87" t="n">
        <f aca="false">IF(O901&gt;0,Q901/O901,"")</f>
        <v>0.353846153846154</v>
      </c>
      <c r="U901" s="84" t="n">
        <f aca="false">IF(O901&gt;0,O901,"")</f>
        <v>1950</v>
      </c>
    </row>
    <row r="902" customFormat="false" ht="15" hidden="false" customHeight="false" outlineLevel="0" collapsed="false">
      <c r="A902" s="81" t="s">
        <v>1545</v>
      </c>
      <c r="B902" s="82" t="n">
        <v>46138</v>
      </c>
      <c r="C902" s="81" t="s">
        <v>236</v>
      </c>
      <c r="D902" s="83" t="str">
        <f aca="false">IFERROR(INDEX(c_Name,MATCH($C902,c_ID,0)),"غير معرّف")</f>
        <v>ناصر البلوي</v>
      </c>
      <c r="E902" s="83" t="str">
        <f aca="false">IFERROR(INDEX(c_Region,MATCH($C902,c_ID,0)),"غير معرّف")</f>
        <v>الوسطى</v>
      </c>
      <c r="F902" s="81" t="s">
        <v>166</v>
      </c>
      <c r="G902" s="83" t="str">
        <f aca="false">IFERROR(INDEX(p_Name,MATCH($F902,p_ID,0)),"غير معرّف")</f>
        <v>سماعات لاسلكية</v>
      </c>
      <c r="H902" s="83" t="str">
        <f aca="false">IFERROR(INDEX(p_Cat,MATCH($F902,p_ID,0)),"غير معرّف")</f>
        <v>إلكترونيات</v>
      </c>
      <c r="I902" s="81" t="s">
        <v>443</v>
      </c>
      <c r="J902" s="81" t="s">
        <v>93</v>
      </c>
      <c r="K902" s="81" t="n">
        <v>1</v>
      </c>
      <c r="L902" s="84" t="n">
        <f aca="false">IFERROR(INDEX(p_Price,MATCH($F902,p_ID,0)),0)</f>
        <v>450</v>
      </c>
      <c r="M902" s="85" t="n">
        <v>0.05</v>
      </c>
      <c r="N902" s="81" t="s">
        <v>644</v>
      </c>
      <c r="O902" s="84" t="n">
        <f aca="false">IF($N902="مرتجع",0,K902*L902*(1-M902))</f>
        <v>427.5</v>
      </c>
      <c r="P902" s="84" t="n">
        <f aca="false">IF($N902="مرتجع",0,K902*IFERROR(INDEX(p_Cost,MATCH($F902,p_ID,0)),0))</f>
        <v>260</v>
      </c>
      <c r="Q902" s="84" t="n">
        <f aca="false">O902-P902</f>
        <v>167.5</v>
      </c>
      <c r="R902" s="86" t="n">
        <f aca="false">DATE(YEAR(B902),MONTH(B902),1)</f>
        <v>46113</v>
      </c>
      <c r="S902" s="83" t="str">
        <f aca="false">YEAR(B902)&amp;"-Q"&amp;ROUNDUP(MONTH(B902)/3,0)</f>
        <v>2026-Q2</v>
      </c>
      <c r="T902" s="87" t="n">
        <f aca="false">IF(O902&gt;0,Q902/O902,"")</f>
        <v>0.391812865497076</v>
      </c>
      <c r="U902" s="84" t="n">
        <f aca="false">IF(O902&gt;0,O902,"")</f>
        <v>427.5</v>
      </c>
    </row>
    <row r="903" customFormat="false" ht="15" hidden="false" customHeight="false" outlineLevel="0" collapsed="false">
      <c r="A903" s="81" t="s">
        <v>1546</v>
      </c>
      <c r="B903" s="82" t="n">
        <v>46139</v>
      </c>
      <c r="C903" s="81" t="s">
        <v>430</v>
      </c>
      <c r="D903" s="83" t="str">
        <f aca="false">IFERROR(INDEX(c_Name,MATCH($C903,c_ID,0)),"غير معرّف")</f>
        <v>ليلى الحربي</v>
      </c>
      <c r="E903" s="83" t="str">
        <f aca="false">IFERROR(INDEX(c_Region,MATCH($C903,c_ID,0)),"غير معرّف")</f>
        <v>الجنوبية</v>
      </c>
      <c r="F903" s="81" t="s">
        <v>173</v>
      </c>
      <c r="G903" s="83" t="str">
        <f aca="false">IFERROR(INDEX(p_Name,MATCH($F903,p_ID,0)),"غير معرّف")</f>
        <v>كرسي مريح</v>
      </c>
      <c r="H903" s="83" t="str">
        <f aca="false">IFERROR(INDEX(p_Cat,MATCH($F903,p_ID,0)),"غير معرّف")</f>
        <v>أثاث</v>
      </c>
      <c r="I903" s="81" t="s">
        <v>467</v>
      </c>
      <c r="J903" s="81" t="s">
        <v>93</v>
      </c>
      <c r="K903" s="81" t="n">
        <v>2</v>
      </c>
      <c r="L903" s="84" t="n">
        <f aca="false">IFERROR(INDEX(p_Price,MATCH($F903,p_ID,0)),0)</f>
        <v>850</v>
      </c>
      <c r="M903" s="85" t="n">
        <v>0.05</v>
      </c>
      <c r="N903" s="81" t="s">
        <v>644</v>
      </c>
      <c r="O903" s="84" t="n">
        <f aca="false">IF($N903="مرتجع",0,K903*L903*(1-M903))</f>
        <v>1615</v>
      </c>
      <c r="P903" s="84" t="n">
        <f aca="false">IF($N903="مرتجع",0,K903*IFERROR(INDEX(p_Cost,MATCH($F903,p_ID,0)),0))</f>
        <v>960</v>
      </c>
      <c r="Q903" s="84" t="n">
        <f aca="false">O903-P903</f>
        <v>655</v>
      </c>
      <c r="R903" s="86" t="n">
        <f aca="false">DATE(YEAR(B903),MONTH(B903),1)</f>
        <v>46113</v>
      </c>
      <c r="S903" s="83" t="str">
        <f aca="false">YEAR(B903)&amp;"-Q"&amp;ROUNDUP(MONTH(B903)/3,0)</f>
        <v>2026-Q2</v>
      </c>
      <c r="T903" s="87" t="n">
        <f aca="false">IF(O903&gt;0,Q903/O903,"")</f>
        <v>0.405572755417957</v>
      </c>
      <c r="U903" s="84" t="n">
        <f aca="false">IF(O903&gt;0,O903,"")</f>
        <v>1615</v>
      </c>
    </row>
    <row r="904" customFormat="false" ht="15" hidden="false" customHeight="false" outlineLevel="0" collapsed="false">
      <c r="A904" s="81" t="s">
        <v>1547</v>
      </c>
      <c r="B904" s="82" t="n">
        <v>46139</v>
      </c>
      <c r="C904" s="81" t="s">
        <v>369</v>
      </c>
      <c r="D904" s="83" t="str">
        <f aca="false">IFERROR(INDEX(c_Name,MATCH($C904,c_ID,0)),"غير معرّف")</f>
        <v>منى الغامدي</v>
      </c>
      <c r="E904" s="83" t="str">
        <f aca="false">IFERROR(INDEX(c_Region,MATCH($C904,c_ID,0)),"غير معرّف")</f>
        <v>الوسطى</v>
      </c>
      <c r="F904" s="81" t="s">
        <v>178</v>
      </c>
      <c r="G904" s="83" t="str">
        <f aca="false">IFERROR(INDEX(p_Name,MATCH($F904,p_ID,0)),"غير معرّف")</f>
        <v>حقيبة لابتوب</v>
      </c>
      <c r="H904" s="83" t="str">
        <f aca="false">IFERROR(INDEX(p_Cat,MATCH($F904,p_ID,0)),"غير معرّف")</f>
        <v>مستلزمات مكتبية</v>
      </c>
      <c r="I904" s="81" t="s">
        <v>449</v>
      </c>
      <c r="J904" s="81" t="s">
        <v>93</v>
      </c>
      <c r="K904" s="81" t="n">
        <v>3</v>
      </c>
      <c r="L904" s="84" t="n">
        <f aca="false">IFERROR(INDEX(p_Price,MATCH($F904,p_ID,0)),0)</f>
        <v>260</v>
      </c>
      <c r="M904" s="85" t="n">
        <v>0.05</v>
      </c>
      <c r="N904" s="81" t="s">
        <v>644</v>
      </c>
      <c r="O904" s="84" t="n">
        <f aca="false">IF($N904="مرتجع",0,K904*L904*(1-M904))</f>
        <v>741</v>
      </c>
      <c r="P904" s="84" t="n">
        <f aca="false">IF($N904="مرتجع",0,K904*IFERROR(INDEX(p_Cost,MATCH($F904,p_ID,0)),0))</f>
        <v>360</v>
      </c>
      <c r="Q904" s="84" t="n">
        <f aca="false">O904-P904</f>
        <v>381</v>
      </c>
      <c r="R904" s="86" t="n">
        <f aca="false">DATE(YEAR(B904),MONTH(B904),1)</f>
        <v>46113</v>
      </c>
      <c r="S904" s="83" t="str">
        <f aca="false">YEAR(B904)&amp;"-Q"&amp;ROUNDUP(MONTH(B904)/3,0)</f>
        <v>2026-Q2</v>
      </c>
      <c r="T904" s="87" t="n">
        <f aca="false">IF(O904&gt;0,Q904/O904,"")</f>
        <v>0.51417004048583</v>
      </c>
      <c r="U904" s="84" t="n">
        <f aca="false">IF(O904&gt;0,O904,"")</f>
        <v>741</v>
      </c>
    </row>
    <row r="905" customFormat="false" ht="15" hidden="false" customHeight="false" outlineLevel="0" collapsed="false">
      <c r="A905" s="81" t="s">
        <v>1548</v>
      </c>
      <c r="B905" s="82" t="n">
        <v>46139</v>
      </c>
      <c r="C905" s="81" t="s">
        <v>423</v>
      </c>
      <c r="D905" s="83" t="str">
        <f aca="false">IFERROR(INDEX(c_Name,MATCH($C905,c_ID,0)),"غير معرّف")</f>
        <v>ناصر المطيري</v>
      </c>
      <c r="E905" s="83" t="str">
        <f aca="false">IFERROR(INDEX(c_Region,MATCH($C905,c_ID,0)),"غير معرّف")</f>
        <v>الغربية</v>
      </c>
      <c r="F905" s="81" t="s">
        <v>168</v>
      </c>
      <c r="G905" s="83" t="str">
        <f aca="false">IFERROR(INDEX(p_Name,MATCH($F905,p_ID,0)),"غير معرّف")</f>
        <v>مكنسة كهربائية</v>
      </c>
      <c r="H905" s="83" t="str">
        <f aca="false">IFERROR(INDEX(p_Cat,MATCH($F905,p_ID,0)),"غير معرّف")</f>
        <v>أجهزة منزلية</v>
      </c>
      <c r="I905" s="81" t="s">
        <v>455</v>
      </c>
      <c r="J905" s="81" t="s">
        <v>93</v>
      </c>
      <c r="K905" s="81" t="n">
        <v>3</v>
      </c>
      <c r="L905" s="84" t="n">
        <f aca="false">IFERROR(INDEX(p_Price,MATCH($F905,p_ID,0)),0)</f>
        <v>650</v>
      </c>
      <c r="M905" s="85" t="n">
        <v>0</v>
      </c>
      <c r="N905" s="81" t="s">
        <v>644</v>
      </c>
      <c r="O905" s="84" t="n">
        <f aca="false">IF($N905="مرتجع",0,K905*L905*(1-M905))</f>
        <v>1950</v>
      </c>
      <c r="P905" s="84" t="n">
        <f aca="false">IF($N905="مرتجع",0,K905*IFERROR(INDEX(p_Cost,MATCH($F905,p_ID,0)),0))</f>
        <v>1260</v>
      </c>
      <c r="Q905" s="84" t="n">
        <f aca="false">O905-P905</f>
        <v>690</v>
      </c>
      <c r="R905" s="86" t="n">
        <f aca="false">DATE(YEAR(B905),MONTH(B905),1)</f>
        <v>46113</v>
      </c>
      <c r="S905" s="83" t="str">
        <f aca="false">YEAR(B905)&amp;"-Q"&amp;ROUNDUP(MONTH(B905)/3,0)</f>
        <v>2026-Q2</v>
      </c>
      <c r="T905" s="87" t="n">
        <f aca="false">IF(O905&gt;0,Q905/O905,"")</f>
        <v>0.353846153846154</v>
      </c>
      <c r="U905" s="84" t="n">
        <f aca="false">IF(O905&gt;0,O905,"")</f>
        <v>1950</v>
      </c>
    </row>
    <row r="906" customFormat="false" ht="15" hidden="false" customHeight="false" outlineLevel="0" collapsed="false">
      <c r="A906" s="81" t="s">
        <v>1549</v>
      </c>
      <c r="B906" s="82" t="n">
        <v>46139</v>
      </c>
      <c r="C906" s="81" t="s">
        <v>247</v>
      </c>
      <c r="D906" s="83" t="str">
        <f aca="false">IFERROR(INDEX(c_Name,MATCH($C906,c_ID,0)),"غير معرّف")</f>
        <v>لمى الخالدي</v>
      </c>
      <c r="E906" s="83" t="str">
        <f aca="false">IFERROR(INDEX(c_Region,MATCH($C906,c_ID,0)),"غير معرّف")</f>
        <v>الوسطى</v>
      </c>
      <c r="F906" s="81" t="s">
        <v>168</v>
      </c>
      <c r="G906" s="83" t="str">
        <f aca="false">IFERROR(INDEX(p_Name,MATCH($F906,p_ID,0)),"غير معرّف")</f>
        <v>مكنسة كهربائية</v>
      </c>
      <c r="H906" s="83" t="str">
        <f aca="false">IFERROR(INDEX(p_Cat,MATCH($F906,p_ID,0)),"غير معرّف")</f>
        <v>أجهزة منزلية</v>
      </c>
      <c r="I906" s="81" t="s">
        <v>443</v>
      </c>
      <c r="J906" s="81" t="s">
        <v>91</v>
      </c>
      <c r="K906" s="81" t="n">
        <v>2</v>
      </c>
      <c r="L906" s="84" t="n">
        <f aca="false">IFERROR(INDEX(p_Price,MATCH($F906,p_ID,0)),0)</f>
        <v>650</v>
      </c>
      <c r="M906" s="85" t="n">
        <v>0.15</v>
      </c>
      <c r="N906" s="81" t="s">
        <v>644</v>
      </c>
      <c r="O906" s="84" t="n">
        <f aca="false">IF($N906="مرتجع",0,K906*L906*(1-M906))</f>
        <v>1105</v>
      </c>
      <c r="P906" s="84" t="n">
        <f aca="false">IF($N906="مرتجع",0,K906*IFERROR(INDEX(p_Cost,MATCH($F906,p_ID,0)),0))</f>
        <v>840</v>
      </c>
      <c r="Q906" s="84" t="n">
        <f aca="false">O906-P906</f>
        <v>265</v>
      </c>
      <c r="R906" s="86" t="n">
        <f aca="false">DATE(YEAR(B906),MONTH(B906),1)</f>
        <v>46113</v>
      </c>
      <c r="S906" s="83" t="str">
        <f aca="false">YEAR(B906)&amp;"-Q"&amp;ROUNDUP(MONTH(B906)/3,0)</f>
        <v>2026-Q2</v>
      </c>
      <c r="T906" s="87" t="n">
        <f aca="false">IF(O906&gt;0,Q906/O906,"")</f>
        <v>0.239819004524887</v>
      </c>
      <c r="U906" s="84" t="n">
        <f aca="false">IF(O906&gt;0,O906,"")</f>
        <v>1105</v>
      </c>
    </row>
    <row r="907" customFormat="false" ht="15" hidden="false" customHeight="false" outlineLevel="0" collapsed="false">
      <c r="A907" s="81" t="s">
        <v>1550</v>
      </c>
      <c r="B907" s="82" t="n">
        <v>46140</v>
      </c>
      <c r="C907" s="81" t="s">
        <v>361</v>
      </c>
      <c r="D907" s="83" t="str">
        <f aca="false">IFERROR(INDEX(c_Name,MATCH($C907,c_ID,0)),"غير معرّف")</f>
        <v>دانة المطيري</v>
      </c>
      <c r="E907" s="83" t="str">
        <f aca="false">IFERROR(INDEX(c_Region,MATCH($C907,c_ID,0)),"غير معرّف")</f>
        <v>الشرقية</v>
      </c>
      <c r="F907" s="81" t="s">
        <v>177</v>
      </c>
      <c r="G907" s="83" t="str">
        <f aca="false">IFERROR(INDEX(p_Name,MATCH($F907,p_ID,0)),"غير معرّف")</f>
        <v>ورق A4 (صندوق)</v>
      </c>
      <c r="H907" s="83" t="str">
        <f aca="false">IFERROR(INDEX(p_Cat,MATCH($F907,p_ID,0)),"غير معرّف")</f>
        <v>مستلزمات مكتبية</v>
      </c>
      <c r="I907" s="81" t="s">
        <v>461</v>
      </c>
      <c r="J907" s="81" t="s">
        <v>91</v>
      </c>
      <c r="K907" s="81" t="n">
        <v>1</v>
      </c>
      <c r="L907" s="84" t="n">
        <f aca="false">IFERROR(INDEX(p_Price,MATCH($F907,p_ID,0)),0)</f>
        <v>140</v>
      </c>
      <c r="M907" s="85" t="n">
        <v>0.05</v>
      </c>
      <c r="N907" s="81" t="s">
        <v>644</v>
      </c>
      <c r="O907" s="84" t="n">
        <f aca="false">IF($N907="مرتجع",0,K907*L907*(1-M907))</f>
        <v>133</v>
      </c>
      <c r="P907" s="84" t="n">
        <f aca="false">IF($N907="مرتجع",0,K907*IFERROR(INDEX(p_Cost,MATCH($F907,p_ID,0)),0))</f>
        <v>95</v>
      </c>
      <c r="Q907" s="84" t="n">
        <f aca="false">O907-P907</f>
        <v>38</v>
      </c>
      <c r="R907" s="86" t="n">
        <f aca="false">DATE(YEAR(B907),MONTH(B907),1)</f>
        <v>46113</v>
      </c>
      <c r="S907" s="83" t="str">
        <f aca="false">YEAR(B907)&amp;"-Q"&amp;ROUNDUP(MONTH(B907)/3,0)</f>
        <v>2026-Q2</v>
      </c>
      <c r="T907" s="87" t="n">
        <f aca="false">IF(O907&gt;0,Q907/O907,"")</f>
        <v>0.285714285714286</v>
      </c>
      <c r="U907" s="84" t="n">
        <f aca="false">IF(O907&gt;0,O907,"")</f>
        <v>133</v>
      </c>
    </row>
    <row r="908" customFormat="false" ht="15" hidden="false" customHeight="false" outlineLevel="0" collapsed="false">
      <c r="A908" s="81" t="s">
        <v>1551</v>
      </c>
      <c r="B908" s="82" t="n">
        <v>46140</v>
      </c>
      <c r="C908" s="81" t="s">
        <v>264</v>
      </c>
      <c r="D908" s="83" t="str">
        <f aca="false">IFERROR(INDEX(c_Name,MATCH($C908,c_ID,0)),"غير معرّف")</f>
        <v>عبدالله التميمي</v>
      </c>
      <c r="E908" s="83" t="str">
        <f aca="false">IFERROR(INDEX(c_Region,MATCH($C908,c_ID,0)),"غير معرّف")</f>
        <v>الوسطى</v>
      </c>
      <c r="F908" s="81" t="s">
        <v>167</v>
      </c>
      <c r="G908" s="83" t="str">
        <f aca="false">IFERROR(INDEX(p_Name,MATCH($F908,p_ID,0)),"غير معرّف")</f>
        <v>شاشة 27 بوصة</v>
      </c>
      <c r="H908" s="83" t="str">
        <f aca="false">IFERROR(INDEX(p_Cat,MATCH($F908,p_ID,0)),"غير معرّف")</f>
        <v>إلكترونيات</v>
      </c>
      <c r="I908" s="81" t="s">
        <v>446</v>
      </c>
      <c r="J908" s="81" t="s">
        <v>91</v>
      </c>
      <c r="K908" s="81" t="n">
        <v>1</v>
      </c>
      <c r="L908" s="84" t="n">
        <f aca="false">IFERROR(INDEX(p_Price,MATCH($F908,p_ID,0)),0)</f>
        <v>1100</v>
      </c>
      <c r="M908" s="85" t="n">
        <v>0.1</v>
      </c>
      <c r="N908" s="81" t="s">
        <v>650</v>
      </c>
      <c r="O908" s="84" t="n">
        <f aca="false">IF($N908="مرتجع",0,K908*L908*(1-M908))</f>
        <v>0</v>
      </c>
      <c r="P908" s="84" t="n">
        <f aca="false">IF($N908="مرتجع",0,K908*IFERROR(INDEX(p_Cost,MATCH($F908,p_ID,0)),0))</f>
        <v>0</v>
      </c>
      <c r="Q908" s="84" t="n">
        <f aca="false">O908-P908</f>
        <v>0</v>
      </c>
      <c r="R908" s="86" t="n">
        <f aca="false">DATE(YEAR(B908),MONTH(B908),1)</f>
        <v>46113</v>
      </c>
      <c r="S908" s="83" t="str">
        <f aca="false">YEAR(B908)&amp;"-Q"&amp;ROUNDUP(MONTH(B908)/3,0)</f>
        <v>2026-Q2</v>
      </c>
      <c r="T908" s="87" t="str">
        <f aca="false">IF(O908&gt;0,Q908/O908,"")</f>
        <v/>
      </c>
      <c r="U908" s="84" t="str">
        <f aca="false">IF(O908&gt;0,O908,"")</f>
        <v/>
      </c>
    </row>
    <row r="909" customFormat="false" ht="15" hidden="false" customHeight="false" outlineLevel="0" collapsed="false">
      <c r="A909" s="81" t="s">
        <v>1552</v>
      </c>
      <c r="B909" s="82" t="n">
        <v>46140</v>
      </c>
      <c r="C909" s="81" t="s">
        <v>361</v>
      </c>
      <c r="D909" s="83" t="str">
        <f aca="false">IFERROR(INDEX(c_Name,MATCH($C909,c_ID,0)),"غير معرّف")</f>
        <v>دانة المطيري</v>
      </c>
      <c r="E909" s="83" t="str">
        <f aca="false">IFERROR(INDEX(c_Region,MATCH($C909,c_ID,0)),"غير معرّف")</f>
        <v>الشرقية</v>
      </c>
      <c r="F909" s="81" t="s">
        <v>166</v>
      </c>
      <c r="G909" s="83" t="str">
        <f aca="false">IFERROR(INDEX(p_Name,MATCH($F909,p_ID,0)),"غير معرّف")</f>
        <v>سماعات لاسلكية</v>
      </c>
      <c r="H909" s="83" t="str">
        <f aca="false">IFERROR(INDEX(p_Cat,MATCH($F909,p_ID,0)),"غير معرّف")</f>
        <v>إلكترونيات</v>
      </c>
      <c r="I909" s="81" t="s">
        <v>463</v>
      </c>
      <c r="J909" s="81" t="s">
        <v>93</v>
      </c>
      <c r="K909" s="81" t="n">
        <v>1</v>
      </c>
      <c r="L909" s="84" t="n">
        <f aca="false">IFERROR(INDEX(p_Price,MATCH($F909,p_ID,0)),0)</f>
        <v>450</v>
      </c>
      <c r="M909" s="85" t="n">
        <v>0.1</v>
      </c>
      <c r="N909" s="81" t="s">
        <v>644</v>
      </c>
      <c r="O909" s="84" t="n">
        <f aca="false">IF($N909="مرتجع",0,K909*L909*(1-M909))</f>
        <v>405</v>
      </c>
      <c r="P909" s="84" t="n">
        <f aca="false">IF($N909="مرتجع",0,K909*IFERROR(INDEX(p_Cost,MATCH($F909,p_ID,0)),0))</f>
        <v>260</v>
      </c>
      <c r="Q909" s="84" t="n">
        <f aca="false">O909-P909</f>
        <v>145</v>
      </c>
      <c r="R909" s="86" t="n">
        <f aca="false">DATE(YEAR(B909),MONTH(B909),1)</f>
        <v>46113</v>
      </c>
      <c r="S909" s="83" t="str">
        <f aca="false">YEAR(B909)&amp;"-Q"&amp;ROUNDUP(MONTH(B909)/3,0)</f>
        <v>2026-Q2</v>
      </c>
      <c r="T909" s="87" t="n">
        <f aca="false">IF(O909&gt;0,Q909/O909,"")</f>
        <v>0.358024691358025</v>
      </c>
      <c r="U909" s="84" t="n">
        <f aca="false">IF(O909&gt;0,O909,"")</f>
        <v>405</v>
      </c>
    </row>
    <row r="910" customFormat="false" ht="15" hidden="false" customHeight="false" outlineLevel="0" collapsed="false">
      <c r="A910" s="81" t="s">
        <v>1553</v>
      </c>
      <c r="B910" s="82" t="n">
        <v>46141</v>
      </c>
      <c r="C910" s="81" t="s">
        <v>341</v>
      </c>
      <c r="D910" s="83" t="str">
        <f aca="false">IFERROR(INDEX(c_Name,MATCH($C910,c_ID,0)),"غير معرّف")</f>
        <v>منى الحسيني</v>
      </c>
      <c r="E910" s="83" t="str">
        <f aca="false">IFERROR(INDEX(c_Region,MATCH($C910,c_ID,0)),"غير معرّف")</f>
        <v>الجنوبية</v>
      </c>
      <c r="F910" s="81" t="s">
        <v>185</v>
      </c>
      <c r="G910" s="83" t="str">
        <f aca="false">IFERROR(INDEX(p_Name,MATCH($F910,p_ID,0)),"غير معرّف")</f>
        <v>ماكينة حلاقة</v>
      </c>
      <c r="H910" s="83" t="str">
        <f aca="false">IFERROR(INDEX(p_Cat,MATCH($F910,p_ID,0)),"غير معرّف")</f>
        <v>عناية شخصية</v>
      </c>
      <c r="I910" s="81" t="s">
        <v>467</v>
      </c>
      <c r="J910" s="81" t="s">
        <v>91</v>
      </c>
      <c r="K910" s="81" t="n">
        <v>1</v>
      </c>
      <c r="L910" s="84" t="n">
        <f aca="false">IFERROR(INDEX(p_Price,MATCH($F910,p_ID,0)),0)</f>
        <v>340</v>
      </c>
      <c r="M910" s="85" t="n">
        <v>0</v>
      </c>
      <c r="N910" s="81" t="s">
        <v>644</v>
      </c>
      <c r="O910" s="84" t="n">
        <f aca="false">IF($N910="مرتجع",0,K910*L910*(1-M910))</f>
        <v>340</v>
      </c>
      <c r="P910" s="84" t="n">
        <f aca="false">IF($N910="مرتجع",0,K910*IFERROR(INDEX(p_Cost,MATCH($F910,p_ID,0)),0))</f>
        <v>170</v>
      </c>
      <c r="Q910" s="84" t="n">
        <f aca="false">O910-P910</f>
        <v>170</v>
      </c>
      <c r="R910" s="86" t="n">
        <f aca="false">DATE(YEAR(B910),MONTH(B910),1)</f>
        <v>46113</v>
      </c>
      <c r="S910" s="83" t="str">
        <f aca="false">YEAR(B910)&amp;"-Q"&amp;ROUNDUP(MONTH(B910)/3,0)</f>
        <v>2026-Q2</v>
      </c>
      <c r="T910" s="87" t="n">
        <f aca="false">IF(O910&gt;0,Q910/O910,"")</f>
        <v>0.5</v>
      </c>
      <c r="U910" s="84" t="n">
        <f aca="false">IF(O910&gt;0,O910,"")</f>
        <v>340</v>
      </c>
    </row>
    <row r="911" customFormat="false" ht="15" hidden="false" customHeight="false" outlineLevel="0" collapsed="false">
      <c r="A911" s="81" t="s">
        <v>1554</v>
      </c>
      <c r="B911" s="82" t="n">
        <v>46142</v>
      </c>
      <c r="C911" s="81" t="s">
        <v>266</v>
      </c>
      <c r="D911" s="83" t="str">
        <f aca="false">IFERROR(INDEX(c_Name,MATCH($C911,c_ID,0)),"غير معرّف")</f>
        <v>ياسر الشهري</v>
      </c>
      <c r="E911" s="83" t="str">
        <f aca="false">IFERROR(INDEX(c_Region,MATCH($C911,c_ID,0)),"غير معرّف")</f>
        <v>الوسطى</v>
      </c>
      <c r="F911" s="81" t="s">
        <v>177</v>
      </c>
      <c r="G911" s="83" t="str">
        <f aca="false">IFERROR(INDEX(p_Name,MATCH($F911,p_ID,0)),"غير معرّف")</f>
        <v>ورق A4 (صندوق)</v>
      </c>
      <c r="H911" s="83" t="str">
        <f aca="false">IFERROR(INDEX(p_Cat,MATCH($F911,p_ID,0)),"غير معرّف")</f>
        <v>مستلزمات مكتبية</v>
      </c>
      <c r="I911" s="81" t="s">
        <v>446</v>
      </c>
      <c r="J911" s="81" t="s">
        <v>91</v>
      </c>
      <c r="K911" s="81" t="n">
        <v>1</v>
      </c>
      <c r="L911" s="84" t="n">
        <f aca="false">IFERROR(INDEX(p_Price,MATCH($F911,p_ID,0)),0)</f>
        <v>140</v>
      </c>
      <c r="M911" s="85" t="n">
        <v>0.05</v>
      </c>
      <c r="N911" s="81" t="s">
        <v>644</v>
      </c>
      <c r="O911" s="84" t="n">
        <f aca="false">IF($N911="مرتجع",0,K911*L911*(1-M911))</f>
        <v>133</v>
      </c>
      <c r="P911" s="84" t="n">
        <f aca="false">IF($N911="مرتجع",0,K911*IFERROR(INDEX(p_Cost,MATCH($F911,p_ID,0)),0))</f>
        <v>95</v>
      </c>
      <c r="Q911" s="84" t="n">
        <f aca="false">O911-P911</f>
        <v>38</v>
      </c>
      <c r="R911" s="86" t="n">
        <f aca="false">DATE(YEAR(B911),MONTH(B911),1)</f>
        <v>46113</v>
      </c>
      <c r="S911" s="83" t="str">
        <f aca="false">YEAR(B911)&amp;"-Q"&amp;ROUNDUP(MONTH(B911)/3,0)</f>
        <v>2026-Q2</v>
      </c>
      <c r="T911" s="87" t="n">
        <f aca="false">IF(O911&gt;0,Q911/O911,"")</f>
        <v>0.285714285714286</v>
      </c>
      <c r="U911" s="84" t="n">
        <f aca="false">IF(O911&gt;0,O911,"")</f>
        <v>133</v>
      </c>
    </row>
    <row r="912" customFormat="false" ht="15" hidden="false" customHeight="false" outlineLevel="0" collapsed="false">
      <c r="A912" s="81" t="s">
        <v>1555</v>
      </c>
      <c r="B912" s="82" t="n">
        <v>46142</v>
      </c>
      <c r="C912" s="81" t="s">
        <v>323</v>
      </c>
      <c r="D912" s="83" t="str">
        <f aca="false">IFERROR(INDEX(c_Name,MATCH($C912,c_ID,0)),"غير معرّف")</f>
        <v>ليلى الدوسري</v>
      </c>
      <c r="E912" s="83" t="str">
        <f aca="false">IFERROR(INDEX(c_Region,MATCH($C912,c_ID,0)),"غير معرّف")</f>
        <v>الشرقية</v>
      </c>
      <c r="F912" s="81" t="s">
        <v>166</v>
      </c>
      <c r="G912" s="83" t="str">
        <f aca="false">IFERROR(INDEX(p_Name,MATCH($F912,p_ID,0)),"غير معرّف")</f>
        <v>سماعات لاسلكية</v>
      </c>
      <c r="H912" s="83" t="str">
        <f aca="false">IFERROR(INDEX(p_Cat,MATCH($F912,p_ID,0)),"غير معرّف")</f>
        <v>إلكترونيات</v>
      </c>
      <c r="I912" s="81" t="s">
        <v>463</v>
      </c>
      <c r="J912" s="81" t="s">
        <v>91</v>
      </c>
      <c r="K912" s="81" t="n">
        <v>1</v>
      </c>
      <c r="L912" s="84" t="n">
        <f aca="false">IFERROR(INDEX(p_Price,MATCH($F912,p_ID,0)),0)</f>
        <v>450</v>
      </c>
      <c r="M912" s="85" t="n">
        <v>0</v>
      </c>
      <c r="N912" s="81" t="s">
        <v>644</v>
      </c>
      <c r="O912" s="84" t="n">
        <f aca="false">IF($N912="مرتجع",0,K912*L912*(1-M912))</f>
        <v>450</v>
      </c>
      <c r="P912" s="84" t="n">
        <f aca="false">IF($N912="مرتجع",0,K912*IFERROR(INDEX(p_Cost,MATCH($F912,p_ID,0)),0))</f>
        <v>260</v>
      </c>
      <c r="Q912" s="84" t="n">
        <f aca="false">O912-P912</f>
        <v>190</v>
      </c>
      <c r="R912" s="86" t="n">
        <f aca="false">DATE(YEAR(B912),MONTH(B912),1)</f>
        <v>46113</v>
      </c>
      <c r="S912" s="83" t="str">
        <f aca="false">YEAR(B912)&amp;"-Q"&amp;ROUNDUP(MONTH(B912)/3,0)</f>
        <v>2026-Q2</v>
      </c>
      <c r="T912" s="87" t="n">
        <f aca="false">IF(O912&gt;0,Q912/O912,"")</f>
        <v>0.422222222222222</v>
      </c>
      <c r="U912" s="84" t="n">
        <f aca="false">IF(O912&gt;0,O912,"")</f>
        <v>450</v>
      </c>
    </row>
    <row r="913" customFormat="false" ht="15" hidden="false" customHeight="false" outlineLevel="0" collapsed="false">
      <c r="A913" s="81" t="s">
        <v>1556</v>
      </c>
      <c r="B913" s="82" t="n">
        <v>46142</v>
      </c>
      <c r="C913" s="81" t="s">
        <v>336</v>
      </c>
      <c r="D913" s="83" t="str">
        <f aca="false">IFERROR(INDEX(c_Name,MATCH($C913,c_ID,0)),"غير معرّف")</f>
        <v>طارق الزهراني</v>
      </c>
      <c r="E913" s="83" t="str">
        <f aca="false">IFERROR(INDEX(c_Region,MATCH($C913,c_ID,0)),"غير معرّف")</f>
        <v>الجنوبية</v>
      </c>
      <c r="F913" s="81" t="s">
        <v>174</v>
      </c>
      <c r="G913" s="83" t="str">
        <f aca="false">IFERROR(INDEX(p_Name,MATCH($F913,p_ID,0)),"غير معرّف")</f>
        <v>خزانة ملفات</v>
      </c>
      <c r="H913" s="83" t="str">
        <f aca="false">IFERROR(INDEX(p_Cat,MATCH($F913,p_ID,0)),"غير معرّف")</f>
        <v>أثاث</v>
      </c>
      <c r="I913" s="81" t="s">
        <v>467</v>
      </c>
      <c r="J913" s="81" t="s">
        <v>93</v>
      </c>
      <c r="K913" s="81" t="n">
        <v>3</v>
      </c>
      <c r="L913" s="84" t="n">
        <f aca="false">IFERROR(INDEX(p_Price,MATCH($F913,p_ID,0)),0)</f>
        <v>700</v>
      </c>
      <c r="M913" s="85" t="n">
        <v>0.05</v>
      </c>
      <c r="N913" s="81" t="s">
        <v>644</v>
      </c>
      <c r="O913" s="84" t="n">
        <f aca="false">IF($N913="مرتجع",0,K913*L913*(1-M913))</f>
        <v>1995</v>
      </c>
      <c r="P913" s="84" t="n">
        <f aca="false">IF($N913="مرتجع",0,K913*IFERROR(INDEX(p_Cost,MATCH($F913,p_ID,0)),0))</f>
        <v>1230</v>
      </c>
      <c r="Q913" s="84" t="n">
        <f aca="false">O913-P913</f>
        <v>765</v>
      </c>
      <c r="R913" s="86" t="n">
        <f aca="false">DATE(YEAR(B913),MONTH(B913),1)</f>
        <v>46113</v>
      </c>
      <c r="S913" s="83" t="str">
        <f aca="false">YEAR(B913)&amp;"-Q"&amp;ROUNDUP(MONTH(B913)/3,0)</f>
        <v>2026-Q2</v>
      </c>
      <c r="T913" s="87" t="n">
        <f aca="false">IF(O913&gt;0,Q913/O913,"")</f>
        <v>0.383458646616541</v>
      </c>
      <c r="U913" s="84" t="n">
        <f aca="false">IF(O913&gt;0,O913,"")</f>
        <v>1995</v>
      </c>
    </row>
    <row r="914" customFormat="false" ht="15" hidden="false" customHeight="false" outlineLevel="0" collapsed="false">
      <c r="A914" s="81" t="s">
        <v>1557</v>
      </c>
      <c r="B914" s="82" t="n">
        <v>46143</v>
      </c>
      <c r="C914" s="81" t="s">
        <v>294</v>
      </c>
      <c r="D914" s="83" t="str">
        <f aca="false">IFERROR(INDEX(c_Name,MATCH($C914,c_ID,0)),"غير معرّف")</f>
        <v>خالد البلوي</v>
      </c>
      <c r="E914" s="83" t="str">
        <f aca="false">IFERROR(INDEX(c_Region,MATCH($C914,c_ID,0)),"غير معرّف")</f>
        <v>الوسطى</v>
      </c>
      <c r="F914" s="81" t="s">
        <v>164</v>
      </c>
      <c r="G914" s="83" t="str">
        <f aca="false">IFERROR(INDEX(p_Name,MATCH($F914,p_ID,0)),"غير معرّف")</f>
        <v>هاتف ذكي</v>
      </c>
      <c r="H914" s="83" t="str">
        <f aca="false">IFERROR(INDEX(p_Cat,MATCH($F914,p_ID,0)),"غير معرّف")</f>
        <v>إلكترونيات</v>
      </c>
      <c r="I914" s="81" t="s">
        <v>449</v>
      </c>
      <c r="J914" s="81" t="s">
        <v>93</v>
      </c>
      <c r="K914" s="81" t="n">
        <v>8</v>
      </c>
      <c r="L914" s="84" t="n">
        <f aca="false">IFERROR(INDEX(p_Price,MATCH($F914,p_ID,0)),0)</f>
        <v>2400</v>
      </c>
      <c r="M914" s="85" t="n">
        <v>0</v>
      </c>
      <c r="N914" s="81" t="s">
        <v>644</v>
      </c>
      <c r="O914" s="84" t="n">
        <f aca="false">IF($N914="مرتجع",0,K914*L914*(1-M914))</f>
        <v>19200</v>
      </c>
      <c r="P914" s="84" t="n">
        <f aca="false">IF($N914="مرتجع",0,K914*IFERROR(INDEX(p_Cost,MATCH($F914,p_ID,0)),0))</f>
        <v>14000</v>
      </c>
      <c r="Q914" s="84" t="n">
        <f aca="false">O914-P914</f>
        <v>5200</v>
      </c>
      <c r="R914" s="86" t="n">
        <f aca="false">DATE(YEAR(B914),MONTH(B914),1)</f>
        <v>46143</v>
      </c>
      <c r="S914" s="83" t="str">
        <f aca="false">YEAR(B914)&amp;"-Q"&amp;ROUNDUP(MONTH(B914)/3,0)</f>
        <v>2026-Q2</v>
      </c>
      <c r="T914" s="87" t="n">
        <f aca="false">IF(O914&gt;0,Q914/O914,"")</f>
        <v>0.270833333333333</v>
      </c>
      <c r="U914" s="84" t="n">
        <f aca="false">IF(O914&gt;0,O914,"")</f>
        <v>19200</v>
      </c>
    </row>
    <row r="915" customFormat="false" ht="15" hidden="false" customHeight="false" outlineLevel="0" collapsed="false">
      <c r="A915" s="81" t="s">
        <v>1558</v>
      </c>
      <c r="B915" s="82" t="n">
        <v>46143</v>
      </c>
      <c r="C915" s="81" t="s">
        <v>311</v>
      </c>
      <c r="D915" s="83" t="str">
        <f aca="false">IFERROR(INDEX(c_Name,MATCH($C915,c_ID,0)),"غير معرّف")</f>
        <v>لمى الحسيني</v>
      </c>
      <c r="E915" s="83" t="str">
        <f aca="false">IFERROR(INDEX(c_Region,MATCH($C915,c_ID,0)),"غير معرّف")</f>
        <v>الوسطى</v>
      </c>
      <c r="F915" s="81" t="s">
        <v>171</v>
      </c>
      <c r="G915" s="83" t="str">
        <f aca="false">IFERROR(INDEX(p_Name,MATCH($F915,p_ID,0)),"غير معرّف")</f>
        <v>قلاية هوائية</v>
      </c>
      <c r="H915" s="83" t="str">
        <f aca="false">IFERROR(INDEX(p_Cat,MATCH($F915,p_ID,0)),"غير معرّف")</f>
        <v>أجهزة منزلية</v>
      </c>
      <c r="I915" s="81" t="s">
        <v>443</v>
      </c>
      <c r="J915" s="81" t="s">
        <v>91</v>
      </c>
      <c r="K915" s="81" t="n">
        <v>1</v>
      </c>
      <c r="L915" s="84" t="n">
        <f aca="false">IFERROR(INDEX(p_Price,MATCH($F915,p_ID,0)),0)</f>
        <v>520</v>
      </c>
      <c r="M915" s="85" t="n">
        <v>0</v>
      </c>
      <c r="N915" s="81" t="s">
        <v>644</v>
      </c>
      <c r="O915" s="84" t="n">
        <f aca="false">IF($N915="مرتجع",0,K915*L915*(1-M915))</f>
        <v>520</v>
      </c>
      <c r="P915" s="84" t="n">
        <f aca="false">IF($N915="مرتجع",0,K915*IFERROR(INDEX(p_Cost,MATCH($F915,p_ID,0)),0))</f>
        <v>300</v>
      </c>
      <c r="Q915" s="84" t="n">
        <f aca="false">O915-P915</f>
        <v>220</v>
      </c>
      <c r="R915" s="86" t="n">
        <f aca="false">DATE(YEAR(B915),MONTH(B915),1)</f>
        <v>46143</v>
      </c>
      <c r="S915" s="83" t="str">
        <f aca="false">YEAR(B915)&amp;"-Q"&amp;ROUNDUP(MONTH(B915)/3,0)</f>
        <v>2026-Q2</v>
      </c>
      <c r="T915" s="87" t="n">
        <f aca="false">IF(O915&gt;0,Q915/O915,"")</f>
        <v>0.423076923076923</v>
      </c>
      <c r="U915" s="84" t="n">
        <f aca="false">IF(O915&gt;0,O915,"")</f>
        <v>520</v>
      </c>
    </row>
    <row r="916" customFormat="false" ht="15" hidden="false" customHeight="false" outlineLevel="0" collapsed="false">
      <c r="A916" s="81" t="s">
        <v>1559</v>
      </c>
      <c r="B916" s="82" t="n">
        <v>46143</v>
      </c>
      <c r="C916" s="81" t="s">
        <v>244</v>
      </c>
      <c r="D916" s="83" t="str">
        <f aca="false">IFERROR(INDEX(c_Name,MATCH($C916,c_ID,0)),"غير معرّف")</f>
        <v>طارق الشهري</v>
      </c>
      <c r="E916" s="83" t="str">
        <f aca="false">IFERROR(INDEX(c_Region,MATCH($C916,c_ID,0)),"غير معرّف")</f>
        <v>الوسطى</v>
      </c>
      <c r="F916" s="81" t="s">
        <v>186</v>
      </c>
      <c r="G916" s="83" t="str">
        <f aca="false">IFERROR(INDEX(p_Name,MATCH($F916,p_ID,0)),"غير معرّف")</f>
        <v>مجفف شعر</v>
      </c>
      <c r="H916" s="83" t="str">
        <f aca="false">IFERROR(INDEX(p_Cat,MATCH($F916,p_ID,0)),"غير معرّف")</f>
        <v>عناية شخصية</v>
      </c>
      <c r="I916" s="81" t="s">
        <v>449</v>
      </c>
      <c r="J916" s="81" t="s">
        <v>91</v>
      </c>
      <c r="K916" s="81" t="n">
        <v>2</v>
      </c>
      <c r="L916" s="84" t="n">
        <f aca="false">IFERROR(INDEX(p_Price,MATCH($F916,p_ID,0)),0)</f>
        <v>280</v>
      </c>
      <c r="M916" s="85" t="n">
        <v>0</v>
      </c>
      <c r="N916" s="81" t="s">
        <v>644</v>
      </c>
      <c r="O916" s="84" t="n">
        <f aca="false">IF($N916="مرتجع",0,K916*L916*(1-M916))</f>
        <v>560</v>
      </c>
      <c r="P916" s="84" t="n">
        <f aca="false">IF($N916="مرتجع",0,K916*IFERROR(INDEX(p_Cost,MATCH($F916,p_ID,0)),0))</f>
        <v>280</v>
      </c>
      <c r="Q916" s="84" t="n">
        <f aca="false">O916-P916</f>
        <v>280</v>
      </c>
      <c r="R916" s="86" t="n">
        <f aca="false">DATE(YEAR(B916),MONTH(B916),1)</f>
        <v>46143</v>
      </c>
      <c r="S916" s="83" t="str">
        <f aca="false">YEAR(B916)&amp;"-Q"&amp;ROUNDUP(MONTH(B916)/3,0)</f>
        <v>2026-Q2</v>
      </c>
      <c r="T916" s="87" t="n">
        <f aca="false">IF(O916&gt;0,Q916/O916,"")</f>
        <v>0.5</v>
      </c>
      <c r="U916" s="84" t="n">
        <f aca="false">IF(O916&gt;0,O916,"")</f>
        <v>560</v>
      </c>
    </row>
    <row r="917" customFormat="false" ht="15" hidden="false" customHeight="false" outlineLevel="0" collapsed="false">
      <c r="A917" s="81" t="s">
        <v>1560</v>
      </c>
      <c r="B917" s="82" t="n">
        <v>46143</v>
      </c>
      <c r="C917" s="81" t="s">
        <v>245</v>
      </c>
      <c r="D917" s="83" t="str">
        <f aca="false">IFERROR(INDEX(c_Name,MATCH($C917,c_ID,0)),"غير معرّف")</f>
        <v>ريم الشمري</v>
      </c>
      <c r="E917" s="83" t="str">
        <f aca="false">IFERROR(INDEX(c_Region,MATCH($C917,c_ID,0)),"غير معرّف")</f>
        <v>الغربية</v>
      </c>
      <c r="F917" s="81" t="s">
        <v>169</v>
      </c>
      <c r="G917" s="83" t="str">
        <f aca="false">IFERROR(INDEX(p_Name,MATCH($F917,p_ID,0)),"غير معرّف")</f>
        <v>خلاط</v>
      </c>
      <c r="H917" s="83" t="str">
        <f aca="false">IFERROR(INDEX(p_Cat,MATCH($F917,p_ID,0)),"غير معرّف")</f>
        <v>أجهزة منزلية</v>
      </c>
      <c r="I917" s="81" t="s">
        <v>458</v>
      </c>
      <c r="J917" s="81" t="s">
        <v>95</v>
      </c>
      <c r="K917" s="81" t="n">
        <v>7</v>
      </c>
      <c r="L917" s="84" t="n">
        <f aca="false">IFERROR(INDEX(p_Price,MATCH($F917,p_ID,0)),0)</f>
        <v>300</v>
      </c>
      <c r="M917" s="85" t="n">
        <v>0.2</v>
      </c>
      <c r="N917" s="81" t="s">
        <v>644</v>
      </c>
      <c r="O917" s="84" t="n">
        <f aca="false">IF($N917="مرتجع",0,K917*L917*(1-M917))</f>
        <v>1680</v>
      </c>
      <c r="P917" s="84" t="n">
        <f aca="false">IF($N917="مرتجع",0,K917*IFERROR(INDEX(p_Cost,MATCH($F917,p_ID,0)),0))</f>
        <v>1225</v>
      </c>
      <c r="Q917" s="84" t="n">
        <f aca="false">O917-P917</f>
        <v>455</v>
      </c>
      <c r="R917" s="86" t="n">
        <f aca="false">DATE(YEAR(B917),MONTH(B917),1)</f>
        <v>46143</v>
      </c>
      <c r="S917" s="83" t="str">
        <f aca="false">YEAR(B917)&amp;"-Q"&amp;ROUNDUP(MONTH(B917)/3,0)</f>
        <v>2026-Q2</v>
      </c>
      <c r="T917" s="87" t="n">
        <f aca="false">IF(O917&gt;0,Q917/O917,"")</f>
        <v>0.270833333333333</v>
      </c>
      <c r="U917" s="84" t="n">
        <f aca="false">IF(O917&gt;0,O917,"")</f>
        <v>1680</v>
      </c>
    </row>
    <row r="918" customFormat="false" ht="15" hidden="false" customHeight="false" outlineLevel="0" collapsed="false">
      <c r="A918" s="81" t="s">
        <v>1561</v>
      </c>
      <c r="B918" s="82" t="n">
        <v>46143</v>
      </c>
      <c r="C918" s="81" t="s">
        <v>404</v>
      </c>
      <c r="D918" s="83" t="str">
        <f aca="false">IFERROR(INDEX(c_Name,MATCH($C918,c_ID,0)),"غير معرّف")</f>
        <v>عبدالله الحسيني</v>
      </c>
      <c r="E918" s="83" t="str">
        <f aca="false">IFERROR(INDEX(c_Region,MATCH($C918,c_ID,0)),"غير معرّف")</f>
        <v>الشرقية</v>
      </c>
      <c r="F918" s="81" t="s">
        <v>183</v>
      </c>
      <c r="G918" s="83" t="str">
        <f aca="false">IFERROR(INDEX(p_Name,MATCH($F918,p_ID,0)),"غير معرّف")</f>
        <v>سجادة يوغا</v>
      </c>
      <c r="H918" s="83" t="str">
        <f aca="false">IFERROR(INDEX(p_Cat,MATCH($F918,p_ID,0)),"غير معرّف")</f>
        <v>رياضة</v>
      </c>
      <c r="I918" s="81" t="s">
        <v>463</v>
      </c>
      <c r="J918" s="81" t="s">
        <v>93</v>
      </c>
      <c r="K918" s="81" t="n">
        <v>1</v>
      </c>
      <c r="L918" s="84" t="n">
        <f aca="false">IFERROR(INDEX(p_Price,MATCH($F918,p_ID,0)),0)</f>
        <v>120</v>
      </c>
      <c r="M918" s="85" t="n">
        <v>0.1</v>
      </c>
      <c r="N918" s="81" t="s">
        <v>644</v>
      </c>
      <c r="O918" s="84" t="n">
        <f aca="false">IF($N918="مرتجع",0,K918*L918*(1-M918))</f>
        <v>108</v>
      </c>
      <c r="P918" s="84" t="n">
        <f aca="false">IF($N918="مرتجع",0,K918*IFERROR(INDEX(p_Cost,MATCH($F918,p_ID,0)),0))</f>
        <v>50</v>
      </c>
      <c r="Q918" s="84" t="n">
        <f aca="false">O918-P918</f>
        <v>58</v>
      </c>
      <c r="R918" s="86" t="n">
        <f aca="false">DATE(YEAR(B918),MONTH(B918),1)</f>
        <v>46143</v>
      </c>
      <c r="S918" s="83" t="str">
        <f aca="false">YEAR(B918)&amp;"-Q"&amp;ROUNDUP(MONTH(B918)/3,0)</f>
        <v>2026-Q2</v>
      </c>
      <c r="T918" s="87" t="n">
        <f aca="false">IF(O918&gt;0,Q918/O918,"")</f>
        <v>0.537037037037037</v>
      </c>
      <c r="U918" s="84" t="n">
        <f aca="false">IF(O918&gt;0,O918,"")</f>
        <v>108</v>
      </c>
    </row>
    <row r="919" customFormat="false" ht="15" hidden="false" customHeight="false" outlineLevel="0" collapsed="false">
      <c r="A919" s="81" t="s">
        <v>1562</v>
      </c>
      <c r="B919" s="82" t="n">
        <v>46144</v>
      </c>
      <c r="C919" s="81" t="s">
        <v>249</v>
      </c>
      <c r="D919" s="83" t="str">
        <f aca="false">IFERROR(INDEX(c_Name,MATCH($C919,c_ID,0)),"غير معرّف")</f>
        <v>ريم الحسيني</v>
      </c>
      <c r="E919" s="83" t="str">
        <f aca="false">IFERROR(INDEX(c_Region,MATCH($C919,c_ID,0)),"غير معرّف")</f>
        <v>الوسطى</v>
      </c>
      <c r="F919" s="81" t="s">
        <v>184</v>
      </c>
      <c r="G919" s="83" t="str">
        <f aca="false">IFERROR(INDEX(p_Name,MATCH($F919,p_ID,0)),"غير معرّف")</f>
        <v>عطر فاخر</v>
      </c>
      <c r="H919" s="83" t="str">
        <f aca="false">IFERROR(INDEX(p_Cat,MATCH($F919,p_ID,0)),"غير معرّف")</f>
        <v>عناية شخصية</v>
      </c>
      <c r="I919" s="81" t="s">
        <v>443</v>
      </c>
      <c r="J919" s="81" t="s">
        <v>93</v>
      </c>
      <c r="K919" s="81" t="n">
        <v>1</v>
      </c>
      <c r="L919" s="84" t="n">
        <f aca="false">IFERROR(INDEX(p_Price,MATCH($F919,p_ID,0)),0)</f>
        <v>520</v>
      </c>
      <c r="M919" s="85" t="n">
        <v>0.05</v>
      </c>
      <c r="N919" s="81" t="s">
        <v>644</v>
      </c>
      <c r="O919" s="84" t="n">
        <f aca="false">IF($N919="مرتجع",0,K919*L919*(1-M919))</f>
        <v>494</v>
      </c>
      <c r="P919" s="84" t="n">
        <f aca="false">IF($N919="مرتجع",0,K919*IFERROR(INDEX(p_Cost,MATCH($F919,p_ID,0)),0))</f>
        <v>210</v>
      </c>
      <c r="Q919" s="84" t="n">
        <f aca="false">O919-P919</f>
        <v>284</v>
      </c>
      <c r="R919" s="86" t="n">
        <f aca="false">DATE(YEAR(B919),MONTH(B919),1)</f>
        <v>46143</v>
      </c>
      <c r="S919" s="83" t="str">
        <f aca="false">YEAR(B919)&amp;"-Q"&amp;ROUNDUP(MONTH(B919)/3,0)</f>
        <v>2026-Q2</v>
      </c>
      <c r="T919" s="87" t="n">
        <f aca="false">IF(O919&gt;0,Q919/O919,"")</f>
        <v>0.574898785425101</v>
      </c>
      <c r="U919" s="84" t="n">
        <f aca="false">IF(O919&gt;0,O919,"")</f>
        <v>494</v>
      </c>
    </row>
    <row r="920" customFormat="false" ht="15" hidden="false" customHeight="false" outlineLevel="0" collapsed="false">
      <c r="A920" s="81" t="s">
        <v>1563</v>
      </c>
      <c r="B920" s="82" t="n">
        <v>46144</v>
      </c>
      <c r="C920" s="81" t="s">
        <v>312</v>
      </c>
      <c r="D920" s="83" t="str">
        <f aca="false">IFERROR(INDEX(c_Name,MATCH($C920,c_ID,0)),"غير معرّف")</f>
        <v>دانة الدوسري</v>
      </c>
      <c r="E920" s="83" t="str">
        <f aca="false">IFERROR(INDEX(c_Region,MATCH($C920,c_ID,0)),"غير معرّف")</f>
        <v>الشرقية</v>
      </c>
      <c r="F920" s="81" t="s">
        <v>166</v>
      </c>
      <c r="G920" s="83" t="str">
        <f aca="false">IFERROR(INDEX(p_Name,MATCH($F920,p_ID,0)),"غير معرّف")</f>
        <v>سماعات لاسلكية</v>
      </c>
      <c r="H920" s="83" t="str">
        <f aca="false">IFERROR(INDEX(p_Cat,MATCH($F920,p_ID,0)),"غير معرّف")</f>
        <v>إلكترونيات</v>
      </c>
      <c r="I920" s="81" t="s">
        <v>463</v>
      </c>
      <c r="J920" s="81" t="s">
        <v>91</v>
      </c>
      <c r="K920" s="81" t="n">
        <v>1</v>
      </c>
      <c r="L920" s="84" t="n">
        <f aca="false">IFERROR(INDEX(p_Price,MATCH($F920,p_ID,0)),0)</f>
        <v>450</v>
      </c>
      <c r="M920" s="85" t="n">
        <v>0.15</v>
      </c>
      <c r="N920" s="81" t="s">
        <v>644</v>
      </c>
      <c r="O920" s="84" t="n">
        <f aca="false">IF($N920="مرتجع",0,K920*L920*(1-M920))</f>
        <v>382.5</v>
      </c>
      <c r="P920" s="84" t="n">
        <f aca="false">IF($N920="مرتجع",0,K920*IFERROR(INDEX(p_Cost,MATCH($F920,p_ID,0)),0))</f>
        <v>260</v>
      </c>
      <c r="Q920" s="84" t="n">
        <f aca="false">O920-P920</f>
        <v>122.5</v>
      </c>
      <c r="R920" s="86" t="n">
        <f aca="false">DATE(YEAR(B920),MONTH(B920),1)</f>
        <v>46143</v>
      </c>
      <c r="S920" s="83" t="str">
        <f aca="false">YEAR(B920)&amp;"-Q"&amp;ROUNDUP(MONTH(B920)/3,0)</f>
        <v>2026-Q2</v>
      </c>
      <c r="T920" s="87" t="n">
        <f aca="false">IF(O920&gt;0,Q920/O920,"")</f>
        <v>0.320261437908497</v>
      </c>
      <c r="U920" s="84" t="n">
        <f aca="false">IF(O920&gt;0,O920,"")</f>
        <v>382.5</v>
      </c>
    </row>
    <row r="921" customFormat="false" ht="15" hidden="false" customHeight="false" outlineLevel="0" collapsed="false">
      <c r="A921" s="81" t="s">
        <v>1564</v>
      </c>
      <c r="B921" s="82" t="n">
        <v>46144</v>
      </c>
      <c r="C921" s="81" t="s">
        <v>377</v>
      </c>
      <c r="D921" s="83" t="str">
        <f aca="false">IFERROR(INDEX(c_Name,MATCH($C921,c_ID,0)),"غير معرّف")</f>
        <v>أحمد الخالدي</v>
      </c>
      <c r="E921" s="83" t="str">
        <f aca="false">IFERROR(INDEX(c_Region,MATCH($C921,c_ID,0)),"غير معرّف")</f>
        <v>الجنوبية</v>
      </c>
      <c r="F921" s="81" t="s">
        <v>171</v>
      </c>
      <c r="G921" s="83" t="str">
        <f aca="false">IFERROR(INDEX(p_Name,MATCH($F921,p_ID,0)),"غير معرّف")</f>
        <v>قلاية هوائية</v>
      </c>
      <c r="H921" s="83" t="str">
        <f aca="false">IFERROR(INDEX(p_Cat,MATCH($F921,p_ID,0)),"غير معرّف")</f>
        <v>أجهزة منزلية</v>
      </c>
      <c r="I921" s="81" t="s">
        <v>467</v>
      </c>
      <c r="J921" s="81" t="s">
        <v>91</v>
      </c>
      <c r="K921" s="81" t="n">
        <v>4</v>
      </c>
      <c r="L921" s="84" t="n">
        <f aca="false">IFERROR(INDEX(p_Price,MATCH($F921,p_ID,0)),0)</f>
        <v>520</v>
      </c>
      <c r="M921" s="85" t="n">
        <v>0.1</v>
      </c>
      <c r="N921" s="81" t="s">
        <v>644</v>
      </c>
      <c r="O921" s="84" t="n">
        <f aca="false">IF($N921="مرتجع",0,K921*L921*(1-M921))</f>
        <v>1872</v>
      </c>
      <c r="P921" s="84" t="n">
        <f aca="false">IF($N921="مرتجع",0,K921*IFERROR(INDEX(p_Cost,MATCH($F921,p_ID,0)),0))</f>
        <v>1200</v>
      </c>
      <c r="Q921" s="84" t="n">
        <f aca="false">O921-P921</f>
        <v>672</v>
      </c>
      <c r="R921" s="86" t="n">
        <f aca="false">DATE(YEAR(B921),MONTH(B921),1)</f>
        <v>46143</v>
      </c>
      <c r="S921" s="83" t="str">
        <f aca="false">YEAR(B921)&amp;"-Q"&amp;ROUNDUP(MONTH(B921)/3,0)</f>
        <v>2026-Q2</v>
      </c>
      <c r="T921" s="87" t="n">
        <f aca="false">IF(O921&gt;0,Q921/O921,"")</f>
        <v>0.358974358974359</v>
      </c>
      <c r="U921" s="84" t="n">
        <f aca="false">IF(O921&gt;0,O921,"")</f>
        <v>1872</v>
      </c>
    </row>
    <row r="922" customFormat="false" ht="15" hidden="false" customHeight="false" outlineLevel="0" collapsed="false">
      <c r="A922" s="81" t="s">
        <v>1565</v>
      </c>
      <c r="B922" s="82" t="n">
        <v>46144</v>
      </c>
      <c r="C922" s="81" t="s">
        <v>371</v>
      </c>
      <c r="D922" s="83" t="str">
        <f aca="false">IFERROR(INDEX(c_Name,MATCH($C922,c_ID,0)),"غير معرّف")</f>
        <v>جود العنزي</v>
      </c>
      <c r="E922" s="83" t="str">
        <f aca="false">IFERROR(INDEX(c_Region,MATCH($C922,c_ID,0)),"غير معرّف")</f>
        <v>الشرقية</v>
      </c>
      <c r="F922" s="81" t="s">
        <v>181</v>
      </c>
      <c r="G922" s="83" t="str">
        <f aca="false">IFERROR(INDEX(p_Name,MATCH($F922,p_ID,0)),"غير معرّف")</f>
        <v>دراجة ثابتة</v>
      </c>
      <c r="H922" s="83" t="str">
        <f aca="false">IFERROR(INDEX(p_Cat,MATCH($F922,p_ID,0)),"غير معرّف")</f>
        <v>رياضة</v>
      </c>
      <c r="I922" s="81" t="s">
        <v>463</v>
      </c>
      <c r="J922" s="81" t="s">
        <v>93</v>
      </c>
      <c r="K922" s="81" t="n">
        <v>1</v>
      </c>
      <c r="L922" s="84" t="n">
        <f aca="false">IFERROR(INDEX(p_Price,MATCH($F922,p_ID,0)),0)</f>
        <v>1800</v>
      </c>
      <c r="M922" s="85" t="n">
        <v>0.05</v>
      </c>
      <c r="N922" s="81" t="s">
        <v>644</v>
      </c>
      <c r="O922" s="84" t="n">
        <f aca="false">IF($N922="مرتجع",0,K922*L922*(1-M922))</f>
        <v>1710</v>
      </c>
      <c r="P922" s="84" t="n">
        <f aca="false">IF($N922="مرتجع",0,K922*IFERROR(INDEX(p_Cost,MATCH($F922,p_ID,0)),0))</f>
        <v>1200</v>
      </c>
      <c r="Q922" s="84" t="n">
        <f aca="false">O922-P922</f>
        <v>510</v>
      </c>
      <c r="R922" s="86" t="n">
        <f aca="false">DATE(YEAR(B922),MONTH(B922),1)</f>
        <v>46143</v>
      </c>
      <c r="S922" s="83" t="str">
        <f aca="false">YEAR(B922)&amp;"-Q"&amp;ROUNDUP(MONTH(B922)/3,0)</f>
        <v>2026-Q2</v>
      </c>
      <c r="T922" s="87" t="n">
        <f aca="false">IF(O922&gt;0,Q922/O922,"")</f>
        <v>0.298245614035088</v>
      </c>
      <c r="U922" s="84" t="n">
        <f aca="false">IF(O922&gt;0,O922,"")</f>
        <v>1710</v>
      </c>
    </row>
    <row r="923" customFormat="false" ht="15" hidden="false" customHeight="false" outlineLevel="0" collapsed="false">
      <c r="A923" s="81" t="s">
        <v>1566</v>
      </c>
      <c r="B923" s="82" t="n">
        <v>46145</v>
      </c>
      <c r="C923" s="81" t="s">
        <v>361</v>
      </c>
      <c r="D923" s="83" t="str">
        <f aca="false">IFERROR(INDEX(c_Name,MATCH($C923,c_ID,0)),"غير معرّف")</f>
        <v>دانة المطيري</v>
      </c>
      <c r="E923" s="83" t="str">
        <f aca="false">IFERROR(INDEX(c_Region,MATCH($C923,c_ID,0)),"غير معرّف")</f>
        <v>الشرقية</v>
      </c>
      <c r="F923" s="81" t="s">
        <v>167</v>
      </c>
      <c r="G923" s="83" t="str">
        <f aca="false">IFERROR(INDEX(p_Name,MATCH($F923,p_ID,0)),"غير معرّف")</f>
        <v>شاشة 27 بوصة</v>
      </c>
      <c r="H923" s="83" t="str">
        <f aca="false">IFERROR(INDEX(p_Cat,MATCH($F923,p_ID,0)),"غير معرّف")</f>
        <v>إلكترونيات</v>
      </c>
      <c r="I923" s="81" t="s">
        <v>463</v>
      </c>
      <c r="J923" s="81" t="s">
        <v>93</v>
      </c>
      <c r="K923" s="81" t="n">
        <v>1</v>
      </c>
      <c r="L923" s="84" t="n">
        <f aca="false">IFERROR(INDEX(p_Price,MATCH($F923,p_ID,0)),0)</f>
        <v>1100</v>
      </c>
      <c r="M923" s="85" t="n">
        <v>0</v>
      </c>
      <c r="N923" s="81" t="s">
        <v>644</v>
      </c>
      <c r="O923" s="84" t="n">
        <f aca="false">IF($N923="مرتجع",0,K923*L923*(1-M923))</f>
        <v>1100</v>
      </c>
      <c r="P923" s="84" t="n">
        <f aca="false">IF($N923="مرتجع",0,K923*IFERROR(INDEX(p_Cost,MATCH($F923,p_ID,0)),0))</f>
        <v>780</v>
      </c>
      <c r="Q923" s="84" t="n">
        <f aca="false">O923-P923</f>
        <v>320</v>
      </c>
      <c r="R923" s="86" t="n">
        <f aca="false">DATE(YEAR(B923),MONTH(B923),1)</f>
        <v>46143</v>
      </c>
      <c r="S923" s="83" t="str">
        <f aca="false">YEAR(B923)&amp;"-Q"&amp;ROUNDUP(MONTH(B923)/3,0)</f>
        <v>2026-Q2</v>
      </c>
      <c r="T923" s="87" t="n">
        <f aca="false">IF(O923&gt;0,Q923/O923,"")</f>
        <v>0.290909090909091</v>
      </c>
      <c r="U923" s="84" t="n">
        <f aca="false">IF(O923&gt;0,O923,"")</f>
        <v>1100</v>
      </c>
    </row>
    <row r="924" customFormat="false" ht="15" hidden="false" customHeight="false" outlineLevel="0" collapsed="false">
      <c r="A924" s="81" t="s">
        <v>1567</v>
      </c>
      <c r="B924" s="82" t="n">
        <v>46146</v>
      </c>
      <c r="C924" s="81" t="s">
        <v>263</v>
      </c>
      <c r="D924" s="83" t="str">
        <f aca="false">IFERROR(INDEX(c_Name,MATCH($C924,c_ID,0)),"غير معرّف")</f>
        <v>سارة الخالدي</v>
      </c>
      <c r="E924" s="83" t="str">
        <f aca="false">IFERROR(INDEX(c_Region,MATCH($C924,c_ID,0)),"غير معرّف")</f>
        <v>الغربية</v>
      </c>
      <c r="F924" s="81" t="s">
        <v>179</v>
      </c>
      <c r="G924" s="83" t="str">
        <f aca="false">IFERROR(INDEX(p_Name,MATCH($F924,p_ID,0)),"غير معرّف")</f>
        <v>طقم أدوات مكتبية</v>
      </c>
      <c r="H924" s="83" t="str">
        <f aca="false">IFERROR(INDEX(p_Cat,MATCH($F924,p_ID,0)),"غير معرّف")</f>
        <v>مستلزمات مكتبية</v>
      </c>
      <c r="I924" s="81" t="s">
        <v>455</v>
      </c>
      <c r="J924" s="81" t="s">
        <v>93</v>
      </c>
      <c r="K924" s="81" t="n">
        <v>2</v>
      </c>
      <c r="L924" s="84" t="n">
        <f aca="false">IFERROR(INDEX(p_Price,MATCH($F924,p_ID,0)),0)</f>
        <v>90</v>
      </c>
      <c r="M924" s="85" t="n">
        <v>0</v>
      </c>
      <c r="N924" s="81" t="s">
        <v>644</v>
      </c>
      <c r="O924" s="84" t="n">
        <f aca="false">IF($N924="مرتجع",0,K924*L924*(1-M924))</f>
        <v>180</v>
      </c>
      <c r="P924" s="84" t="n">
        <f aca="false">IF($N924="مرتجع",0,K924*IFERROR(INDEX(p_Cost,MATCH($F924,p_ID,0)),0))</f>
        <v>90</v>
      </c>
      <c r="Q924" s="84" t="n">
        <f aca="false">O924-P924</f>
        <v>90</v>
      </c>
      <c r="R924" s="86" t="n">
        <f aca="false">DATE(YEAR(B924),MONTH(B924),1)</f>
        <v>46143</v>
      </c>
      <c r="S924" s="83" t="str">
        <f aca="false">YEAR(B924)&amp;"-Q"&amp;ROUNDUP(MONTH(B924)/3,0)</f>
        <v>2026-Q2</v>
      </c>
      <c r="T924" s="87" t="n">
        <f aca="false">IF(O924&gt;0,Q924/O924,"")</f>
        <v>0.5</v>
      </c>
      <c r="U924" s="84" t="n">
        <f aca="false">IF(O924&gt;0,O924,"")</f>
        <v>180</v>
      </c>
    </row>
    <row r="925" customFormat="false" ht="15" hidden="false" customHeight="false" outlineLevel="0" collapsed="false">
      <c r="A925" s="81" t="s">
        <v>1568</v>
      </c>
      <c r="B925" s="82" t="n">
        <v>46146</v>
      </c>
      <c r="C925" s="81" t="s">
        <v>349</v>
      </c>
      <c r="D925" s="83" t="str">
        <f aca="false">IFERROR(INDEX(c_Name,MATCH($C925,c_ID,0)),"غير معرّف")</f>
        <v>خالد الزهراني</v>
      </c>
      <c r="E925" s="83" t="str">
        <f aca="false">IFERROR(INDEX(c_Region,MATCH($C925,c_ID,0)),"غير معرّف")</f>
        <v>الوسطى</v>
      </c>
      <c r="F925" s="81" t="s">
        <v>173</v>
      </c>
      <c r="G925" s="83" t="str">
        <f aca="false">IFERROR(INDEX(p_Name,MATCH($F925,p_ID,0)),"غير معرّف")</f>
        <v>كرسي مريح</v>
      </c>
      <c r="H925" s="83" t="str">
        <f aca="false">IFERROR(INDEX(p_Cat,MATCH($F925,p_ID,0)),"غير معرّف")</f>
        <v>أثاث</v>
      </c>
      <c r="I925" s="81" t="s">
        <v>449</v>
      </c>
      <c r="J925" s="81" t="s">
        <v>91</v>
      </c>
      <c r="K925" s="81" t="n">
        <v>1</v>
      </c>
      <c r="L925" s="84" t="n">
        <f aca="false">IFERROR(INDEX(p_Price,MATCH($F925,p_ID,0)),0)</f>
        <v>850</v>
      </c>
      <c r="M925" s="85" t="n">
        <v>0</v>
      </c>
      <c r="N925" s="81" t="s">
        <v>644</v>
      </c>
      <c r="O925" s="84" t="n">
        <f aca="false">IF($N925="مرتجع",0,K925*L925*(1-M925))</f>
        <v>850</v>
      </c>
      <c r="P925" s="84" t="n">
        <f aca="false">IF($N925="مرتجع",0,K925*IFERROR(INDEX(p_Cost,MATCH($F925,p_ID,0)),0))</f>
        <v>480</v>
      </c>
      <c r="Q925" s="84" t="n">
        <f aca="false">O925-P925</f>
        <v>370</v>
      </c>
      <c r="R925" s="86" t="n">
        <f aca="false">DATE(YEAR(B925),MONTH(B925),1)</f>
        <v>46143</v>
      </c>
      <c r="S925" s="83" t="str">
        <f aca="false">YEAR(B925)&amp;"-Q"&amp;ROUNDUP(MONTH(B925)/3,0)</f>
        <v>2026-Q2</v>
      </c>
      <c r="T925" s="87" t="n">
        <f aca="false">IF(O925&gt;0,Q925/O925,"")</f>
        <v>0.435294117647059</v>
      </c>
      <c r="U925" s="84" t="n">
        <f aca="false">IF(O925&gt;0,O925,"")</f>
        <v>850</v>
      </c>
    </row>
    <row r="926" customFormat="false" ht="15" hidden="false" customHeight="false" outlineLevel="0" collapsed="false">
      <c r="A926" s="81" t="s">
        <v>1569</v>
      </c>
      <c r="B926" s="82" t="n">
        <v>46146</v>
      </c>
      <c r="C926" s="81" t="s">
        <v>242</v>
      </c>
      <c r="D926" s="83" t="str">
        <f aca="false">IFERROR(INDEX(c_Name,MATCH($C926,c_ID,0)),"غير معرّف")</f>
        <v>ياسر الغامدي</v>
      </c>
      <c r="E926" s="83" t="str">
        <f aca="false">IFERROR(INDEX(c_Region,MATCH($C926,c_ID,0)),"غير معرّف")</f>
        <v>الوسطى</v>
      </c>
      <c r="F926" s="81" t="s">
        <v>179</v>
      </c>
      <c r="G926" s="83" t="str">
        <f aca="false">IFERROR(INDEX(p_Name,MATCH($F926,p_ID,0)),"غير معرّف")</f>
        <v>طقم أدوات مكتبية</v>
      </c>
      <c r="H926" s="83" t="str">
        <f aca="false">IFERROR(INDEX(p_Cat,MATCH($F926,p_ID,0)),"غير معرّف")</f>
        <v>مستلزمات مكتبية</v>
      </c>
      <c r="I926" s="81" t="s">
        <v>443</v>
      </c>
      <c r="J926" s="81" t="s">
        <v>93</v>
      </c>
      <c r="K926" s="81" t="n">
        <v>2</v>
      </c>
      <c r="L926" s="84" t="n">
        <f aca="false">IFERROR(INDEX(p_Price,MATCH($F926,p_ID,0)),0)</f>
        <v>90</v>
      </c>
      <c r="M926" s="85" t="n">
        <v>0</v>
      </c>
      <c r="N926" s="81" t="s">
        <v>644</v>
      </c>
      <c r="O926" s="84" t="n">
        <f aca="false">IF($N926="مرتجع",0,K926*L926*(1-M926))</f>
        <v>180</v>
      </c>
      <c r="P926" s="84" t="n">
        <f aca="false">IF($N926="مرتجع",0,K926*IFERROR(INDEX(p_Cost,MATCH($F926,p_ID,0)),0))</f>
        <v>90</v>
      </c>
      <c r="Q926" s="84" t="n">
        <f aca="false">O926-P926</f>
        <v>90</v>
      </c>
      <c r="R926" s="86" t="n">
        <f aca="false">DATE(YEAR(B926),MONTH(B926),1)</f>
        <v>46143</v>
      </c>
      <c r="S926" s="83" t="str">
        <f aca="false">YEAR(B926)&amp;"-Q"&amp;ROUNDUP(MONTH(B926)/3,0)</f>
        <v>2026-Q2</v>
      </c>
      <c r="T926" s="87" t="n">
        <f aca="false">IF(O926&gt;0,Q926/O926,"")</f>
        <v>0.5</v>
      </c>
      <c r="U926" s="84" t="n">
        <f aca="false">IF(O926&gt;0,O926,"")</f>
        <v>180</v>
      </c>
    </row>
    <row r="927" customFormat="false" ht="15" hidden="false" customHeight="false" outlineLevel="0" collapsed="false">
      <c r="A927" s="81" t="s">
        <v>1570</v>
      </c>
      <c r="B927" s="82" t="n">
        <v>46146</v>
      </c>
      <c r="C927" s="81" t="s">
        <v>258</v>
      </c>
      <c r="D927" s="83" t="str">
        <f aca="false">IFERROR(INDEX(c_Name,MATCH($C927,c_ID,0)),"غير معرّف")</f>
        <v>سارة الدوسري</v>
      </c>
      <c r="E927" s="83" t="str">
        <f aca="false">IFERROR(INDEX(c_Region,MATCH($C927,c_ID,0)),"غير معرّف")</f>
        <v>الوسطى</v>
      </c>
      <c r="F927" s="81" t="s">
        <v>167</v>
      </c>
      <c r="G927" s="83" t="str">
        <f aca="false">IFERROR(INDEX(p_Name,MATCH($F927,p_ID,0)),"غير معرّف")</f>
        <v>شاشة 27 بوصة</v>
      </c>
      <c r="H927" s="83" t="str">
        <f aca="false">IFERROR(INDEX(p_Cat,MATCH($F927,p_ID,0)),"غير معرّف")</f>
        <v>إلكترونيات</v>
      </c>
      <c r="I927" s="81" t="s">
        <v>446</v>
      </c>
      <c r="J927" s="81" t="s">
        <v>91</v>
      </c>
      <c r="K927" s="81" t="n">
        <v>1</v>
      </c>
      <c r="L927" s="84" t="n">
        <f aca="false">IFERROR(INDEX(p_Price,MATCH($F927,p_ID,0)),0)</f>
        <v>1100</v>
      </c>
      <c r="M927" s="85" t="n">
        <v>0.05</v>
      </c>
      <c r="N927" s="81" t="s">
        <v>644</v>
      </c>
      <c r="O927" s="84" t="n">
        <f aca="false">IF($N927="مرتجع",0,K927*L927*(1-M927))</f>
        <v>1045</v>
      </c>
      <c r="P927" s="84" t="n">
        <f aca="false">IF($N927="مرتجع",0,K927*IFERROR(INDEX(p_Cost,MATCH($F927,p_ID,0)),0))</f>
        <v>780</v>
      </c>
      <c r="Q927" s="84" t="n">
        <f aca="false">O927-P927</f>
        <v>265</v>
      </c>
      <c r="R927" s="86" t="n">
        <f aca="false">DATE(YEAR(B927),MONTH(B927),1)</f>
        <v>46143</v>
      </c>
      <c r="S927" s="83" t="str">
        <f aca="false">YEAR(B927)&amp;"-Q"&amp;ROUNDUP(MONTH(B927)/3,0)</f>
        <v>2026-Q2</v>
      </c>
      <c r="T927" s="87" t="n">
        <f aca="false">IF(O927&gt;0,Q927/O927,"")</f>
        <v>0.253588516746412</v>
      </c>
      <c r="U927" s="84" t="n">
        <f aca="false">IF(O927&gt;0,O927,"")</f>
        <v>1045</v>
      </c>
    </row>
    <row r="928" customFormat="false" ht="15" hidden="false" customHeight="false" outlineLevel="0" collapsed="false">
      <c r="A928" s="81" t="s">
        <v>1571</v>
      </c>
      <c r="B928" s="82" t="n">
        <v>46146</v>
      </c>
      <c r="C928" s="81" t="s">
        <v>404</v>
      </c>
      <c r="D928" s="83" t="str">
        <f aca="false">IFERROR(INDEX(c_Name,MATCH($C928,c_ID,0)),"غير معرّف")</f>
        <v>عبدالله الحسيني</v>
      </c>
      <c r="E928" s="83" t="str">
        <f aca="false">IFERROR(INDEX(c_Region,MATCH($C928,c_ID,0)),"غير معرّف")</f>
        <v>الشرقية</v>
      </c>
      <c r="F928" s="81" t="s">
        <v>187</v>
      </c>
      <c r="G928" s="83" t="str">
        <f aca="false">IFERROR(INDEX(p_Name,MATCH($F928,p_ID,0)),"غير معرّف")</f>
        <v>جهاز تدليك</v>
      </c>
      <c r="H928" s="83" t="str">
        <f aca="false">IFERROR(INDEX(p_Cat,MATCH($F928,p_ID,0)),"غير معرّف")</f>
        <v>عناية شخصية</v>
      </c>
      <c r="I928" s="81" t="s">
        <v>463</v>
      </c>
      <c r="J928" s="81" t="s">
        <v>93</v>
      </c>
      <c r="K928" s="81" t="n">
        <v>1</v>
      </c>
      <c r="L928" s="84" t="n">
        <f aca="false">IFERROR(INDEX(p_Price,MATCH($F928,p_ID,0)),0)</f>
        <v>600</v>
      </c>
      <c r="M928" s="85" t="n">
        <v>0</v>
      </c>
      <c r="N928" s="81" t="s">
        <v>644</v>
      </c>
      <c r="O928" s="84" t="n">
        <f aca="false">IF($N928="مرتجع",0,K928*L928*(1-M928))</f>
        <v>600</v>
      </c>
      <c r="P928" s="84" t="n">
        <f aca="false">IF($N928="مرتجع",0,K928*IFERROR(INDEX(p_Cost,MATCH($F928,p_ID,0)),0))</f>
        <v>330</v>
      </c>
      <c r="Q928" s="84" t="n">
        <f aca="false">O928-P928</f>
        <v>270</v>
      </c>
      <c r="R928" s="86" t="n">
        <f aca="false">DATE(YEAR(B928),MONTH(B928),1)</f>
        <v>46143</v>
      </c>
      <c r="S928" s="83" t="str">
        <f aca="false">YEAR(B928)&amp;"-Q"&amp;ROUNDUP(MONTH(B928)/3,0)</f>
        <v>2026-Q2</v>
      </c>
      <c r="T928" s="87" t="n">
        <f aca="false">IF(O928&gt;0,Q928/O928,"")</f>
        <v>0.45</v>
      </c>
      <c r="U928" s="84" t="n">
        <f aca="false">IF(O928&gt;0,O928,"")</f>
        <v>600</v>
      </c>
    </row>
    <row r="929" customFormat="false" ht="15" hidden="false" customHeight="false" outlineLevel="0" collapsed="false">
      <c r="A929" s="81" t="s">
        <v>1572</v>
      </c>
      <c r="B929" s="82" t="n">
        <v>46147</v>
      </c>
      <c r="C929" s="81" t="s">
        <v>234</v>
      </c>
      <c r="D929" s="83" t="str">
        <f aca="false">IFERROR(INDEX(c_Name,MATCH($C929,c_ID,0)),"غير معرّف")</f>
        <v>هند الخالدي</v>
      </c>
      <c r="E929" s="83" t="str">
        <f aca="false">IFERROR(INDEX(c_Region,MATCH($C929,c_ID,0)),"غير معرّف")</f>
        <v>الوسطى</v>
      </c>
      <c r="F929" s="81" t="s">
        <v>183</v>
      </c>
      <c r="G929" s="83" t="str">
        <f aca="false">IFERROR(INDEX(p_Name,MATCH($F929,p_ID,0)),"غير معرّف")</f>
        <v>سجادة يوغا</v>
      </c>
      <c r="H929" s="83" t="str">
        <f aca="false">IFERROR(INDEX(p_Cat,MATCH($F929,p_ID,0)),"غير معرّف")</f>
        <v>رياضة</v>
      </c>
      <c r="I929" s="81" t="s">
        <v>449</v>
      </c>
      <c r="J929" s="81" t="s">
        <v>93</v>
      </c>
      <c r="K929" s="81" t="n">
        <v>4</v>
      </c>
      <c r="L929" s="84" t="n">
        <f aca="false">IFERROR(INDEX(p_Price,MATCH($F929,p_ID,0)),0)</f>
        <v>120</v>
      </c>
      <c r="M929" s="85" t="n">
        <v>0</v>
      </c>
      <c r="N929" s="81" t="s">
        <v>644</v>
      </c>
      <c r="O929" s="84" t="n">
        <f aca="false">IF($N929="مرتجع",0,K929*L929*(1-M929))</f>
        <v>480</v>
      </c>
      <c r="P929" s="84" t="n">
        <f aca="false">IF($N929="مرتجع",0,K929*IFERROR(INDEX(p_Cost,MATCH($F929,p_ID,0)),0))</f>
        <v>200</v>
      </c>
      <c r="Q929" s="84" t="n">
        <f aca="false">O929-P929</f>
        <v>280</v>
      </c>
      <c r="R929" s="86" t="n">
        <f aca="false">DATE(YEAR(B929),MONTH(B929),1)</f>
        <v>46143</v>
      </c>
      <c r="S929" s="83" t="str">
        <f aca="false">YEAR(B929)&amp;"-Q"&amp;ROUNDUP(MONTH(B929)/3,0)</f>
        <v>2026-Q2</v>
      </c>
      <c r="T929" s="87" t="n">
        <f aca="false">IF(O929&gt;0,Q929/O929,"")</f>
        <v>0.583333333333333</v>
      </c>
      <c r="U929" s="84" t="n">
        <f aca="false">IF(O929&gt;0,O929,"")</f>
        <v>480</v>
      </c>
    </row>
    <row r="930" customFormat="false" ht="15" hidden="false" customHeight="false" outlineLevel="0" collapsed="false">
      <c r="A930" s="81" t="s">
        <v>1573</v>
      </c>
      <c r="B930" s="82" t="n">
        <v>46147</v>
      </c>
      <c r="C930" s="81" t="s">
        <v>330</v>
      </c>
      <c r="D930" s="83" t="str">
        <f aca="false">IFERROR(INDEX(c_Name,MATCH($C930,c_ID,0)),"غير معرّف")</f>
        <v>سارة السبيعي</v>
      </c>
      <c r="E930" s="83" t="str">
        <f aca="false">IFERROR(INDEX(c_Region,MATCH($C930,c_ID,0)),"غير معرّف")</f>
        <v>الشرقية</v>
      </c>
      <c r="F930" s="81" t="s">
        <v>179</v>
      </c>
      <c r="G930" s="83" t="str">
        <f aca="false">IFERROR(INDEX(p_Name,MATCH($F930,p_ID,0)),"غير معرّف")</f>
        <v>طقم أدوات مكتبية</v>
      </c>
      <c r="H930" s="83" t="str">
        <f aca="false">IFERROR(INDEX(p_Cat,MATCH($F930,p_ID,0)),"غير معرّف")</f>
        <v>مستلزمات مكتبية</v>
      </c>
      <c r="I930" s="81" t="s">
        <v>463</v>
      </c>
      <c r="J930" s="81" t="s">
        <v>93</v>
      </c>
      <c r="K930" s="81" t="n">
        <v>7</v>
      </c>
      <c r="L930" s="84" t="n">
        <f aca="false">IFERROR(INDEX(p_Price,MATCH($F930,p_ID,0)),0)</f>
        <v>90</v>
      </c>
      <c r="M930" s="85" t="n">
        <v>0</v>
      </c>
      <c r="N930" s="81" t="s">
        <v>650</v>
      </c>
      <c r="O930" s="84" t="n">
        <f aca="false">IF($N930="مرتجع",0,K930*L930*(1-M930))</f>
        <v>0</v>
      </c>
      <c r="P930" s="84" t="n">
        <f aca="false">IF($N930="مرتجع",0,K930*IFERROR(INDEX(p_Cost,MATCH($F930,p_ID,0)),0))</f>
        <v>0</v>
      </c>
      <c r="Q930" s="84" t="n">
        <f aca="false">O930-P930</f>
        <v>0</v>
      </c>
      <c r="R930" s="86" t="n">
        <f aca="false">DATE(YEAR(B930),MONTH(B930),1)</f>
        <v>46143</v>
      </c>
      <c r="S930" s="83" t="str">
        <f aca="false">YEAR(B930)&amp;"-Q"&amp;ROUNDUP(MONTH(B930)/3,0)</f>
        <v>2026-Q2</v>
      </c>
      <c r="T930" s="87" t="str">
        <f aca="false">IF(O930&gt;0,Q930/O930,"")</f>
        <v/>
      </c>
      <c r="U930" s="84" t="str">
        <f aca="false">IF(O930&gt;0,O930,"")</f>
        <v/>
      </c>
    </row>
    <row r="931" customFormat="false" ht="15" hidden="false" customHeight="false" outlineLevel="0" collapsed="false">
      <c r="A931" s="81" t="s">
        <v>1574</v>
      </c>
      <c r="B931" s="82" t="n">
        <v>46148</v>
      </c>
      <c r="C931" s="81" t="s">
        <v>378</v>
      </c>
      <c r="D931" s="83" t="str">
        <f aca="false">IFERROR(INDEX(c_Name,MATCH($C931,c_ID,0)),"غير معرّف")</f>
        <v>هند الغامدي</v>
      </c>
      <c r="E931" s="83" t="str">
        <f aca="false">IFERROR(INDEX(c_Region,MATCH($C931,c_ID,0)),"غير معرّف")</f>
        <v>الوسطى</v>
      </c>
      <c r="F931" s="81" t="s">
        <v>185</v>
      </c>
      <c r="G931" s="83" t="str">
        <f aca="false">IFERROR(INDEX(p_Name,MATCH($F931,p_ID,0)),"غير معرّف")</f>
        <v>ماكينة حلاقة</v>
      </c>
      <c r="H931" s="83" t="str">
        <f aca="false">IFERROR(INDEX(p_Cat,MATCH($F931,p_ID,0)),"غير معرّف")</f>
        <v>عناية شخصية</v>
      </c>
      <c r="I931" s="81" t="s">
        <v>449</v>
      </c>
      <c r="J931" s="81" t="s">
        <v>93</v>
      </c>
      <c r="K931" s="81" t="n">
        <v>6</v>
      </c>
      <c r="L931" s="84" t="n">
        <f aca="false">IFERROR(INDEX(p_Price,MATCH($F931,p_ID,0)),0)</f>
        <v>340</v>
      </c>
      <c r="M931" s="85" t="n">
        <v>0</v>
      </c>
      <c r="N931" s="81" t="s">
        <v>650</v>
      </c>
      <c r="O931" s="84" t="n">
        <f aca="false">IF($N931="مرتجع",0,K931*L931*(1-M931))</f>
        <v>0</v>
      </c>
      <c r="P931" s="84" t="n">
        <f aca="false">IF($N931="مرتجع",0,K931*IFERROR(INDEX(p_Cost,MATCH($F931,p_ID,0)),0))</f>
        <v>0</v>
      </c>
      <c r="Q931" s="84" t="n">
        <f aca="false">O931-P931</f>
        <v>0</v>
      </c>
      <c r="R931" s="86" t="n">
        <f aca="false">DATE(YEAR(B931),MONTH(B931),1)</f>
        <v>46143</v>
      </c>
      <c r="S931" s="83" t="str">
        <f aca="false">YEAR(B931)&amp;"-Q"&amp;ROUNDUP(MONTH(B931)/3,0)</f>
        <v>2026-Q2</v>
      </c>
      <c r="T931" s="87" t="str">
        <f aca="false">IF(O931&gt;0,Q931/O931,"")</f>
        <v/>
      </c>
      <c r="U931" s="84" t="str">
        <f aca="false">IF(O931&gt;0,O931,"")</f>
        <v/>
      </c>
    </row>
    <row r="932" customFormat="false" ht="15" hidden="false" customHeight="false" outlineLevel="0" collapsed="false">
      <c r="A932" s="81" t="s">
        <v>1575</v>
      </c>
      <c r="B932" s="82" t="n">
        <v>46148</v>
      </c>
      <c r="C932" s="81" t="s">
        <v>400</v>
      </c>
      <c r="D932" s="83" t="str">
        <f aca="false">IFERROR(INDEX(c_Name,MATCH($C932,c_ID,0)),"غير معرّف")</f>
        <v>عبير الشهري</v>
      </c>
      <c r="E932" s="83" t="str">
        <f aca="false">IFERROR(INDEX(c_Region,MATCH($C932,c_ID,0)),"غير معرّف")</f>
        <v>الوسطى</v>
      </c>
      <c r="F932" s="81" t="s">
        <v>175</v>
      </c>
      <c r="G932" s="83" t="str">
        <f aca="false">IFERROR(INDEX(p_Name,MATCH($F932,p_ID,0)),"غير معرّف")</f>
        <v>رف كتب</v>
      </c>
      <c r="H932" s="83" t="str">
        <f aca="false">IFERROR(INDEX(p_Cat,MATCH($F932,p_ID,0)),"غير معرّف")</f>
        <v>أثاث</v>
      </c>
      <c r="I932" s="81" t="s">
        <v>446</v>
      </c>
      <c r="J932" s="81" t="s">
        <v>91</v>
      </c>
      <c r="K932" s="81" t="n">
        <v>2</v>
      </c>
      <c r="L932" s="84" t="n">
        <f aca="false">IFERROR(INDEX(p_Price,MATCH($F932,p_ID,0)),0)</f>
        <v>400</v>
      </c>
      <c r="M932" s="85" t="n">
        <v>0.05</v>
      </c>
      <c r="N932" s="81" t="s">
        <v>644</v>
      </c>
      <c r="O932" s="84" t="n">
        <f aca="false">IF($N932="مرتجع",0,K932*L932*(1-M932))</f>
        <v>760</v>
      </c>
      <c r="P932" s="84" t="n">
        <f aca="false">IF($N932="مرتجع",0,K932*IFERROR(INDEX(p_Cost,MATCH($F932,p_ID,0)),0))</f>
        <v>440</v>
      </c>
      <c r="Q932" s="84" t="n">
        <f aca="false">O932-P932</f>
        <v>320</v>
      </c>
      <c r="R932" s="86" t="n">
        <f aca="false">DATE(YEAR(B932),MONTH(B932),1)</f>
        <v>46143</v>
      </c>
      <c r="S932" s="83" t="str">
        <f aca="false">YEAR(B932)&amp;"-Q"&amp;ROUNDUP(MONTH(B932)/3,0)</f>
        <v>2026-Q2</v>
      </c>
      <c r="T932" s="87" t="n">
        <f aca="false">IF(O932&gt;0,Q932/O932,"")</f>
        <v>0.421052631578947</v>
      </c>
      <c r="U932" s="84" t="n">
        <f aca="false">IF(O932&gt;0,O932,"")</f>
        <v>760</v>
      </c>
    </row>
    <row r="933" customFormat="false" ht="15" hidden="false" customHeight="false" outlineLevel="0" collapsed="false">
      <c r="A933" s="81" t="s">
        <v>1576</v>
      </c>
      <c r="B933" s="82" t="n">
        <v>46148</v>
      </c>
      <c r="C933" s="81" t="s">
        <v>291</v>
      </c>
      <c r="D933" s="83" t="str">
        <f aca="false">IFERROR(INDEX(c_Name,MATCH($C933,c_ID,0)),"غير معرّف")</f>
        <v>ياسر الشمري</v>
      </c>
      <c r="E933" s="83" t="str">
        <f aca="false">IFERROR(INDEX(c_Region,MATCH($C933,c_ID,0)),"غير معرّف")</f>
        <v>الوسطى</v>
      </c>
      <c r="F933" s="81" t="s">
        <v>181</v>
      </c>
      <c r="G933" s="83" t="str">
        <f aca="false">IFERROR(INDEX(p_Name,MATCH($F933,p_ID,0)),"غير معرّف")</f>
        <v>دراجة ثابتة</v>
      </c>
      <c r="H933" s="83" t="str">
        <f aca="false">IFERROR(INDEX(p_Cat,MATCH($F933,p_ID,0)),"غير معرّف")</f>
        <v>رياضة</v>
      </c>
      <c r="I933" s="81" t="s">
        <v>443</v>
      </c>
      <c r="J933" s="81" t="s">
        <v>91</v>
      </c>
      <c r="K933" s="81" t="n">
        <v>1</v>
      </c>
      <c r="L933" s="84" t="n">
        <f aca="false">IFERROR(INDEX(p_Price,MATCH($F933,p_ID,0)),0)</f>
        <v>1800</v>
      </c>
      <c r="M933" s="85" t="n">
        <v>0</v>
      </c>
      <c r="N933" s="81" t="s">
        <v>644</v>
      </c>
      <c r="O933" s="84" t="n">
        <f aca="false">IF($N933="مرتجع",0,K933*L933*(1-M933))</f>
        <v>1800</v>
      </c>
      <c r="P933" s="84" t="n">
        <f aca="false">IF($N933="مرتجع",0,K933*IFERROR(INDEX(p_Cost,MATCH($F933,p_ID,0)),0))</f>
        <v>1200</v>
      </c>
      <c r="Q933" s="84" t="n">
        <f aca="false">O933-P933</f>
        <v>600</v>
      </c>
      <c r="R933" s="86" t="n">
        <f aca="false">DATE(YEAR(B933),MONTH(B933),1)</f>
        <v>46143</v>
      </c>
      <c r="S933" s="83" t="str">
        <f aca="false">YEAR(B933)&amp;"-Q"&amp;ROUNDUP(MONTH(B933)/3,0)</f>
        <v>2026-Q2</v>
      </c>
      <c r="T933" s="87" t="n">
        <f aca="false">IF(O933&gt;0,Q933/O933,"")</f>
        <v>0.333333333333333</v>
      </c>
      <c r="U933" s="84" t="n">
        <f aca="false">IF(O933&gt;0,O933,"")</f>
        <v>1800</v>
      </c>
    </row>
    <row r="934" customFormat="false" ht="15" hidden="false" customHeight="false" outlineLevel="0" collapsed="false">
      <c r="A934" s="81" t="s">
        <v>1577</v>
      </c>
      <c r="B934" s="82" t="n">
        <v>46148</v>
      </c>
      <c r="C934" s="81" t="s">
        <v>340</v>
      </c>
      <c r="D934" s="83" t="str">
        <f aca="false">IFERROR(INDEX(c_Name,MATCH($C934,c_ID,0)),"غير معرّف")</f>
        <v>سعد الشهري</v>
      </c>
      <c r="E934" s="83" t="str">
        <f aca="false">IFERROR(INDEX(c_Region,MATCH($C934,c_ID,0)),"غير معرّف")</f>
        <v>الوسطى</v>
      </c>
      <c r="F934" s="81" t="s">
        <v>173</v>
      </c>
      <c r="G934" s="83" t="str">
        <f aca="false">IFERROR(INDEX(p_Name,MATCH($F934,p_ID,0)),"غير معرّف")</f>
        <v>كرسي مريح</v>
      </c>
      <c r="H934" s="83" t="str">
        <f aca="false">IFERROR(INDEX(p_Cat,MATCH($F934,p_ID,0)),"غير معرّف")</f>
        <v>أثاث</v>
      </c>
      <c r="I934" s="81" t="s">
        <v>443</v>
      </c>
      <c r="J934" s="81" t="s">
        <v>93</v>
      </c>
      <c r="K934" s="81" t="n">
        <v>2</v>
      </c>
      <c r="L934" s="84" t="n">
        <f aca="false">IFERROR(INDEX(p_Price,MATCH($F934,p_ID,0)),0)</f>
        <v>850</v>
      </c>
      <c r="M934" s="85" t="n">
        <v>0</v>
      </c>
      <c r="N934" s="81" t="s">
        <v>644</v>
      </c>
      <c r="O934" s="84" t="n">
        <f aca="false">IF($N934="مرتجع",0,K934*L934*(1-M934))</f>
        <v>1700</v>
      </c>
      <c r="P934" s="84" t="n">
        <f aca="false">IF($N934="مرتجع",0,K934*IFERROR(INDEX(p_Cost,MATCH($F934,p_ID,0)),0))</f>
        <v>960</v>
      </c>
      <c r="Q934" s="84" t="n">
        <f aca="false">O934-P934</f>
        <v>740</v>
      </c>
      <c r="R934" s="86" t="n">
        <f aca="false">DATE(YEAR(B934),MONTH(B934),1)</f>
        <v>46143</v>
      </c>
      <c r="S934" s="83" t="str">
        <f aca="false">YEAR(B934)&amp;"-Q"&amp;ROUNDUP(MONTH(B934)/3,0)</f>
        <v>2026-Q2</v>
      </c>
      <c r="T934" s="87" t="n">
        <f aca="false">IF(O934&gt;0,Q934/O934,"")</f>
        <v>0.435294117647059</v>
      </c>
      <c r="U934" s="84" t="n">
        <f aca="false">IF(O934&gt;0,O934,"")</f>
        <v>1700</v>
      </c>
    </row>
    <row r="935" customFormat="false" ht="15" hidden="false" customHeight="false" outlineLevel="0" collapsed="false">
      <c r="A935" s="81" t="s">
        <v>1578</v>
      </c>
      <c r="B935" s="82" t="n">
        <v>46149</v>
      </c>
      <c r="C935" s="81" t="s">
        <v>264</v>
      </c>
      <c r="D935" s="83" t="str">
        <f aca="false">IFERROR(INDEX(c_Name,MATCH($C935,c_ID,0)),"غير معرّف")</f>
        <v>عبدالله التميمي</v>
      </c>
      <c r="E935" s="83" t="str">
        <f aca="false">IFERROR(INDEX(c_Region,MATCH($C935,c_ID,0)),"غير معرّف")</f>
        <v>الوسطى</v>
      </c>
      <c r="F935" s="81" t="s">
        <v>183</v>
      </c>
      <c r="G935" s="83" t="str">
        <f aca="false">IFERROR(INDEX(p_Name,MATCH($F935,p_ID,0)),"غير معرّف")</f>
        <v>سجادة يوغا</v>
      </c>
      <c r="H935" s="83" t="str">
        <f aca="false">IFERROR(INDEX(p_Cat,MATCH($F935,p_ID,0)),"غير معرّف")</f>
        <v>رياضة</v>
      </c>
      <c r="I935" s="81" t="s">
        <v>443</v>
      </c>
      <c r="J935" s="81" t="s">
        <v>91</v>
      </c>
      <c r="K935" s="81" t="n">
        <v>2</v>
      </c>
      <c r="L935" s="84" t="n">
        <f aca="false">IFERROR(INDEX(p_Price,MATCH($F935,p_ID,0)),0)</f>
        <v>120</v>
      </c>
      <c r="M935" s="85" t="n">
        <v>0.15</v>
      </c>
      <c r="N935" s="81" t="s">
        <v>644</v>
      </c>
      <c r="O935" s="84" t="n">
        <f aca="false">IF($N935="مرتجع",0,K935*L935*(1-M935))</f>
        <v>204</v>
      </c>
      <c r="P935" s="84" t="n">
        <f aca="false">IF($N935="مرتجع",0,K935*IFERROR(INDEX(p_Cost,MATCH($F935,p_ID,0)),0))</f>
        <v>100</v>
      </c>
      <c r="Q935" s="84" t="n">
        <f aca="false">O935-P935</f>
        <v>104</v>
      </c>
      <c r="R935" s="86" t="n">
        <f aca="false">DATE(YEAR(B935),MONTH(B935),1)</f>
        <v>46143</v>
      </c>
      <c r="S935" s="83" t="str">
        <f aca="false">YEAR(B935)&amp;"-Q"&amp;ROUNDUP(MONTH(B935)/3,0)</f>
        <v>2026-Q2</v>
      </c>
      <c r="T935" s="87" t="n">
        <f aca="false">IF(O935&gt;0,Q935/O935,"")</f>
        <v>0.509803921568627</v>
      </c>
      <c r="U935" s="84" t="n">
        <f aca="false">IF(O935&gt;0,O935,"")</f>
        <v>204</v>
      </c>
    </row>
    <row r="936" customFormat="false" ht="15" hidden="false" customHeight="false" outlineLevel="0" collapsed="false">
      <c r="A936" s="81" t="s">
        <v>1579</v>
      </c>
      <c r="B936" s="82" t="n">
        <v>46149</v>
      </c>
      <c r="C936" s="81" t="s">
        <v>304</v>
      </c>
      <c r="D936" s="83" t="str">
        <f aca="false">IFERROR(INDEX(c_Name,MATCH($C936,c_ID,0)),"غير معرّف")</f>
        <v>سلمان السبيعي</v>
      </c>
      <c r="E936" s="83" t="str">
        <f aca="false">IFERROR(INDEX(c_Region,MATCH($C936,c_ID,0)),"غير معرّف")</f>
        <v>الشرقية</v>
      </c>
      <c r="F936" s="81" t="s">
        <v>183</v>
      </c>
      <c r="G936" s="83" t="str">
        <f aca="false">IFERROR(INDEX(p_Name,MATCH($F936,p_ID,0)),"غير معرّف")</f>
        <v>سجادة يوغا</v>
      </c>
      <c r="H936" s="83" t="str">
        <f aca="false">IFERROR(INDEX(p_Cat,MATCH($F936,p_ID,0)),"غير معرّف")</f>
        <v>رياضة</v>
      </c>
      <c r="I936" s="81" t="s">
        <v>461</v>
      </c>
      <c r="J936" s="81" t="s">
        <v>91</v>
      </c>
      <c r="K936" s="81" t="n">
        <v>2</v>
      </c>
      <c r="L936" s="84" t="n">
        <f aca="false">IFERROR(INDEX(p_Price,MATCH($F936,p_ID,0)),0)</f>
        <v>120</v>
      </c>
      <c r="M936" s="85" t="n">
        <v>0.05</v>
      </c>
      <c r="N936" s="81" t="s">
        <v>644</v>
      </c>
      <c r="O936" s="84" t="n">
        <f aca="false">IF($N936="مرتجع",0,K936*L936*(1-M936))</f>
        <v>228</v>
      </c>
      <c r="P936" s="84" t="n">
        <f aca="false">IF($N936="مرتجع",0,K936*IFERROR(INDEX(p_Cost,MATCH($F936,p_ID,0)),0))</f>
        <v>100</v>
      </c>
      <c r="Q936" s="84" t="n">
        <f aca="false">O936-P936</f>
        <v>128</v>
      </c>
      <c r="R936" s="86" t="n">
        <f aca="false">DATE(YEAR(B936),MONTH(B936),1)</f>
        <v>46143</v>
      </c>
      <c r="S936" s="83" t="str">
        <f aca="false">YEAR(B936)&amp;"-Q"&amp;ROUNDUP(MONTH(B936)/3,0)</f>
        <v>2026-Q2</v>
      </c>
      <c r="T936" s="87" t="n">
        <f aca="false">IF(O936&gt;0,Q936/O936,"")</f>
        <v>0.56140350877193</v>
      </c>
      <c r="U936" s="84" t="n">
        <f aca="false">IF(O936&gt;0,O936,"")</f>
        <v>228</v>
      </c>
    </row>
    <row r="937" customFormat="false" ht="15" hidden="false" customHeight="false" outlineLevel="0" collapsed="false">
      <c r="A937" s="81" t="s">
        <v>1580</v>
      </c>
      <c r="B937" s="82" t="n">
        <v>46149</v>
      </c>
      <c r="C937" s="81" t="s">
        <v>283</v>
      </c>
      <c r="D937" s="83" t="str">
        <f aca="false">IFERROR(INDEX(c_Name,MATCH($C937,c_ID,0)),"غير معرّف")</f>
        <v>فهد السبيعي</v>
      </c>
      <c r="E937" s="83" t="str">
        <f aca="false">IFERROR(INDEX(c_Region,MATCH($C937,c_ID,0)),"غير معرّف")</f>
        <v>الغربية</v>
      </c>
      <c r="F937" s="81" t="s">
        <v>179</v>
      </c>
      <c r="G937" s="83" t="str">
        <f aca="false">IFERROR(INDEX(p_Name,MATCH($F937,p_ID,0)),"غير معرّف")</f>
        <v>طقم أدوات مكتبية</v>
      </c>
      <c r="H937" s="83" t="str">
        <f aca="false">IFERROR(INDEX(p_Cat,MATCH($F937,p_ID,0)),"غير معرّف")</f>
        <v>مستلزمات مكتبية</v>
      </c>
      <c r="I937" s="81" t="s">
        <v>455</v>
      </c>
      <c r="J937" s="81" t="s">
        <v>91</v>
      </c>
      <c r="K937" s="81" t="n">
        <v>3</v>
      </c>
      <c r="L937" s="84" t="n">
        <f aca="false">IFERROR(INDEX(p_Price,MATCH($F937,p_ID,0)),0)</f>
        <v>90</v>
      </c>
      <c r="M937" s="85" t="n">
        <v>0</v>
      </c>
      <c r="N937" s="81" t="s">
        <v>644</v>
      </c>
      <c r="O937" s="84" t="n">
        <f aca="false">IF($N937="مرتجع",0,K937*L937*(1-M937))</f>
        <v>270</v>
      </c>
      <c r="P937" s="84" t="n">
        <f aca="false">IF($N937="مرتجع",0,K937*IFERROR(INDEX(p_Cost,MATCH($F937,p_ID,0)),0))</f>
        <v>135</v>
      </c>
      <c r="Q937" s="84" t="n">
        <f aca="false">O937-P937</f>
        <v>135</v>
      </c>
      <c r="R937" s="86" t="n">
        <f aca="false">DATE(YEAR(B937),MONTH(B937),1)</f>
        <v>46143</v>
      </c>
      <c r="S937" s="83" t="str">
        <f aca="false">YEAR(B937)&amp;"-Q"&amp;ROUNDUP(MONTH(B937)/3,0)</f>
        <v>2026-Q2</v>
      </c>
      <c r="T937" s="87" t="n">
        <f aca="false">IF(O937&gt;0,Q937/O937,"")</f>
        <v>0.5</v>
      </c>
      <c r="U937" s="84" t="n">
        <f aca="false">IF(O937&gt;0,O937,"")</f>
        <v>270</v>
      </c>
    </row>
    <row r="938" customFormat="false" ht="15" hidden="false" customHeight="false" outlineLevel="0" collapsed="false">
      <c r="A938" s="81" t="s">
        <v>1581</v>
      </c>
      <c r="B938" s="82" t="n">
        <v>46149</v>
      </c>
      <c r="C938" s="81" t="s">
        <v>334</v>
      </c>
      <c r="D938" s="83" t="str">
        <f aca="false">IFERROR(INDEX(c_Name,MATCH($C938,c_ID,0)),"غير معرّف")</f>
        <v>ناصر الغامدي</v>
      </c>
      <c r="E938" s="83" t="str">
        <f aca="false">IFERROR(INDEX(c_Region,MATCH($C938,c_ID,0)),"غير معرّف")</f>
        <v>الغربية</v>
      </c>
      <c r="F938" s="81" t="s">
        <v>182</v>
      </c>
      <c r="G938" s="83" t="str">
        <f aca="false">IFERROR(INDEX(p_Name,MATCH($F938,p_ID,0)),"غير معرّف")</f>
        <v>طقم أوزان</v>
      </c>
      <c r="H938" s="83" t="str">
        <f aca="false">IFERROR(INDEX(p_Cat,MATCH($F938,p_ID,0)),"غير معرّف")</f>
        <v>رياضة</v>
      </c>
      <c r="I938" s="81" t="s">
        <v>455</v>
      </c>
      <c r="J938" s="81" t="s">
        <v>93</v>
      </c>
      <c r="K938" s="81" t="n">
        <v>4</v>
      </c>
      <c r="L938" s="84" t="n">
        <f aca="false">IFERROR(INDEX(p_Price,MATCH($F938,p_ID,0)),0)</f>
        <v>380</v>
      </c>
      <c r="M938" s="85" t="n">
        <v>0</v>
      </c>
      <c r="N938" s="81" t="s">
        <v>644</v>
      </c>
      <c r="O938" s="84" t="n">
        <f aca="false">IF($N938="مرتجع",0,K938*L938*(1-M938))</f>
        <v>1520</v>
      </c>
      <c r="P938" s="84" t="n">
        <f aca="false">IF($N938="مرتجع",0,K938*IFERROR(INDEX(p_Cost,MATCH($F938,p_ID,0)),0))</f>
        <v>840</v>
      </c>
      <c r="Q938" s="84" t="n">
        <f aca="false">O938-P938</f>
        <v>680</v>
      </c>
      <c r="R938" s="86" t="n">
        <f aca="false">DATE(YEAR(B938),MONTH(B938),1)</f>
        <v>46143</v>
      </c>
      <c r="S938" s="83" t="str">
        <f aca="false">YEAR(B938)&amp;"-Q"&amp;ROUNDUP(MONTH(B938)/3,0)</f>
        <v>2026-Q2</v>
      </c>
      <c r="T938" s="87" t="n">
        <f aca="false">IF(O938&gt;0,Q938/O938,"")</f>
        <v>0.447368421052632</v>
      </c>
      <c r="U938" s="84" t="n">
        <f aca="false">IF(O938&gt;0,O938,"")</f>
        <v>1520</v>
      </c>
    </row>
    <row r="939" customFormat="false" ht="15" hidden="false" customHeight="false" outlineLevel="0" collapsed="false">
      <c r="A939" s="81" t="s">
        <v>1582</v>
      </c>
      <c r="B939" s="82" t="n">
        <v>46149</v>
      </c>
      <c r="C939" s="81" t="s">
        <v>320</v>
      </c>
      <c r="D939" s="83" t="str">
        <f aca="false">IFERROR(INDEX(c_Name,MATCH($C939,c_ID,0)),"غير معرّف")</f>
        <v>دانة التميمي</v>
      </c>
      <c r="E939" s="83" t="str">
        <f aca="false">IFERROR(INDEX(c_Region,MATCH($C939,c_ID,0)),"غير معرّف")</f>
        <v>الوسطى</v>
      </c>
      <c r="F939" s="81" t="s">
        <v>186</v>
      </c>
      <c r="G939" s="83" t="str">
        <f aca="false">IFERROR(INDEX(p_Name,MATCH($F939,p_ID,0)),"غير معرّف")</f>
        <v>مجفف شعر</v>
      </c>
      <c r="H939" s="83" t="str">
        <f aca="false">IFERROR(INDEX(p_Cat,MATCH($F939,p_ID,0)),"غير معرّف")</f>
        <v>عناية شخصية</v>
      </c>
      <c r="I939" s="81" t="s">
        <v>443</v>
      </c>
      <c r="J939" s="81" t="s">
        <v>93</v>
      </c>
      <c r="K939" s="81" t="n">
        <v>1</v>
      </c>
      <c r="L939" s="84" t="n">
        <f aca="false">IFERROR(INDEX(p_Price,MATCH($F939,p_ID,0)),0)</f>
        <v>280</v>
      </c>
      <c r="M939" s="85" t="n">
        <v>0</v>
      </c>
      <c r="N939" s="81" t="s">
        <v>644</v>
      </c>
      <c r="O939" s="84" t="n">
        <f aca="false">IF($N939="مرتجع",0,K939*L939*(1-M939))</f>
        <v>280</v>
      </c>
      <c r="P939" s="84" t="n">
        <f aca="false">IF($N939="مرتجع",0,K939*IFERROR(INDEX(p_Cost,MATCH($F939,p_ID,0)),0))</f>
        <v>140</v>
      </c>
      <c r="Q939" s="84" t="n">
        <f aca="false">O939-P939</f>
        <v>140</v>
      </c>
      <c r="R939" s="86" t="n">
        <f aca="false">DATE(YEAR(B939),MONTH(B939),1)</f>
        <v>46143</v>
      </c>
      <c r="S939" s="83" t="str">
        <f aca="false">YEAR(B939)&amp;"-Q"&amp;ROUNDUP(MONTH(B939)/3,0)</f>
        <v>2026-Q2</v>
      </c>
      <c r="T939" s="87" t="n">
        <f aca="false">IF(O939&gt;0,Q939/O939,"")</f>
        <v>0.5</v>
      </c>
      <c r="U939" s="84" t="n">
        <f aca="false">IF(O939&gt;0,O939,"")</f>
        <v>280</v>
      </c>
    </row>
    <row r="940" customFormat="false" ht="15" hidden="false" customHeight="false" outlineLevel="0" collapsed="false">
      <c r="A940" s="81" t="s">
        <v>1583</v>
      </c>
      <c r="B940" s="82" t="n">
        <v>46149</v>
      </c>
      <c r="C940" s="81" t="s">
        <v>389</v>
      </c>
      <c r="D940" s="83" t="str">
        <f aca="false">IFERROR(INDEX(c_Name,MATCH($C940,c_ID,0)),"غير معرّف")</f>
        <v>ليلى القحطاني</v>
      </c>
      <c r="E940" s="83" t="str">
        <f aca="false">IFERROR(INDEX(c_Region,MATCH($C940,c_ID,0)),"غير معرّف")</f>
        <v>الشرقية</v>
      </c>
      <c r="F940" s="81" t="s">
        <v>177</v>
      </c>
      <c r="G940" s="83" t="str">
        <f aca="false">IFERROR(INDEX(p_Name,MATCH($F940,p_ID,0)),"غير معرّف")</f>
        <v>ورق A4 (صندوق)</v>
      </c>
      <c r="H940" s="83" t="str">
        <f aca="false">IFERROR(INDEX(p_Cat,MATCH($F940,p_ID,0)),"غير معرّف")</f>
        <v>مستلزمات مكتبية</v>
      </c>
      <c r="I940" s="81" t="s">
        <v>463</v>
      </c>
      <c r="J940" s="81" t="s">
        <v>95</v>
      </c>
      <c r="K940" s="81" t="n">
        <v>5</v>
      </c>
      <c r="L940" s="84" t="n">
        <f aca="false">IFERROR(INDEX(p_Price,MATCH($F940,p_ID,0)),0)</f>
        <v>140</v>
      </c>
      <c r="M940" s="85" t="n">
        <v>0.2</v>
      </c>
      <c r="N940" s="81" t="s">
        <v>644</v>
      </c>
      <c r="O940" s="84" t="n">
        <f aca="false">IF($N940="مرتجع",0,K940*L940*(1-M940))</f>
        <v>560</v>
      </c>
      <c r="P940" s="84" t="n">
        <f aca="false">IF($N940="مرتجع",0,K940*IFERROR(INDEX(p_Cost,MATCH($F940,p_ID,0)),0))</f>
        <v>475</v>
      </c>
      <c r="Q940" s="84" t="n">
        <f aca="false">O940-P940</f>
        <v>85</v>
      </c>
      <c r="R940" s="86" t="n">
        <f aca="false">DATE(YEAR(B940),MONTH(B940),1)</f>
        <v>46143</v>
      </c>
      <c r="S940" s="83" t="str">
        <f aca="false">YEAR(B940)&amp;"-Q"&amp;ROUNDUP(MONTH(B940)/3,0)</f>
        <v>2026-Q2</v>
      </c>
      <c r="T940" s="87" t="n">
        <f aca="false">IF(O940&gt;0,Q940/O940,"")</f>
        <v>0.151785714285714</v>
      </c>
      <c r="U940" s="84" t="n">
        <f aca="false">IF(O940&gt;0,O940,"")</f>
        <v>560</v>
      </c>
    </row>
    <row r="941" customFormat="false" ht="15" hidden="false" customHeight="false" outlineLevel="0" collapsed="false">
      <c r="A941" s="81" t="s">
        <v>1584</v>
      </c>
      <c r="B941" s="82" t="n">
        <v>46149</v>
      </c>
      <c r="C941" s="81" t="s">
        <v>387</v>
      </c>
      <c r="D941" s="83" t="str">
        <f aca="false">IFERROR(INDEX(c_Name,MATCH($C941,c_ID,0)),"غير معرّف")</f>
        <v>لمى الشمري</v>
      </c>
      <c r="E941" s="83" t="str">
        <f aca="false">IFERROR(INDEX(c_Region,MATCH($C941,c_ID,0)),"غير معرّف")</f>
        <v>الوسطى</v>
      </c>
      <c r="F941" s="81" t="s">
        <v>181</v>
      </c>
      <c r="G941" s="83" t="str">
        <f aca="false">IFERROR(INDEX(p_Name,MATCH($F941,p_ID,0)),"غير معرّف")</f>
        <v>دراجة ثابتة</v>
      </c>
      <c r="H941" s="83" t="str">
        <f aca="false">IFERROR(INDEX(p_Cat,MATCH($F941,p_ID,0)),"غير معرّف")</f>
        <v>رياضة</v>
      </c>
      <c r="I941" s="81" t="s">
        <v>443</v>
      </c>
      <c r="J941" s="81" t="s">
        <v>93</v>
      </c>
      <c r="K941" s="81" t="n">
        <v>1</v>
      </c>
      <c r="L941" s="84" t="n">
        <f aca="false">IFERROR(INDEX(p_Price,MATCH($F941,p_ID,0)),0)</f>
        <v>1800</v>
      </c>
      <c r="M941" s="85" t="n">
        <v>0</v>
      </c>
      <c r="N941" s="81" t="s">
        <v>644</v>
      </c>
      <c r="O941" s="84" t="n">
        <f aca="false">IF($N941="مرتجع",0,K941*L941*(1-M941))</f>
        <v>1800</v>
      </c>
      <c r="P941" s="84" t="n">
        <f aca="false">IF($N941="مرتجع",0,K941*IFERROR(INDEX(p_Cost,MATCH($F941,p_ID,0)),0))</f>
        <v>1200</v>
      </c>
      <c r="Q941" s="84" t="n">
        <f aca="false">O941-P941</f>
        <v>600</v>
      </c>
      <c r="R941" s="86" t="n">
        <f aca="false">DATE(YEAR(B941),MONTH(B941),1)</f>
        <v>46143</v>
      </c>
      <c r="S941" s="83" t="str">
        <f aca="false">YEAR(B941)&amp;"-Q"&amp;ROUNDUP(MONTH(B941)/3,0)</f>
        <v>2026-Q2</v>
      </c>
      <c r="T941" s="87" t="n">
        <f aca="false">IF(O941&gt;0,Q941/O941,"")</f>
        <v>0.333333333333333</v>
      </c>
      <c r="U941" s="84" t="n">
        <f aca="false">IF(O941&gt;0,O941,"")</f>
        <v>1800</v>
      </c>
    </row>
    <row r="942" customFormat="false" ht="15" hidden="false" customHeight="false" outlineLevel="0" collapsed="false">
      <c r="A942" s="81" t="s">
        <v>1585</v>
      </c>
      <c r="B942" s="82" t="n">
        <v>46149</v>
      </c>
      <c r="C942" s="81" t="s">
        <v>249</v>
      </c>
      <c r="D942" s="83" t="str">
        <f aca="false">IFERROR(INDEX(c_Name,MATCH($C942,c_ID,0)),"غير معرّف")</f>
        <v>ريم الحسيني</v>
      </c>
      <c r="E942" s="83" t="str">
        <f aca="false">IFERROR(INDEX(c_Region,MATCH($C942,c_ID,0)),"غير معرّف")</f>
        <v>الوسطى</v>
      </c>
      <c r="F942" s="81" t="s">
        <v>185</v>
      </c>
      <c r="G942" s="83" t="str">
        <f aca="false">IFERROR(INDEX(p_Name,MATCH($F942,p_ID,0)),"غير معرّف")</f>
        <v>ماكينة حلاقة</v>
      </c>
      <c r="H942" s="83" t="str">
        <f aca="false">IFERROR(INDEX(p_Cat,MATCH($F942,p_ID,0)),"غير معرّف")</f>
        <v>عناية شخصية</v>
      </c>
      <c r="I942" s="81" t="s">
        <v>449</v>
      </c>
      <c r="J942" s="81" t="s">
        <v>91</v>
      </c>
      <c r="K942" s="81" t="n">
        <v>1</v>
      </c>
      <c r="L942" s="84" t="n">
        <f aca="false">IFERROR(INDEX(p_Price,MATCH($F942,p_ID,0)),0)</f>
        <v>340</v>
      </c>
      <c r="M942" s="85" t="n">
        <v>0.1</v>
      </c>
      <c r="N942" s="81" t="s">
        <v>644</v>
      </c>
      <c r="O942" s="84" t="n">
        <f aca="false">IF($N942="مرتجع",0,K942*L942*(1-M942))</f>
        <v>306</v>
      </c>
      <c r="P942" s="84" t="n">
        <f aca="false">IF($N942="مرتجع",0,K942*IFERROR(INDEX(p_Cost,MATCH($F942,p_ID,0)),0))</f>
        <v>170</v>
      </c>
      <c r="Q942" s="84" t="n">
        <f aca="false">O942-P942</f>
        <v>136</v>
      </c>
      <c r="R942" s="86" t="n">
        <f aca="false">DATE(YEAR(B942),MONTH(B942),1)</f>
        <v>46143</v>
      </c>
      <c r="S942" s="83" t="str">
        <f aca="false">YEAR(B942)&amp;"-Q"&amp;ROUNDUP(MONTH(B942)/3,0)</f>
        <v>2026-Q2</v>
      </c>
      <c r="T942" s="87" t="n">
        <f aca="false">IF(O942&gt;0,Q942/O942,"")</f>
        <v>0.444444444444444</v>
      </c>
      <c r="U942" s="84" t="n">
        <f aca="false">IF(O942&gt;0,O942,"")</f>
        <v>306</v>
      </c>
    </row>
    <row r="943" customFormat="false" ht="15" hidden="false" customHeight="false" outlineLevel="0" collapsed="false">
      <c r="A943" s="81" t="s">
        <v>1586</v>
      </c>
      <c r="B943" s="82" t="n">
        <v>46149</v>
      </c>
      <c r="C943" s="81" t="s">
        <v>429</v>
      </c>
      <c r="D943" s="83" t="str">
        <f aca="false">IFERROR(INDEX(c_Name,MATCH($C943,c_ID,0)),"غير معرّف")</f>
        <v>سعد الحربي</v>
      </c>
      <c r="E943" s="83" t="str">
        <f aca="false">IFERROR(INDEX(c_Region,MATCH($C943,c_ID,0)),"غير معرّف")</f>
        <v>الغربية</v>
      </c>
      <c r="F943" s="81" t="s">
        <v>181</v>
      </c>
      <c r="G943" s="83" t="str">
        <f aca="false">IFERROR(INDEX(p_Name,MATCH($F943,p_ID,0)),"غير معرّف")</f>
        <v>دراجة ثابتة</v>
      </c>
      <c r="H943" s="83" t="str">
        <f aca="false">IFERROR(INDEX(p_Cat,MATCH($F943,p_ID,0)),"غير معرّف")</f>
        <v>رياضة</v>
      </c>
      <c r="I943" s="81" t="s">
        <v>458</v>
      </c>
      <c r="J943" s="81" t="s">
        <v>93</v>
      </c>
      <c r="K943" s="81" t="n">
        <v>1</v>
      </c>
      <c r="L943" s="84" t="n">
        <f aca="false">IFERROR(INDEX(p_Price,MATCH($F943,p_ID,0)),0)</f>
        <v>1800</v>
      </c>
      <c r="M943" s="85" t="n">
        <v>0</v>
      </c>
      <c r="N943" s="81" t="s">
        <v>644</v>
      </c>
      <c r="O943" s="84" t="n">
        <f aca="false">IF($N943="مرتجع",0,K943*L943*(1-M943))</f>
        <v>1800</v>
      </c>
      <c r="P943" s="84" t="n">
        <f aca="false">IF($N943="مرتجع",0,K943*IFERROR(INDEX(p_Cost,MATCH($F943,p_ID,0)),0))</f>
        <v>1200</v>
      </c>
      <c r="Q943" s="84" t="n">
        <f aca="false">O943-P943</f>
        <v>600</v>
      </c>
      <c r="R943" s="86" t="n">
        <f aca="false">DATE(YEAR(B943),MONTH(B943),1)</f>
        <v>46143</v>
      </c>
      <c r="S943" s="83" t="str">
        <f aca="false">YEAR(B943)&amp;"-Q"&amp;ROUNDUP(MONTH(B943)/3,0)</f>
        <v>2026-Q2</v>
      </c>
      <c r="T943" s="87" t="n">
        <f aca="false">IF(O943&gt;0,Q943/O943,"")</f>
        <v>0.333333333333333</v>
      </c>
      <c r="U943" s="84" t="n">
        <f aca="false">IF(O943&gt;0,O943,"")</f>
        <v>1800</v>
      </c>
    </row>
    <row r="944" customFormat="false" ht="15" hidden="false" customHeight="false" outlineLevel="0" collapsed="false">
      <c r="A944" s="81" t="s">
        <v>1587</v>
      </c>
      <c r="B944" s="82" t="n">
        <v>46150</v>
      </c>
      <c r="C944" s="81" t="s">
        <v>316</v>
      </c>
      <c r="D944" s="83" t="str">
        <f aca="false">IFERROR(INDEX(c_Name,MATCH($C944,c_ID,0)),"غير معرّف")</f>
        <v>جود الشمري</v>
      </c>
      <c r="E944" s="83" t="str">
        <f aca="false">IFERROR(INDEX(c_Region,MATCH($C944,c_ID,0)),"غير معرّف")</f>
        <v>الوسطى</v>
      </c>
      <c r="F944" s="81" t="s">
        <v>185</v>
      </c>
      <c r="G944" s="83" t="str">
        <f aca="false">IFERROR(INDEX(p_Name,MATCH($F944,p_ID,0)),"غير معرّف")</f>
        <v>ماكينة حلاقة</v>
      </c>
      <c r="H944" s="83" t="str">
        <f aca="false">IFERROR(INDEX(p_Cat,MATCH($F944,p_ID,0)),"غير معرّف")</f>
        <v>عناية شخصية</v>
      </c>
      <c r="I944" s="81" t="s">
        <v>446</v>
      </c>
      <c r="J944" s="81" t="s">
        <v>91</v>
      </c>
      <c r="K944" s="81" t="n">
        <v>1</v>
      </c>
      <c r="L944" s="84" t="n">
        <f aca="false">IFERROR(INDEX(p_Price,MATCH($F944,p_ID,0)),0)</f>
        <v>340</v>
      </c>
      <c r="M944" s="85" t="n">
        <v>0</v>
      </c>
      <c r="N944" s="81" t="s">
        <v>644</v>
      </c>
      <c r="O944" s="84" t="n">
        <f aca="false">IF($N944="مرتجع",0,K944*L944*(1-M944))</f>
        <v>340</v>
      </c>
      <c r="P944" s="84" t="n">
        <f aca="false">IF($N944="مرتجع",0,K944*IFERROR(INDEX(p_Cost,MATCH($F944,p_ID,0)),0))</f>
        <v>170</v>
      </c>
      <c r="Q944" s="84" t="n">
        <f aca="false">O944-P944</f>
        <v>170</v>
      </c>
      <c r="R944" s="86" t="n">
        <f aca="false">DATE(YEAR(B944),MONTH(B944),1)</f>
        <v>46143</v>
      </c>
      <c r="S944" s="83" t="str">
        <f aca="false">YEAR(B944)&amp;"-Q"&amp;ROUNDUP(MONTH(B944)/3,0)</f>
        <v>2026-Q2</v>
      </c>
      <c r="T944" s="87" t="n">
        <f aca="false">IF(O944&gt;0,Q944/O944,"")</f>
        <v>0.5</v>
      </c>
      <c r="U944" s="84" t="n">
        <f aca="false">IF(O944&gt;0,O944,"")</f>
        <v>340</v>
      </c>
    </row>
    <row r="945" customFormat="false" ht="15" hidden="false" customHeight="false" outlineLevel="0" collapsed="false">
      <c r="A945" s="81" t="s">
        <v>1588</v>
      </c>
      <c r="B945" s="82" t="n">
        <v>46150</v>
      </c>
      <c r="C945" s="81" t="s">
        <v>428</v>
      </c>
      <c r="D945" s="83" t="str">
        <f aca="false">IFERROR(INDEX(c_Name,MATCH($C945,c_ID,0)),"غير معرّف")</f>
        <v>عبدالله القحطاني</v>
      </c>
      <c r="E945" s="83" t="str">
        <f aca="false">IFERROR(INDEX(c_Region,MATCH($C945,c_ID,0)),"غير معرّف")</f>
        <v>الوسطى</v>
      </c>
      <c r="F945" s="81" t="s">
        <v>173</v>
      </c>
      <c r="G945" s="83" t="str">
        <f aca="false">IFERROR(INDEX(p_Name,MATCH($F945,p_ID,0)),"غير معرّف")</f>
        <v>كرسي مريح</v>
      </c>
      <c r="H945" s="83" t="str">
        <f aca="false">IFERROR(INDEX(p_Cat,MATCH($F945,p_ID,0)),"غير معرّف")</f>
        <v>أثاث</v>
      </c>
      <c r="I945" s="81" t="s">
        <v>443</v>
      </c>
      <c r="J945" s="81" t="s">
        <v>91</v>
      </c>
      <c r="K945" s="81" t="n">
        <v>1</v>
      </c>
      <c r="L945" s="84" t="n">
        <f aca="false">IFERROR(INDEX(p_Price,MATCH($F945,p_ID,0)),0)</f>
        <v>850</v>
      </c>
      <c r="M945" s="85" t="n">
        <v>0</v>
      </c>
      <c r="N945" s="81" t="s">
        <v>644</v>
      </c>
      <c r="O945" s="84" t="n">
        <f aca="false">IF($N945="مرتجع",0,K945*L945*(1-M945))</f>
        <v>850</v>
      </c>
      <c r="P945" s="84" t="n">
        <f aca="false">IF($N945="مرتجع",0,K945*IFERROR(INDEX(p_Cost,MATCH($F945,p_ID,0)),0))</f>
        <v>480</v>
      </c>
      <c r="Q945" s="84" t="n">
        <f aca="false">O945-P945</f>
        <v>370</v>
      </c>
      <c r="R945" s="86" t="n">
        <f aca="false">DATE(YEAR(B945),MONTH(B945),1)</f>
        <v>46143</v>
      </c>
      <c r="S945" s="83" t="str">
        <f aca="false">YEAR(B945)&amp;"-Q"&amp;ROUNDUP(MONTH(B945)/3,0)</f>
        <v>2026-Q2</v>
      </c>
      <c r="T945" s="87" t="n">
        <f aca="false">IF(O945&gt;0,Q945/O945,"")</f>
        <v>0.435294117647059</v>
      </c>
      <c r="U945" s="84" t="n">
        <f aca="false">IF(O945&gt;0,O945,"")</f>
        <v>850</v>
      </c>
    </row>
    <row r="946" customFormat="false" ht="15" hidden="false" customHeight="false" outlineLevel="0" collapsed="false">
      <c r="A946" s="81" t="s">
        <v>1589</v>
      </c>
      <c r="B946" s="82" t="n">
        <v>46150</v>
      </c>
      <c r="C946" s="81" t="s">
        <v>358</v>
      </c>
      <c r="D946" s="83" t="str">
        <f aca="false">IFERROR(INDEX(c_Name,MATCH($C946,c_ID,0)),"غير معرّف")</f>
        <v>ليلى الشهري</v>
      </c>
      <c r="E946" s="83" t="str">
        <f aca="false">IFERROR(INDEX(c_Region,MATCH($C946,c_ID,0)),"غير معرّف")</f>
        <v>الوسطى</v>
      </c>
      <c r="F946" s="81" t="s">
        <v>184</v>
      </c>
      <c r="G946" s="83" t="str">
        <f aca="false">IFERROR(INDEX(p_Name,MATCH($F946,p_ID,0)),"غير معرّف")</f>
        <v>عطر فاخر</v>
      </c>
      <c r="H946" s="83" t="str">
        <f aca="false">IFERROR(INDEX(p_Cat,MATCH($F946,p_ID,0)),"غير معرّف")</f>
        <v>عناية شخصية</v>
      </c>
      <c r="I946" s="81" t="s">
        <v>443</v>
      </c>
      <c r="J946" s="81" t="s">
        <v>91</v>
      </c>
      <c r="K946" s="81" t="n">
        <v>1</v>
      </c>
      <c r="L946" s="84" t="n">
        <f aca="false">IFERROR(INDEX(p_Price,MATCH($F946,p_ID,0)),0)</f>
        <v>520</v>
      </c>
      <c r="M946" s="85" t="n">
        <v>0.05</v>
      </c>
      <c r="N946" s="81" t="s">
        <v>644</v>
      </c>
      <c r="O946" s="84" t="n">
        <f aca="false">IF($N946="مرتجع",0,K946*L946*(1-M946))</f>
        <v>494</v>
      </c>
      <c r="P946" s="84" t="n">
        <f aca="false">IF($N946="مرتجع",0,K946*IFERROR(INDEX(p_Cost,MATCH($F946,p_ID,0)),0))</f>
        <v>210</v>
      </c>
      <c r="Q946" s="84" t="n">
        <f aca="false">O946-P946</f>
        <v>284</v>
      </c>
      <c r="R946" s="86" t="n">
        <f aca="false">DATE(YEAR(B946),MONTH(B946),1)</f>
        <v>46143</v>
      </c>
      <c r="S946" s="83" t="str">
        <f aca="false">YEAR(B946)&amp;"-Q"&amp;ROUNDUP(MONTH(B946)/3,0)</f>
        <v>2026-Q2</v>
      </c>
      <c r="T946" s="87" t="n">
        <f aca="false">IF(O946&gt;0,Q946/O946,"")</f>
        <v>0.574898785425101</v>
      </c>
      <c r="U946" s="84" t="n">
        <f aca="false">IF(O946&gt;0,O946,"")</f>
        <v>494</v>
      </c>
    </row>
    <row r="947" customFormat="false" ht="15" hidden="false" customHeight="false" outlineLevel="0" collapsed="false">
      <c r="A947" s="81" t="s">
        <v>1590</v>
      </c>
      <c r="B947" s="82" t="n">
        <v>46150</v>
      </c>
      <c r="C947" s="81" t="s">
        <v>262</v>
      </c>
      <c r="D947" s="83" t="str">
        <f aca="false">IFERROR(INDEX(c_Name,MATCH($C947,c_ID,0)),"غير معرّف")</f>
        <v>ناصر السبيعي</v>
      </c>
      <c r="E947" s="83" t="str">
        <f aca="false">IFERROR(INDEX(c_Region,MATCH($C947,c_ID,0)),"غير معرّف")</f>
        <v>الغربية</v>
      </c>
      <c r="F947" s="81" t="s">
        <v>187</v>
      </c>
      <c r="G947" s="83" t="str">
        <f aca="false">IFERROR(INDEX(p_Name,MATCH($F947,p_ID,0)),"غير معرّف")</f>
        <v>جهاز تدليك</v>
      </c>
      <c r="H947" s="83" t="str">
        <f aca="false">IFERROR(INDEX(p_Cat,MATCH($F947,p_ID,0)),"غير معرّف")</f>
        <v>عناية شخصية</v>
      </c>
      <c r="I947" s="81" t="s">
        <v>452</v>
      </c>
      <c r="J947" s="81" t="s">
        <v>91</v>
      </c>
      <c r="K947" s="81" t="n">
        <v>1</v>
      </c>
      <c r="L947" s="84" t="n">
        <f aca="false">IFERROR(INDEX(p_Price,MATCH($F947,p_ID,0)),0)</f>
        <v>600</v>
      </c>
      <c r="M947" s="85" t="n">
        <v>0</v>
      </c>
      <c r="N947" s="81" t="s">
        <v>644</v>
      </c>
      <c r="O947" s="84" t="n">
        <f aca="false">IF($N947="مرتجع",0,K947*L947*(1-M947))</f>
        <v>600</v>
      </c>
      <c r="P947" s="84" t="n">
        <f aca="false">IF($N947="مرتجع",0,K947*IFERROR(INDEX(p_Cost,MATCH($F947,p_ID,0)),0))</f>
        <v>330</v>
      </c>
      <c r="Q947" s="84" t="n">
        <f aca="false">O947-P947</f>
        <v>270</v>
      </c>
      <c r="R947" s="86" t="n">
        <f aca="false">DATE(YEAR(B947),MONTH(B947),1)</f>
        <v>46143</v>
      </c>
      <c r="S947" s="83" t="str">
        <f aca="false">YEAR(B947)&amp;"-Q"&amp;ROUNDUP(MONTH(B947)/3,0)</f>
        <v>2026-Q2</v>
      </c>
      <c r="T947" s="87" t="n">
        <f aca="false">IF(O947&gt;0,Q947/O947,"")</f>
        <v>0.45</v>
      </c>
      <c r="U947" s="84" t="n">
        <f aca="false">IF(O947&gt;0,O947,"")</f>
        <v>600</v>
      </c>
    </row>
    <row r="948" customFormat="false" ht="15" hidden="false" customHeight="false" outlineLevel="0" collapsed="false">
      <c r="A948" s="81" t="s">
        <v>1591</v>
      </c>
      <c r="B948" s="82" t="n">
        <v>46150</v>
      </c>
      <c r="C948" s="81" t="s">
        <v>424</v>
      </c>
      <c r="D948" s="83" t="str">
        <f aca="false">IFERROR(INDEX(c_Name,MATCH($C948,c_ID,0)),"غير معرّف")</f>
        <v>سارة التميمي</v>
      </c>
      <c r="E948" s="83" t="str">
        <f aca="false">IFERROR(INDEX(c_Region,MATCH($C948,c_ID,0)),"غير معرّف")</f>
        <v>الشرقية</v>
      </c>
      <c r="F948" s="81" t="s">
        <v>184</v>
      </c>
      <c r="G948" s="83" t="str">
        <f aca="false">IFERROR(INDEX(p_Name,MATCH($F948,p_ID,0)),"غير معرّف")</f>
        <v>عطر فاخر</v>
      </c>
      <c r="H948" s="83" t="str">
        <f aca="false">IFERROR(INDEX(p_Cat,MATCH($F948,p_ID,0)),"غير معرّف")</f>
        <v>عناية شخصية</v>
      </c>
      <c r="I948" s="81" t="s">
        <v>463</v>
      </c>
      <c r="J948" s="81" t="s">
        <v>93</v>
      </c>
      <c r="K948" s="81" t="n">
        <v>2</v>
      </c>
      <c r="L948" s="84" t="n">
        <f aca="false">IFERROR(INDEX(p_Price,MATCH($F948,p_ID,0)),0)</f>
        <v>520</v>
      </c>
      <c r="M948" s="85" t="n">
        <v>0</v>
      </c>
      <c r="N948" s="81" t="s">
        <v>644</v>
      </c>
      <c r="O948" s="84" t="n">
        <f aca="false">IF($N948="مرتجع",0,K948*L948*(1-M948))</f>
        <v>1040</v>
      </c>
      <c r="P948" s="84" t="n">
        <f aca="false">IF($N948="مرتجع",0,K948*IFERROR(INDEX(p_Cost,MATCH($F948,p_ID,0)),0))</f>
        <v>420</v>
      </c>
      <c r="Q948" s="84" t="n">
        <f aca="false">O948-P948</f>
        <v>620</v>
      </c>
      <c r="R948" s="86" t="n">
        <f aca="false">DATE(YEAR(B948),MONTH(B948),1)</f>
        <v>46143</v>
      </c>
      <c r="S948" s="83" t="str">
        <f aca="false">YEAR(B948)&amp;"-Q"&amp;ROUNDUP(MONTH(B948)/3,0)</f>
        <v>2026-Q2</v>
      </c>
      <c r="T948" s="87" t="n">
        <f aca="false">IF(O948&gt;0,Q948/O948,"")</f>
        <v>0.596153846153846</v>
      </c>
      <c r="U948" s="84" t="n">
        <f aca="false">IF(O948&gt;0,O948,"")</f>
        <v>1040</v>
      </c>
    </row>
    <row r="949" customFormat="false" ht="15" hidden="false" customHeight="false" outlineLevel="0" collapsed="false">
      <c r="A949" s="81" t="s">
        <v>1592</v>
      </c>
      <c r="B949" s="82" t="n">
        <v>46151</v>
      </c>
      <c r="C949" s="81" t="s">
        <v>288</v>
      </c>
      <c r="D949" s="83" t="str">
        <f aca="false">IFERROR(INDEX(c_Name,MATCH($C949,c_ID,0)),"غير معرّف")</f>
        <v>خالد الشمري</v>
      </c>
      <c r="E949" s="83" t="str">
        <f aca="false">IFERROR(INDEX(c_Region,MATCH($C949,c_ID,0)),"غير معرّف")</f>
        <v>الجنوبية</v>
      </c>
      <c r="F949" s="81" t="s">
        <v>183</v>
      </c>
      <c r="G949" s="83" t="str">
        <f aca="false">IFERROR(INDEX(p_Name,MATCH($F949,p_ID,0)),"غير معرّف")</f>
        <v>سجادة يوغا</v>
      </c>
      <c r="H949" s="83" t="str">
        <f aca="false">IFERROR(INDEX(p_Cat,MATCH($F949,p_ID,0)),"غير معرّف")</f>
        <v>رياضة</v>
      </c>
      <c r="I949" s="81" t="s">
        <v>467</v>
      </c>
      <c r="J949" s="81" t="s">
        <v>91</v>
      </c>
      <c r="K949" s="81" t="n">
        <v>1</v>
      </c>
      <c r="L949" s="84" t="n">
        <f aca="false">IFERROR(INDEX(p_Price,MATCH($F949,p_ID,0)),0)</f>
        <v>120</v>
      </c>
      <c r="M949" s="85" t="n">
        <v>0</v>
      </c>
      <c r="N949" s="81" t="s">
        <v>644</v>
      </c>
      <c r="O949" s="84" t="n">
        <f aca="false">IF($N949="مرتجع",0,K949*L949*(1-M949))</f>
        <v>120</v>
      </c>
      <c r="P949" s="84" t="n">
        <f aca="false">IF($N949="مرتجع",0,K949*IFERROR(INDEX(p_Cost,MATCH($F949,p_ID,0)),0))</f>
        <v>50</v>
      </c>
      <c r="Q949" s="84" t="n">
        <f aca="false">O949-P949</f>
        <v>70</v>
      </c>
      <c r="R949" s="86" t="n">
        <f aca="false">DATE(YEAR(B949),MONTH(B949),1)</f>
        <v>46143</v>
      </c>
      <c r="S949" s="83" t="str">
        <f aca="false">YEAR(B949)&amp;"-Q"&amp;ROUNDUP(MONTH(B949)/3,0)</f>
        <v>2026-Q2</v>
      </c>
      <c r="T949" s="87" t="n">
        <f aca="false">IF(O949&gt;0,Q949/O949,"")</f>
        <v>0.583333333333333</v>
      </c>
      <c r="U949" s="84" t="n">
        <f aca="false">IF(O949&gt;0,O949,"")</f>
        <v>120</v>
      </c>
    </row>
    <row r="950" customFormat="false" ht="15" hidden="false" customHeight="false" outlineLevel="0" collapsed="false">
      <c r="A950" s="81" t="s">
        <v>1593</v>
      </c>
      <c r="B950" s="82" t="n">
        <v>46151</v>
      </c>
      <c r="C950" s="81" t="s">
        <v>368</v>
      </c>
      <c r="D950" s="83" t="str">
        <f aca="false">IFERROR(INDEX(c_Name,MATCH($C950,c_ID,0)),"غير معرّف")</f>
        <v>خالد الحربي</v>
      </c>
      <c r="E950" s="83" t="str">
        <f aca="false">IFERROR(INDEX(c_Region,MATCH($C950,c_ID,0)),"غير معرّف")</f>
        <v>الغربية</v>
      </c>
      <c r="F950" s="81" t="s">
        <v>167</v>
      </c>
      <c r="G950" s="83" t="str">
        <f aca="false">IFERROR(INDEX(p_Name,MATCH($F950,p_ID,0)),"غير معرّف")</f>
        <v>شاشة 27 بوصة</v>
      </c>
      <c r="H950" s="83" t="str">
        <f aca="false">IFERROR(INDEX(p_Cat,MATCH($F950,p_ID,0)),"غير معرّف")</f>
        <v>إلكترونيات</v>
      </c>
      <c r="I950" s="81" t="s">
        <v>458</v>
      </c>
      <c r="J950" s="81" t="s">
        <v>93</v>
      </c>
      <c r="K950" s="81" t="n">
        <v>1</v>
      </c>
      <c r="L950" s="84" t="n">
        <f aca="false">IFERROR(INDEX(p_Price,MATCH($F950,p_ID,0)),0)</f>
        <v>1100</v>
      </c>
      <c r="M950" s="85" t="n">
        <v>0.05</v>
      </c>
      <c r="N950" s="81" t="s">
        <v>644</v>
      </c>
      <c r="O950" s="84" t="n">
        <f aca="false">IF($N950="مرتجع",0,K950*L950*(1-M950))</f>
        <v>1045</v>
      </c>
      <c r="P950" s="84" t="n">
        <f aca="false">IF($N950="مرتجع",0,K950*IFERROR(INDEX(p_Cost,MATCH($F950,p_ID,0)),0))</f>
        <v>780</v>
      </c>
      <c r="Q950" s="84" t="n">
        <f aca="false">O950-P950</f>
        <v>265</v>
      </c>
      <c r="R950" s="86" t="n">
        <f aca="false">DATE(YEAR(B950),MONTH(B950),1)</f>
        <v>46143</v>
      </c>
      <c r="S950" s="83" t="str">
        <f aca="false">YEAR(B950)&amp;"-Q"&amp;ROUNDUP(MONTH(B950)/3,0)</f>
        <v>2026-Q2</v>
      </c>
      <c r="T950" s="87" t="n">
        <f aca="false">IF(O950&gt;0,Q950/O950,"")</f>
        <v>0.253588516746412</v>
      </c>
      <c r="U950" s="84" t="n">
        <f aca="false">IF(O950&gt;0,O950,"")</f>
        <v>1045</v>
      </c>
    </row>
    <row r="951" customFormat="false" ht="15" hidden="false" customHeight="false" outlineLevel="0" collapsed="false">
      <c r="A951" s="81" t="s">
        <v>1594</v>
      </c>
      <c r="B951" s="82" t="n">
        <v>46151</v>
      </c>
      <c r="C951" s="81" t="s">
        <v>244</v>
      </c>
      <c r="D951" s="83" t="str">
        <f aca="false">IFERROR(INDEX(c_Name,MATCH($C951,c_ID,0)),"غير معرّف")</f>
        <v>طارق الشهري</v>
      </c>
      <c r="E951" s="83" t="str">
        <f aca="false">IFERROR(INDEX(c_Region,MATCH($C951,c_ID,0)),"غير معرّف")</f>
        <v>الوسطى</v>
      </c>
      <c r="F951" s="81" t="s">
        <v>182</v>
      </c>
      <c r="G951" s="83" t="str">
        <f aca="false">IFERROR(INDEX(p_Name,MATCH($F951,p_ID,0)),"غير معرّف")</f>
        <v>طقم أوزان</v>
      </c>
      <c r="H951" s="83" t="str">
        <f aca="false">IFERROR(INDEX(p_Cat,MATCH($F951,p_ID,0)),"غير معرّف")</f>
        <v>رياضة</v>
      </c>
      <c r="I951" s="81" t="s">
        <v>443</v>
      </c>
      <c r="J951" s="81" t="s">
        <v>91</v>
      </c>
      <c r="K951" s="81" t="n">
        <v>2</v>
      </c>
      <c r="L951" s="84" t="n">
        <f aca="false">IFERROR(INDEX(p_Price,MATCH($F951,p_ID,0)),0)</f>
        <v>380</v>
      </c>
      <c r="M951" s="85" t="n">
        <v>0.05</v>
      </c>
      <c r="N951" s="81" t="s">
        <v>644</v>
      </c>
      <c r="O951" s="84" t="n">
        <f aca="false">IF($N951="مرتجع",0,K951*L951*(1-M951))</f>
        <v>722</v>
      </c>
      <c r="P951" s="84" t="n">
        <f aca="false">IF($N951="مرتجع",0,K951*IFERROR(INDEX(p_Cost,MATCH($F951,p_ID,0)),0))</f>
        <v>420</v>
      </c>
      <c r="Q951" s="84" t="n">
        <f aca="false">O951-P951</f>
        <v>302</v>
      </c>
      <c r="R951" s="86" t="n">
        <f aca="false">DATE(YEAR(B951),MONTH(B951),1)</f>
        <v>46143</v>
      </c>
      <c r="S951" s="83" t="str">
        <f aca="false">YEAR(B951)&amp;"-Q"&amp;ROUNDUP(MONTH(B951)/3,0)</f>
        <v>2026-Q2</v>
      </c>
      <c r="T951" s="87" t="n">
        <f aca="false">IF(O951&gt;0,Q951/O951,"")</f>
        <v>0.418282548476454</v>
      </c>
      <c r="U951" s="84" t="n">
        <f aca="false">IF(O951&gt;0,O951,"")</f>
        <v>722</v>
      </c>
    </row>
    <row r="952" customFormat="false" ht="15" hidden="false" customHeight="false" outlineLevel="0" collapsed="false">
      <c r="A952" s="81" t="s">
        <v>1595</v>
      </c>
      <c r="B952" s="82" t="n">
        <v>46152</v>
      </c>
      <c r="C952" s="81" t="s">
        <v>234</v>
      </c>
      <c r="D952" s="83" t="str">
        <f aca="false">IFERROR(INDEX(c_Name,MATCH($C952,c_ID,0)),"غير معرّف")</f>
        <v>هند الخالدي</v>
      </c>
      <c r="E952" s="83" t="str">
        <f aca="false">IFERROR(INDEX(c_Region,MATCH($C952,c_ID,0)),"غير معرّف")</f>
        <v>الوسطى</v>
      </c>
      <c r="F952" s="81" t="s">
        <v>183</v>
      </c>
      <c r="G952" s="83" t="str">
        <f aca="false">IFERROR(INDEX(p_Name,MATCH($F952,p_ID,0)),"غير معرّف")</f>
        <v>سجادة يوغا</v>
      </c>
      <c r="H952" s="83" t="str">
        <f aca="false">IFERROR(INDEX(p_Cat,MATCH($F952,p_ID,0)),"غير معرّف")</f>
        <v>رياضة</v>
      </c>
      <c r="I952" s="81" t="s">
        <v>443</v>
      </c>
      <c r="J952" s="81" t="s">
        <v>91</v>
      </c>
      <c r="K952" s="81" t="n">
        <v>1</v>
      </c>
      <c r="L952" s="84" t="n">
        <f aca="false">IFERROR(INDEX(p_Price,MATCH($F952,p_ID,0)),0)</f>
        <v>120</v>
      </c>
      <c r="M952" s="85" t="n">
        <v>0</v>
      </c>
      <c r="N952" s="81" t="s">
        <v>644</v>
      </c>
      <c r="O952" s="84" t="n">
        <f aca="false">IF($N952="مرتجع",0,K952*L952*(1-M952))</f>
        <v>120</v>
      </c>
      <c r="P952" s="84" t="n">
        <f aca="false">IF($N952="مرتجع",0,K952*IFERROR(INDEX(p_Cost,MATCH($F952,p_ID,0)),0))</f>
        <v>50</v>
      </c>
      <c r="Q952" s="84" t="n">
        <f aca="false">O952-P952</f>
        <v>70</v>
      </c>
      <c r="R952" s="86" t="n">
        <f aca="false">DATE(YEAR(B952),MONTH(B952),1)</f>
        <v>46143</v>
      </c>
      <c r="S952" s="83" t="str">
        <f aca="false">YEAR(B952)&amp;"-Q"&amp;ROUNDUP(MONTH(B952)/3,0)</f>
        <v>2026-Q2</v>
      </c>
      <c r="T952" s="87" t="n">
        <f aca="false">IF(O952&gt;0,Q952/O952,"")</f>
        <v>0.583333333333333</v>
      </c>
      <c r="U952" s="84" t="n">
        <f aca="false">IF(O952&gt;0,O952,"")</f>
        <v>120</v>
      </c>
    </row>
    <row r="953" customFormat="false" ht="15" hidden="false" customHeight="false" outlineLevel="0" collapsed="false">
      <c r="A953" s="81" t="s">
        <v>1596</v>
      </c>
      <c r="B953" s="82" t="n">
        <v>46152</v>
      </c>
      <c r="C953" s="81" t="s">
        <v>399</v>
      </c>
      <c r="D953" s="83" t="str">
        <f aca="false">IFERROR(INDEX(c_Name,MATCH($C953,c_ID,0)),"غير معرّف")</f>
        <v>سارة الشمري</v>
      </c>
      <c r="E953" s="83" t="str">
        <f aca="false">IFERROR(INDEX(c_Region,MATCH($C953,c_ID,0)),"غير معرّف")</f>
        <v>الوسطى</v>
      </c>
      <c r="F953" s="81" t="s">
        <v>177</v>
      </c>
      <c r="G953" s="83" t="str">
        <f aca="false">IFERROR(INDEX(p_Name,MATCH($F953,p_ID,0)),"غير معرّف")</f>
        <v>ورق A4 (صندوق)</v>
      </c>
      <c r="H953" s="83" t="str">
        <f aca="false">IFERROR(INDEX(p_Cat,MATCH($F953,p_ID,0)),"غير معرّف")</f>
        <v>مستلزمات مكتبية</v>
      </c>
      <c r="I953" s="81" t="s">
        <v>443</v>
      </c>
      <c r="J953" s="81" t="s">
        <v>93</v>
      </c>
      <c r="K953" s="81" t="n">
        <v>13</v>
      </c>
      <c r="L953" s="84" t="n">
        <f aca="false">IFERROR(INDEX(p_Price,MATCH($F953,p_ID,0)),0)</f>
        <v>140</v>
      </c>
      <c r="M953" s="85" t="n">
        <v>0</v>
      </c>
      <c r="N953" s="81" t="s">
        <v>644</v>
      </c>
      <c r="O953" s="84" t="n">
        <f aca="false">IF($N953="مرتجع",0,K953*L953*(1-M953))</f>
        <v>1820</v>
      </c>
      <c r="P953" s="84" t="n">
        <f aca="false">IF($N953="مرتجع",0,K953*IFERROR(INDEX(p_Cost,MATCH($F953,p_ID,0)),0))</f>
        <v>1235</v>
      </c>
      <c r="Q953" s="84" t="n">
        <f aca="false">O953-P953</f>
        <v>585</v>
      </c>
      <c r="R953" s="86" t="n">
        <f aca="false">DATE(YEAR(B953),MONTH(B953),1)</f>
        <v>46143</v>
      </c>
      <c r="S953" s="83" t="str">
        <f aca="false">YEAR(B953)&amp;"-Q"&amp;ROUNDUP(MONTH(B953)/3,0)</f>
        <v>2026-Q2</v>
      </c>
      <c r="T953" s="87" t="n">
        <f aca="false">IF(O953&gt;0,Q953/O953,"")</f>
        <v>0.321428571428571</v>
      </c>
      <c r="U953" s="84" t="n">
        <f aca="false">IF(O953&gt;0,O953,"")</f>
        <v>1820</v>
      </c>
    </row>
    <row r="954" customFormat="false" ht="15" hidden="false" customHeight="false" outlineLevel="0" collapsed="false">
      <c r="A954" s="81" t="s">
        <v>1597</v>
      </c>
      <c r="B954" s="82" t="n">
        <v>46152</v>
      </c>
      <c r="C954" s="81" t="s">
        <v>332</v>
      </c>
      <c r="D954" s="83" t="str">
        <f aca="false">IFERROR(INDEX(c_Name,MATCH($C954,c_ID,0)),"غير معرّف")</f>
        <v>ليلى الحسيني</v>
      </c>
      <c r="E954" s="83" t="str">
        <f aca="false">IFERROR(INDEX(c_Region,MATCH($C954,c_ID,0)),"غير معرّف")</f>
        <v>الشرقية</v>
      </c>
      <c r="F954" s="81" t="s">
        <v>186</v>
      </c>
      <c r="G954" s="83" t="str">
        <f aca="false">IFERROR(INDEX(p_Name,MATCH($F954,p_ID,0)),"غير معرّف")</f>
        <v>مجفف شعر</v>
      </c>
      <c r="H954" s="83" t="str">
        <f aca="false">IFERROR(INDEX(p_Cat,MATCH($F954,p_ID,0)),"غير معرّف")</f>
        <v>عناية شخصية</v>
      </c>
      <c r="I954" s="81" t="s">
        <v>463</v>
      </c>
      <c r="J954" s="81" t="s">
        <v>91</v>
      </c>
      <c r="K954" s="81" t="n">
        <v>1</v>
      </c>
      <c r="L954" s="84" t="n">
        <f aca="false">IFERROR(INDEX(p_Price,MATCH($F954,p_ID,0)),0)</f>
        <v>280</v>
      </c>
      <c r="M954" s="85" t="n">
        <v>0</v>
      </c>
      <c r="N954" s="81" t="s">
        <v>644</v>
      </c>
      <c r="O954" s="84" t="n">
        <f aca="false">IF($N954="مرتجع",0,K954*L954*(1-M954))</f>
        <v>280</v>
      </c>
      <c r="P954" s="84" t="n">
        <f aca="false">IF($N954="مرتجع",0,K954*IFERROR(INDEX(p_Cost,MATCH($F954,p_ID,0)),0))</f>
        <v>140</v>
      </c>
      <c r="Q954" s="84" t="n">
        <f aca="false">O954-P954</f>
        <v>140</v>
      </c>
      <c r="R954" s="86" t="n">
        <f aca="false">DATE(YEAR(B954),MONTH(B954),1)</f>
        <v>46143</v>
      </c>
      <c r="S954" s="83" t="str">
        <f aca="false">YEAR(B954)&amp;"-Q"&amp;ROUNDUP(MONTH(B954)/3,0)</f>
        <v>2026-Q2</v>
      </c>
      <c r="T954" s="87" t="n">
        <f aca="false">IF(O954&gt;0,Q954/O954,"")</f>
        <v>0.5</v>
      </c>
      <c r="U954" s="84" t="n">
        <f aca="false">IF(O954&gt;0,O954,"")</f>
        <v>280</v>
      </c>
    </row>
    <row r="955" customFormat="false" ht="15" hidden="false" customHeight="false" outlineLevel="0" collapsed="false">
      <c r="A955" s="81" t="s">
        <v>1598</v>
      </c>
      <c r="B955" s="82" t="n">
        <v>46152</v>
      </c>
      <c r="C955" s="81" t="s">
        <v>291</v>
      </c>
      <c r="D955" s="83" t="str">
        <f aca="false">IFERROR(INDEX(c_Name,MATCH($C955,c_ID,0)),"غير معرّف")</f>
        <v>ياسر الشمري</v>
      </c>
      <c r="E955" s="83" t="str">
        <f aca="false">IFERROR(INDEX(c_Region,MATCH($C955,c_ID,0)),"غير معرّف")</f>
        <v>الوسطى</v>
      </c>
      <c r="F955" s="81" t="s">
        <v>166</v>
      </c>
      <c r="G955" s="83" t="str">
        <f aca="false">IFERROR(INDEX(p_Name,MATCH($F955,p_ID,0)),"غير معرّف")</f>
        <v>سماعات لاسلكية</v>
      </c>
      <c r="H955" s="83" t="str">
        <f aca="false">IFERROR(INDEX(p_Cat,MATCH($F955,p_ID,0)),"غير معرّف")</f>
        <v>إلكترونيات</v>
      </c>
      <c r="I955" s="81" t="s">
        <v>443</v>
      </c>
      <c r="J955" s="81" t="s">
        <v>93</v>
      </c>
      <c r="K955" s="81" t="n">
        <v>3</v>
      </c>
      <c r="L955" s="84" t="n">
        <f aca="false">IFERROR(INDEX(p_Price,MATCH($F955,p_ID,0)),0)</f>
        <v>450</v>
      </c>
      <c r="M955" s="85" t="n">
        <v>0.05</v>
      </c>
      <c r="N955" s="81" t="s">
        <v>644</v>
      </c>
      <c r="O955" s="84" t="n">
        <f aca="false">IF($N955="مرتجع",0,K955*L955*(1-M955))</f>
        <v>1282.5</v>
      </c>
      <c r="P955" s="84" t="n">
        <f aca="false">IF($N955="مرتجع",0,K955*IFERROR(INDEX(p_Cost,MATCH($F955,p_ID,0)),0))</f>
        <v>780</v>
      </c>
      <c r="Q955" s="84" t="n">
        <f aca="false">O955-P955</f>
        <v>502.5</v>
      </c>
      <c r="R955" s="86" t="n">
        <f aca="false">DATE(YEAR(B955),MONTH(B955),1)</f>
        <v>46143</v>
      </c>
      <c r="S955" s="83" t="str">
        <f aca="false">YEAR(B955)&amp;"-Q"&amp;ROUNDUP(MONTH(B955)/3,0)</f>
        <v>2026-Q2</v>
      </c>
      <c r="T955" s="87" t="n">
        <f aca="false">IF(O955&gt;0,Q955/O955,"")</f>
        <v>0.391812865497076</v>
      </c>
      <c r="U955" s="84" t="n">
        <f aca="false">IF(O955&gt;0,O955,"")</f>
        <v>1282.5</v>
      </c>
    </row>
    <row r="956" customFormat="false" ht="15" hidden="false" customHeight="false" outlineLevel="0" collapsed="false">
      <c r="A956" s="81" t="s">
        <v>1599</v>
      </c>
      <c r="B956" s="82" t="n">
        <v>46152</v>
      </c>
      <c r="C956" s="81" t="s">
        <v>254</v>
      </c>
      <c r="D956" s="83" t="str">
        <f aca="false">IFERROR(INDEX(c_Name,MATCH($C956,c_ID,0)),"غير معرّف")</f>
        <v>عبدالله العتيبي</v>
      </c>
      <c r="E956" s="83" t="str">
        <f aca="false">IFERROR(INDEX(c_Region,MATCH($C956,c_ID,0)),"غير معرّف")</f>
        <v>الغربية</v>
      </c>
      <c r="F956" s="81" t="s">
        <v>183</v>
      </c>
      <c r="G956" s="83" t="str">
        <f aca="false">IFERROR(INDEX(p_Name,MATCH($F956,p_ID,0)),"غير معرّف")</f>
        <v>سجادة يوغا</v>
      </c>
      <c r="H956" s="83" t="str">
        <f aca="false">IFERROR(INDEX(p_Cat,MATCH($F956,p_ID,0)),"غير معرّف")</f>
        <v>رياضة</v>
      </c>
      <c r="I956" s="81" t="s">
        <v>458</v>
      </c>
      <c r="J956" s="81" t="s">
        <v>93</v>
      </c>
      <c r="K956" s="81" t="n">
        <v>2</v>
      </c>
      <c r="L956" s="84" t="n">
        <f aca="false">IFERROR(INDEX(p_Price,MATCH($F956,p_ID,0)),0)</f>
        <v>120</v>
      </c>
      <c r="M956" s="85" t="n">
        <v>0.2</v>
      </c>
      <c r="N956" s="81" t="s">
        <v>644</v>
      </c>
      <c r="O956" s="84" t="n">
        <f aca="false">IF($N956="مرتجع",0,K956*L956*(1-M956))</f>
        <v>192</v>
      </c>
      <c r="P956" s="84" t="n">
        <f aca="false">IF($N956="مرتجع",0,K956*IFERROR(INDEX(p_Cost,MATCH($F956,p_ID,0)),0))</f>
        <v>100</v>
      </c>
      <c r="Q956" s="84" t="n">
        <f aca="false">O956-P956</f>
        <v>92</v>
      </c>
      <c r="R956" s="86" t="n">
        <f aca="false">DATE(YEAR(B956),MONTH(B956),1)</f>
        <v>46143</v>
      </c>
      <c r="S956" s="83" t="str">
        <f aca="false">YEAR(B956)&amp;"-Q"&amp;ROUNDUP(MONTH(B956)/3,0)</f>
        <v>2026-Q2</v>
      </c>
      <c r="T956" s="87" t="n">
        <f aca="false">IF(O956&gt;0,Q956/O956,"")</f>
        <v>0.479166666666667</v>
      </c>
      <c r="U956" s="84" t="n">
        <f aca="false">IF(O956&gt;0,O956,"")</f>
        <v>192</v>
      </c>
    </row>
    <row r="957" customFormat="false" ht="15" hidden="false" customHeight="false" outlineLevel="0" collapsed="false">
      <c r="A957" s="81" t="s">
        <v>1600</v>
      </c>
      <c r="B957" s="82" t="n">
        <v>46152</v>
      </c>
      <c r="C957" s="81" t="s">
        <v>414</v>
      </c>
      <c r="D957" s="83" t="str">
        <f aca="false">IFERROR(INDEX(c_Name,MATCH($C957,c_ID,0)),"غير معرّف")</f>
        <v>هند المطيري</v>
      </c>
      <c r="E957" s="83" t="str">
        <f aca="false">IFERROR(INDEX(c_Region,MATCH($C957,c_ID,0)),"غير معرّف")</f>
        <v>الشرقية</v>
      </c>
      <c r="F957" s="81" t="s">
        <v>184</v>
      </c>
      <c r="G957" s="83" t="str">
        <f aca="false">IFERROR(INDEX(p_Name,MATCH($F957,p_ID,0)),"غير معرّف")</f>
        <v>عطر فاخر</v>
      </c>
      <c r="H957" s="83" t="str">
        <f aca="false">IFERROR(INDEX(p_Cat,MATCH($F957,p_ID,0)),"غير معرّف")</f>
        <v>عناية شخصية</v>
      </c>
      <c r="I957" s="81" t="s">
        <v>463</v>
      </c>
      <c r="J957" s="81" t="s">
        <v>91</v>
      </c>
      <c r="K957" s="81" t="n">
        <v>1</v>
      </c>
      <c r="L957" s="84" t="n">
        <f aca="false">IFERROR(INDEX(p_Price,MATCH($F957,p_ID,0)),0)</f>
        <v>520</v>
      </c>
      <c r="M957" s="85" t="n">
        <v>0.05</v>
      </c>
      <c r="N957" s="81" t="s">
        <v>644</v>
      </c>
      <c r="O957" s="84" t="n">
        <f aca="false">IF($N957="مرتجع",0,K957*L957*(1-M957))</f>
        <v>494</v>
      </c>
      <c r="P957" s="84" t="n">
        <f aca="false">IF($N957="مرتجع",0,K957*IFERROR(INDEX(p_Cost,MATCH($F957,p_ID,0)),0))</f>
        <v>210</v>
      </c>
      <c r="Q957" s="84" t="n">
        <f aca="false">O957-P957</f>
        <v>284</v>
      </c>
      <c r="R957" s="86" t="n">
        <f aca="false">DATE(YEAR(B957),MONTH(B957),1)</f>
        <v>46143</v>
      </c>
      <c r="S957" s="83" t="str">
        <f aca="false">YEAR(B957)&amp;"-Q"&amp;ROUNDUP(MONTH(B957)/3,0)</f>
        <v>2026-Q2</v>
      </c>
      <c r="T957" s="87" t="n">
        <f aca="false">IF(O957&gt;0,Q957/O957,"")</f>
        <v>0.574898785425101</v>
      </c>
      <c r="U957" s="84" t="n">
        <f aca="false">IF(O957&gt;0,O957,"")</f>
        <v>494</v>
      </c>
    </row>
    <row r="958" customFormat="false" ht="15" hidden="false" customHeight="false" outlineLevel="0" collapsed="false">
      <c r="A958" s="81" t="s">
        <v>1601</v>
      </c>
      <c r="B958" s="82" t="n">
        <v>46153</v>
      </c>
      <c r="C958" s="81" t="s">
        <v>419</v>
      </c>
      <c r="D958" s="83" t="str">
        <f aca="false">IFERROR(INDEX(c_Name,MATCH($C958,c_ID,0)),"غير معرّف")</f>
        <v>خالد العتيبي</v>
      </c>
      <c r="E958" s="83" t="str">
        <f aca="false">IFERROR(INDEX(c_Region,MATCH($C958,c_ID,0)),"غير معرّف")</f>
        <v>الجنوبية</v>
      </c>
      <c r="F958" s="81" t="s">
        <v>177</v>
      </c>
      <c r="G958" s="83" t="str">
        <f aca="false">IFERROR(INDEX(p_Name,MATCH($F958,p_ID,0)),"غير معرّف")</f>
        <v>ورق A4 (صندوق)</v>
      </c>
      <c r="H958" s="83" t="str">
        <f aca="false">IFERROR(INDEX(p_Cat,MATCH($F958,p_ID,0)),"غير معرّف")</f>
        <v>مستلزمات مكتبية</v>
      </c>
      <c r="I958" s="81" t="s">
        <v>467</v>
      </c>
      <c r="J958" s="81" t="s">
        <v>93</v>
      </c>
      <c r="K958" s="81" t="n">
        <v>2</v>
      </c>
      <c r="L958" s="84" t="n">
        <f aca="false">IFERROR(INDEX(p_Price,MATCH($F958,p_ID,0)),0)</f>
        <v>140</v>
      </c>
      <c r="M958" s="85" t="n">
        <v>0.05</v>
      </c>
      <c r="N958" s="81" t="s">
        <v>644</v>
      </c>
      <c r="O958" s="84" t="n">
        <f aca="false">IF($N958="مرتجع",0,K958*L958*(1-M958))</f>
        <v>266</v>
      </c>
      <c r="P958" s="84" t="n">
        <f aca="false">IF($N958="مرتجع",0,K958*IFERROR(INDEX(p_Cost,MATCH($F958,p_ID,0)),0))</f>
        <v>190</v>
      </c>
      <c r="Q958" s="84" t="n">
        <f aca="false">O958-P958</f>
        <v>76</v>
      </c>
      <c r="R958" s="86" t="n">
        <f aca="false">DATE(YEAR(B958),MONTH(B958),1)</f>
        <v>46143</v>
      </c>
      <c r="S958" s="83" t="str">
        <f aca="false">YEAR(B958)&amp;"-Q"&amp;ROUNDUP(MONTH(B958)/3,0)</f>
        <v>2026-Q2</v>
      </c>
      <c r="T958" s="87" t="n">
        <f aca="false">IF(O958&gt;0,Q958/O958,"")</f>
        <v>0.285714285714286</v>
      </c>
      <c r="U958" s="84" t="n">
        <f aca="false">IF(O958&gt;0,O958,"")</f>
        <v>266</v>
      </c>
    </row>
    <row r="959" customFormat="false" ht="15" hidden="false" customHeight="false" outlineLevel="0" collapsed="false">
      <c r="A959" s="81" t="s">
        <v>1602</v>
      </c>
      <c r="B959" s="82" t="n">
        <v>46153</v>
      </c>
      <c r="C959" s="81" t="s">
        <v>297</v>
      </c>
      <c r="D959" s="83" t="str">
        <f aca="false">IFERROR(INDEX(c_Name,MATCH($C959,c_ID,0)),"غير معرّف")</f>
        <v>ياسر الحسيني</v>
      </c>
      <c r="E959" s="83" t="str">
        <f aca="false">IFERROR(INDEX(c_Region,MATCH($C959,c_ID,0)),"غير معرّف")</f>
        <v>الشرقية</v>
      </c>
      <c r="F959" s="81" t="s">
        <v>167</v>
      </c>
      <c r="G959" s="83" t="str">
        <f aca="false">IFERROR(INDEX(p_Name,MATCH($F959,p_ID,0)),"غير معرّف")</f>
        <v>شاشة 27 بوصة</v>
      </c>
      <c r="H959" s="83" t="str">
        <f aca="false">IFERROR(INDEX(p_Cat,MATCH($F959,p_ID,0)),"غير معرّف")</f>
        <v>إلكترونيات</v>
      </c>
      <c r="I959" s="81" t="s">
        <v>461</v>
      </c>
      <c r="J959" s="81" t="s">
        <v>91</v>
      </c>
      <c r="K959" s="81" t="n">
        <v>2</v>
      </c>
      <c r="L959" s="84" t="n">
        <f aca="false">IFERROR(INDEX(p_Price,MATCH($F959,p_ID,0)),0)</f>
        <v>1100</v>
      </c>
      <c r="M959" s="85" t="n">
        <v>0.05</v>
      </c>
      <c r="N959" s="81" t="s">
        <v>644</v>
      </c>
      <c r="O959" s="84" t="n">
        <f aca="false">IF($N959="مرتجع",0,K959*L959*(1-M959))</f>
        <v>2090</v>
      </c>
      <c r="P959" s="84" t="n">
        <f aca="false">IF($N959="مرتجع",0,K959*IFERROR(INDEX(p_Cost,MATCH($F959,p_ID,0)),0))</f>
        <v>1560</v>
      </c>
      <c r="Q959" s="84" t="n">
        <f aca="false">O959-P959</f>
        <v>530</v>
      </c>
      <c r="R959" s="86" t="n">
        <f aca="false">DATE(YEAR(B959),MONTH(B959),1)</f>
        <v>46143</v>
      </c>
      <c r="S959" s="83" t="str">
        <f aca="false">YEAR(B959)&amp;"-Q"&amp;ROUNDUP(MONTH(B959)/3,0)</f>
        <v>2026-Q2</v>
      </c>
      <c r="T959" s="87" t="n">
        <f aca="false">IF(O959&gt;0,Q959/O959,"")</f>
        <v>0.253588516746412</v>
      </c>
      <c r="U959" s="84" t="n">
        <f aca="false">IF(O959&gt;0,O959,"")</f>
        <v>2090</v>
      </c>
    </row>
    <row r="960" customFormat="false" ht="15" hidden="false" customHeight="false" outlineLevel="0" collapsed="false">
      <c r="A960" s="81" t="s">
        <v>1603</v>
      </c>
      <c r="B960" s="82" t="n">
        <v>46153</v>
      </c>
      <c r="C960" s="81" t="s">
        <v>264</v>
      </c>
      <c r="D960" s="83" t="str">
        <f aca="false">IFERROR(INDEX(c_Name,MATCH($C960,c_ID,0)),"غير معرّف")</f>
        <v>عبدالله التميمي</v>
      </c>
      <c r="E960" s="83" t="str">
        <f aca="false">IFERROR(INDEX(c_Region,MATCH($C960,c_ID,0)),"غير معرّف")</f>
        <v>الوسطى</v>
      </c>
      <c r="F960" s="81" t="s">
        <v>167</v>
      </c>
      <c r="G960" s="83" t="str">
        <f aca="false">IFERROR(INDEX(p_Name,MATCH($F960,p_ID,0)),"غير معرّف")</f>
        <v>شاشة 27 بوصة</v>
      </c>
      <c r="H960" s="83" t="str">
        <f aca="false">IFERROR(INDEX(p_Cat,MATCH($F960,p_ID,0)),"غير معرّف")</f>
        <v>إلكترونيات</v>
      </c>
      <c r="I960" s="81" t="s">
        <v>449</v>
      </c>
      <c r="J960" s="81" t="s">
        <v>91</v>
      </c>
      <c r="K960" s="81" t="n">
        <v>1</v>
      </c>
      <c r="L960" s="84" t="n">
        <f aca="false">IFERROR(INDEX(p_Price,MATCH($F960,p_ID,0)),0)</f>
        <v>1100</v>
      </c>
      <c r="M960" s="85" t="n">
        <v>0.1</v>
      </c>
      <c r="N960" s="81" t="s">
        <v>644</v>
      </c>
      <c r="O960" s="84" t="n">
        <f aca="false">IF($N960="مرتجع",0,K960*L960*(1-M960))</f>
        <v>990</v>
      </c>
      <c r="P960" s="84" t="n">
        <f aca="false">IF($N960="مرتجع",0,K960*IFERROR(INDEX(p_Cost,MATCH($F960,p_ID,0)),0))</f>
        <v>780</v>
      </c>
      <c r="Q960" s="84" t="n">
        <f aca="false">O960-P960</f>
        <v>210</v>
      </c>
      <c r="R960" s="86" t="n">
        <f aca="false">DATE(YEAR(B960),MONTH(B960),1)</f>
        <v>46143</v>
      </c>
      <c r="S960" s="83" t="str">
        <f aca="false">YEAR(B960)&amp;"-Q"&amp;ROUNDUP(MONTH(B960)/3,0)</f>
        <v>2026-Q2</v>
      </c>
      <c r="T960" s="87" t="n">
        <f aca="false">IF(O960&gt;0,Q960/O960,"")</f>
        <v>0.212121212121212</v>
      </c>
      <c r="U960" s="84" t="n">
        <f aca="false">IF(O960&gt;0,O960,"")</f>
        <v>990</v>
      </c>
    </row>
    <row r="961" customFormat="false" ht="15" hidden="false" customHeight="false" outlineLevel="0" collapsed="false">
      <c r="A961" s="81" t="s">
        <v>1604</v>
      </c>
      <c r="B961" s="82" t="n">
        <v>46154</v>
      </c>
      <c r="C961" s="81" t="s">
        <v>270</v>
      </c>
      <c r="D961" s="83" t="str">
        <f aca="false">IFERROR(INDEX(c_Name,MATCH($C961,c_ID,0)),"غير معرّف")</f>
        <v>ريم التميمي</v>
      </c>
      <c r="E961" s="83" t="str">
        <f aca="false">IFERROR(INDEX(c_Region,MATCH($C961,c_ID,0)),"غير معرّف")</f>
        <v>الشرقية</v>
      </c>
      <c r="F961" s="81" t="s">
        <v>165</v>
      </c>
      <c r="G961" s="83" t="str">
        <f aca="false">IFERROR(INDEX(p_Name,MATCH($F961,p_ID,0)),"غير معرّف")</f>
        <v>حاسوب محمول</v>
      </c>
      <c r="H961" s="83" t="str">
        <f aca="false">IFERROR(INDEX(p_Cat,MATCH($F961,p_ID,0)),"غير معرّف")</f>
        <v>إلكترونيات</v>
      </c>
      <c r="I961" s="81" t="s">
        <v>463</v>
      </c>
      <c r="J961" s="81" t="s">
        <v>91</v>
      </c>
      <c r="K961" s="81" t="n">
        <v>1</v>
      </c>
      <c r="L961" s="84" t="n">
        <f aca="false">IFERROR(INDEX(p_Price,MATCH($F961,p_ID,0)),0)</f>
        <v>3800</v>
      </c>
      <c r="M961" s="85" t="n">
        <v>0</v>
      </c>
      <c r="N961" s="81" t="s">
        <v>644</v>
      </c>
      <c r="O961" s="84" t="n">
        <f aca="false">IF($N961="مرتجع",0,K961*L961*(1-M961))</f>
        <v>3800</v>
      </c>
      <c r="P961" s="84" t="n">
        <f aca="false">IF($N961="مرتجع",0,K961*IFERROR(INDEX(p_Cost,MATCH($F961,p_ID,0)),0))</f>
        <v>2900</v>
      </c>
      <c r="Q961" s="84" t="n">
        <f aca="false">O961-P961</f>
        <v>900</v>
      </c>
      <c r="R961" s="86" t="n">
        <f aca="false">DATE(YEAR(B961),MONTH(B961),1)</f>
        <v>46143</v>
      </c>
      <c r="S961" s="83" t="str">
        <f aca="false">YEAR(B961)&amp;"-Q"&amp;ROUNDUP(MONTH(B961)/3,0)</f>
        <v>2026-Q2</v>
      </c>
      <c r="T961" s="87" t="n">
        <f aca="false">IF(O961&gt;0,Q961/O961,"")</f>
        <v>0.236842105263158</v>
      </c>
      <c r="U961" s="84" t="n">
        <f aca="false">IF(O961&gt;0,O961,"")</f>
        <v>3800</v>
      </c>
    </row>
    <row r="962" customFormat="false" ht="15" hidden="false" customHeight="false" outlineLevel="0" collapsed="false">
      <c r="A962" s="81" t="s">
        <v>1605</v>
      </c>
      <c r="B962" s="82" t="n">
        <v>46154</v>
      </c>
      <c r="C962" s="81" t="s">
        <v>364</v>
      </c>
      <c r="D962" s="83" t="str">
        <f aca="false">IFERROR(INDEX(c_Name,MATCH($C962,c_ID,0)),"غير معرّف")</f>
        <v>عبير الدوسري</v>
      </c>
      <c r="E962" s="83" t="str">
        <f aca="false">IFERROR(INDEX(c_Region,MATCH($C962,c_ID,0)),"غير معرّف")</f>
        <v>الشرقية</v>
      </c>
      <c r="F962" s="81" t="s">
        <v>177</v>
      </c>
      <c r="G962" s="83" t="str">
        <f aca="false">IFERROR(INDEX(p_Name,MATCH($F962,p_ID,0)),"غير معرّف")</f>
        <v>ورق A4 (صندوق)</v>
      </c>
      <c r="H962" s="83" t="str">
        <f aca="false">IFERROR(INDEX(p_Cat,MATCH($F962,p_ID,0)),"غير معرّف")</f>
        <v>مستلزمات مكتبية</v>
      </c>
      <c r="I962" s="81" t="s">
        <v>463</v>
      </c>
      <c r="J962" s="81" t="s">
        <v>91</v>
      </c>
      <c r="K962" s="81" t="n">
        <v>1</v>
      </c>
      <c r="L962" s="84" t="n">
        <f aca="false">IFERROR(INDEX(p_Price,MATCH($F962,p_ID,0)),0)</f>
        <v>140</v>
      </c>
      <c r="M962" s="85" t="n">
        <v>0</v>
      </c>
      <c r="N962" s="81" t="s">
        <v>644</v>
      </c>
      <c r="O962" s="84" t="n">
        <f aca="false">IF($N962="مرتجع",0,K962*L962*(1-M962))</f>
        <v>140</v>
      </c>
      <c r="P962" s="84" t="n">
        <f aca="false">IF($N962="مرتجع",0,K962*IFERROR(INDEX(p_Cost,MATCH($F962,p_ID,0)),0))</f>
        <v>95</v>
      </c>
      <c r="Q962" s="84" t="n">
        <f aca="false">O962-P962</f>
        <v>45</v>
      </c>
      <c r="R962" s="86" t="n">
        <f aca="false">DATE(YEAR(B962),MONTH(B962),1)</f>
        <v>46143</v>
      </c>
      <c r="S962" s="83" t="str">
        <f aca="false">YEAR(B962)&amp;"-Q"&amp;ROUNDUP(MONTH(B962)/3,0)</f>
        <v>2026-Q2</v>
      </c>
      <c r="T962" s="87" t="n">
        <f aca="false">IF(O962&gt;0,Q962/O962,"")</f>
        <v>0.321428571428571</v>
      </c>
      <c r="U962" s="84" t="n">
        <f aca="false">IF(O962&gt;0,O962,"")</f>
        <v>140</v>
      </c>
    </row>
    <row r="963" customFormat="false" ht="15" hidden="false" customHeight="false" outlineLevel="0" collapsed="false">
      <c r="A963" s="81" t="s">
        <v>1606</v>
      </c>
      <c r="B963" s="82" t="n">
        <v>46155</v>
      </c>
      <c r="C963" s="81" t="s">
        <v>319</v>
      </c>
      <c r="D963" s="83" t="str">
        <f aca="false">IFERROR(INDEX(c_Name,MATCH($C963,c_ID,0)),"غير معرّف")</f>
        <v>سعد التميمي</v>
      </c>
      <c r="E963" s="83" t="str">
        <f aca="false">IFERROR(INDEX(c_Region,MATCH($C963,c_ID,0)),"غير معرّف")</f>
        <v>الغربية</v>
      </c>
      <c r="F963" s="81" t="s">
        <v>172</v>
      </c>
      <c r="G963" s="83" t="str">
        <f aca="false">IFERROR(INDEX(p_Name,MATCH($F963,p_ID,0)),"غير معرّف")</f>
        <v>مكتب عمل</v>
      </c>
      <c r="H963" s="83" t="str">
        <f aca="false">IFERROR(INDEX(p_Cat,MATCH($F963,p_ID,0)),"غير معرّف")</f>
        <v>أثاث</v>
      </c>
      <c r="I963" s="81" t="s">
        <v>458</v>
      </c>
      <c r="J963" s="81" t="s">
        <v>95</v>
      </c>
      <c r="K963" s="81" t="n">
        <v>25</v>
      </c>
      <c r="L963" s="84" t="n">
        <f aca="false">IFERROR(INDEX(p_Price,MATCH($F963,p_ID,0)),0)</f>
        <v>1200</v>
      </c>
      <c r="M963" s="85" t="n">
        <v>0</v>
      </c>
      <c r="N963" s="81" t="s">
        <v>644</v>
      </c>
      <c r="O963" s="84" t="n">
        <f aca="false">IF($N963="مرتجع",0,K963*L963*(1-M963))</f>
        <v>30000</v>
      </c>
      <c r="P963" s="84" t="n">
        <f aca="false">IF($N963="مرتجع",0,K963*IFERROR(INDEX(p_Cost,MATCH($F963,p_ID,0)),0))</f>
        <v>17500</v>
      </c>
      <c r="Q963" s="84" t="n">
        <f aca="false">O963-P963</f>
        <v>12500</v>
      </c>
      <c r="R963" s="86" t="n">
        <f aca="false">DATE(YEAR(B963),MONTH(B963),1)</f>
        <v>46143</v>
      </c>
      <c r="S963" s="83" t="str">
        <f aca="false">YEAR(B963)&amp;"-Q"&amp;ROUNDUP(MONTH(B963)/3,0)</f>
        <v>2026-Q2</v>
      </c>
      <c r="T963" s="87" t="n">
        <f aca="false">IF(O963&gt;0,Q963/O963,"")</f>
        <v>0.416666666666667</v>
      </c>
      <c r="U963" s="84" t="n">
        <f aca="false">IF(O963&gt;0,O963,"")</f>
        <v>30000</v>
      </c>
    </row>
    <row r="964" customFormat="false" ht="15" hidden="false" customHeight="false" outlineLevel="0" collapsed="false">
      <c r="A964" s="81" t="s">
        <v>1607</v>
      </c>
      <c r="B964" s="82" t="n">
        <v>46155</v>
      </c>
      <c r="C964" s="81" t="s">
        <v>334</v>
      </c>
      <c r="D964" s="83" t="str">
        <f aca="false">IFERROR(INDEX(c_Name,MATCH($C964,c_ID,0)),"غير معرّف")</f>
        <v>ناصر الغامدي</v>
      </c>
      <c r="E964" s="83" t="str">
        <f aca="false">IFERROR(INDEX(c_Region,MATCH($C964,c_ID,0)),"غير معرّف")</f>
        <v>الغربية</v>
      </c>
      <c r="F964" s="81" t="s">
        <v>171</v>
      </c>
      <c r="G964" s="83" t="str">
        <f aca="false">IFERROR(INDEX(p_Name,MATCH($F964,p_ID,0)),"غير معرّف")</f>
        <v>قلاية هوائية</v>
      </c>
      <c r="H964" s="83" t="str">
        <f aca="false">IFERROR(INDEX(p_Cat,MATCH($F964,p_ID,0)),"غير معرّف")</f>
        <v>أجهزة منزلية</v>
      </c>
      <c r="I964" s="81" t="s">
        <v>455</v>
      </c>
      <c r="J964" s="81" t="s">
        <v>91</v>
      </c>
      <c r="K964" s="81" t="n">
        <v>1</v>
      </c>
      <c r="L964" s="84" t="n">
        <f aca="false">IFERROR(INDEX(p_Price,MATCH($F964,p_ID,0)),0)</f>
        <v>520</v>
      </c>
      <c r="M964" s="85" t="n">
        <v>0</v>
      </c>
      <c r="N964" s="81" t="s">
        <v>644</v>
      </c>
      <c r="O964" s="84" t="n">
        <f aca="false">IF($N964="مرتجع",0,K964*L964*(1-M964))</f>
        <v>520</v>
      </c>
      <c r="P964" s="84" t="n">
        <f aca="false">IF($N964="مرتجع",0,K964*IFERROR(INDEX(p_Cost,MATCH($F964,p_ID,0)),0))</f>
        <v>300</v>
      </c>
      <c r="Q964" s="84" t="n">
        <f aca="false">O964-P964</f>
        <v>220</v>
      </c>
      <c r="R964" s="86" t="n">
        <f aca="false">DATE(YEAR(B964),MONTH(B964),1)</f>
        <v>46143</v>
      </c>
      <c r="S964" s="83" t="str">
        <f aca="false">YEAR(B964)&amp;"-Q"&amp;ROUNDUP(MONTH(B964)/3,0)</f>
        <v>2026-Q2</v>
      </c>
      <c r="T964" s="87" t="n">
        <f aca="false">IF(O964&gt;0,Q964/O964,"")</f>
        <v>0.423076923076923</v>
      </c>
      <c r="U964" s="84" t="n">
        <f aca="false">IF(O964&gt;0,O964,"")</f>
        <v>520</v>
      </c>
    </row>
    <row r="965" customFormat="false" ht="15" hidden="false" customHeight="false" outlineLevel="0" collapsed="false">
      <c r="A965" s="81" t="s">
        <v>1608</v>
      </c>
      <c r="B965" s="82" t="n">
        <v>46155</v>
      </c>
      <c r="C965" s="81" t="s">
        <v>430</v>
      </c>
      <c r="D965" s="83" t="str">
        <f aca="false">IFERROR(INDEX(c_Name,MATCH($C965,c_ID,0)),"غير معرّف")</f>
        <v>ليلى الحربي</v>
      </c>
      <c r="E965" s="83" t="str">
        <f aca="false">IFERROR(INDEX(c_Region,MATCH($C965,c_ID,0)),"غير معرّف")</f>
        <v>الجنوبية</v>
      </c>
      <c r="F965" s="81" t="s">
        <v>166</v>
      </c>
      <c r="G965" s="83" t="str">
        <f aca="false">IFERROR(INDEX(p_Name,MATCH($F965,p_ID,0)),"غير معرّف")</f>
        <v>سماعات لاسلكية</v>
      </c>
      <c r="H965" s="83" t="str">
        <f aca="false">IFERROR(INDEX(p_Cat,MATCH($F965,p_ID,0)),"غير معرّف")</f>
        <v>إلكترونيات</v>
      </c>
      <c r="I965" s="81" t="s">
        <v>467</v>
      </c>
      <c r="J965" s="81" t="s">
        <v>91</v>
      </c>
      <c r="K965" s="81" t="n">
        <v>5</v>
      </c>
      <c r="L965" s="84" t="n">
        <f aca="false">IFERROR(INDEX(p_Price,MATCH($F965,p_ID,0)),0)</f>
        <v>450</v>
      </c>
      <c r="M965" s="85" t="n">
        <v>0.2</v>
      </c>
      <c r="N965" s="81" t="s">
        <v>644</v>
      </c>
      <c r="O965" s="84" t="n">
        <f aca="false">IF($N965="مرتجع",0,K965*L965*(1-M965))</f>
        <v>1800</v>
      </c>
      <c r="P965" s="84" t="n">
        <f aca="false">IF($N965="مرتجع",0,K965*IFERROR(INDEX(p_Cost,MATCH($F965,p_ID,0)),0))</f>
        <v>1300</v>
      </c>
      <c r="Q965" s="84" t="n">
        <f aca="false">O965-P965</f>
        <v>500</v>
      </c>
      <c r="R965" s="86" t="n">
        <f aca="false">DATE(YEAR(B965),MONTH(B965),1)</f>
        <v>46143</v>
      </c>
      <c r="S965" s="83" t="str">
        <f aca="false">YEAR(B965)&amp;"-Q"&amp;ROUNDUP(MONTH(B965)/3,0)</f>
        <v>2026-Q2</v>
      </c>
      <c r="T965" s="87" t="n">
        <f aca="false">IF(O965&gt;0,Q965/O965,"")</f>
        <v>0.277777777777778</v>
      </c>
      <c r="U965" s="84" t="n">
        <f aca="false">IF(O965&gt;0,O965,"")</f>
        <v>1800</v>
      </c>
    </row>
    <row r="966" customFormat="false" ht="15" hidden="false" customHeight="false" outlineLevel="0" collapsed="false">
      <c r="A966" s="81" t="s">
        <v>1609</v>
      </c>
      <c r="B966" s="82" t="n">
        <v>46155</v>
      </c>
      <c r="C966" s="81" t="s">
        <v>344</v>
      </c>
      <c r="D966" s="83" t="str">
        <f aca="false">IFERROR(INDEX(c_Name,MATCH($C966,c_ID,0)),"غير معرّف")</f>
        <v>خالد القحطاني</v>
      </c>
      <c r="E966" s="83" t="str">
        <f aca="false">IFERROR(INDEX(c_Region,MATCH($C966,c_ID,0)),"غير معرّف")</f>
        <v>الغربية</v>
      </c>
      <c r="F966" s="81" t="s">
        <v>167</v>
      </c>
      <c r="G966" s="83" t="str">
        <f aca="false">IFERROR(INDEX(p_Name,MATCH($F966,p_ID,0)),"غير معرّف")</f>
        <v>شاشة 27 بوصة</v>
      </c>
      <c r="H966" s="83" t="str">
        <f aca="false">IFERROR(INDEX(p_Cat,MATCH($F966,p_ID,0)),"غير معرّف")</f>
        <v>إلكترونيات</v>
      </c>
      <c r="I966" s="81" t="s">
        <v>455</v>
      </c>
      <c r="J966" s="81" t="s">
        <v>91</v>
      </c>
      <c r="K966" s="81" t="n">
        <v>1</v>
      </c>
      <c r="L966" s="84" t="n">
        <f aca="false">IFERROR(INDEX(p_Price,MATCH($F966,p_ID,0)),0)</f>
        <v>1100</v>
      </c>
      <c r="M966" s="85" t="n">
        <v>0</v>
      </c>
      <c r="N966" s="81" t="s">
        <v>644</v>
      </c>
      <c r="O966" s="84" t="n">
        <f aca="false">IF($N966="مرتجع",0,K966*L966*(1-M966))</f>
        <v>1100</v>
      </c>
      <c r="P966" s="84" t="n">
        <f aca="false">IF($N966="مرتجع",0,K966*IFERROR(INDEX(p_Cost,MATCH($F966,p_ID,0)),0))</f>
        <v>780</v>
      </c>
      <c r="Q966" s="84" t="n">
        <f aca="false">O966-P966</f>
        <v>320</v>
      </c>
      <c r="R966" s="86" t="n">
        <f aca="false">DATE(YEAR(B966),MONTH(B966),1)</f>
        <v>46143</v>
      </c>
      <c r="S966" s="83" t="str">
        <f aca="false">YEAR(B966)&amp;"-Q"&amp;ROUNDUP(MONTH(B966)/3,0)</f>
        <v>2026-Q2</v>
      </c>
      <c r="T966" s="87" t="n">
        <f aca="false">IF(O966&gt;0,Q966/O966,"")</f>
        <v>0.290909090909091</v>
      </c>
      <c r="U966" s="84" t="n">
        <f aca="false">IF(O966&gt;0,O966,"")</f>
        <v>1100</v>
      </c>
    </row>
    <row r="967" customFormat="false" ht="15" hidden="false" customHeight="false" outlineLevel="0" collapsed="false">
      <c r="A967" s="81" t="s">
        <v>1610</v>
      </c>
      <c r="B967" s="82" t="n">
        <v>46155</v>
      </c>
      <c r="C967" s="81" t="s">
        <v>342</v>
      </c>
      <c r="D967" s="83" t="str">
        <f aca="false">IFERROR(INDEX(c_Name,MATCH($C967,c_ID,0)),"غير معرّف")</f>
        <v>دانة الحربي</v>
      </c>
      <c r="E967" s="83" t="str">
        <f aca="false">IFERROR(INDEX(c_Region,MATCH($C967,c_ID,0)),"غير معرّف")</f>
        <v>الشرقية</v>
      </c>
      <c r="F967" s="81" t="s">
        <v>173</v>
      </c>
      <c r="G967" s="83" t="str">
        <f aca="false">IFERROR(INDEX(p_Name,MATCH($F967,p_ID,0)),"غير معرّف")</f>
        <v>كرسي مريح</v>
      </c>
      <c r="H967" s="83" t="str">
        <f aca="false">IFERROR(INDEX(p_Cat,MATCH($F967,p_ID,0)),"غير معرّف")</f>
        <v>أثاث</v>
      </c>
      <c r="I967" s="81" t="s">
        <v>463</v>
      </c>
      <c r="J967" s="81" t="s">
        <v>91</v>
      </c>
      <c r="K967" s="81" t="n">
        <v>1</v>
      </c>
      <c r="L967" s="84" t="n">
        <f aca="false">IFERROR(INDEX(p_Price,MATCH($F967,p_ID,0)),0)</f>
        <v>850</v>
      </c>
      <c r="M967" s="85" t="n">
        <v>0</v>
      </c>
      <c r="N967" s="81" t="s">
        <v>644</v>
      </c>
      <c r="O967" s="84" t="n">
        <f aca="false">IF($N967="مرتجع",0,K967*L967*(1-M967))</f>
        <v>850</v>
      </c>
      <c r="P967" s="84" t="n">
        <f aca="false">IF($N967="مرتجع",0,K967*IFERROR(INDEX(p_Cost,MATCH($F967,p_ID,0)),0))</f>
        <v>480</v>
      </c>
      <c r="Q967" s="84" t="n">
        <f aca="false">O967-P967</f>
        <v>370</v>
      </c>
      <c r="R967" s="86" t="n">
        <f aca="false">DATE(YEAR(B967),MONTH(B967),1)</f>
        <v>46143</v>
      </c>
      <c r="S967" s="83" t="str">
        <f aca="false">YEAR(B967)&amp;"-Q"&amp;ROUNDUP(MONTH(B967)/3,0)</f>
        <v>2026-Q2</v>
      </c>
      <c r="T967" s="87" t="n">
        <f aca="false">IF(O967&gt;0,Q967/O967,"")</f>
        <v>0.435294117647059</v>
      </c>
      <c r="U967" s="84" t="n">
        <f aca="false">IF(O967&gt;0,O967,"")</f>
        <v>850</v>
      </c>
    </row>
    <row r="968" customFormat="false" ht="15" hidden="false" customHeight="false" outlineLevel="0" collapsed="false">
      <c r="A968" s="81" t="s">
        <v>1611</v>
      </c>
      <c r="B968" s="82" t="n">
        <v>46156</v>
      </c>
      <c r="C968" s="81" t="s">
        <v>281</v>
      </c>
      <c r="D968" s="83" t="str">
        <f aca="false">IFERROR(INDEX(c_Name,MATCH($C968,c_ID,0)),"غير معرّف")</f>
        <v>ريم الخالدي</v>
      </c>
      <c r="E968" s="83" t="str">
        <f aca="false">IFERROR(INDEX(c_Region,MATCH($C968,c_ID,0)),"غير معرّف")</f>
        <v>الوسطى</v>
      </c>
      <c r="F968" s="81" t="s">
        <v>185</v>
      </c>
      <c r="G968" s="83" t="str">
        <f aca="false">IFERROR(INDEX(p_Name,MATCH($F968,p_ID,0)),"غير معرّف")</f>
        <v>ماكينة حلاقة</v>
      </c>
      <c r="H968" s="83" t="str">
        <f aca="false">IFERROR(INDEX(p_Cat,MATCH($F968,p_ID,0)),"غير معرّف")</f>
        <v>عناية شخصية</v>
      </c>
      <c r="I968" s="81" t="s">
        <v>446</v>
      </c>
      <c r="J968" s="81" t="s">
        <v>91</v>
      </c>
      <c r="K968" s="81" t="n">
        <v>1</v>
      </c>
      <c r="L968" s="84" t="n">
        <f aca="false">IFERROR(INDEX(p_Price,MATCH($F968,p_ID,0)),0)</f>
        <v>340</v>
      </c>
      <c r="M968" s="85" t="n">
        <v>0</v>
      </c>
      <c r="N968" s="81" t="s">
        <v>644</v>
      </c>
      <c r="O968" s="84" t="n">
        <f aca="false">IF($N968="مرتجع",0,K968*L968*(1-M968))</f>
        <v>340</v>
      </c>
      <c r="P968" s="84" t="n">
        <f aca="false">IF($N968="مرتجع",0,K968*IFERROR(INDEX(p_Cost,MATCH($F968,p_ID,0)),0))</f>
        <v>170</v>
      </c>
      <c r="Q968" s="84" t="n">
        <f aca="false">O968-P968</f>
        <v>170</v>
      </c>
      <c r="R968" s="86" t="n">
        <f aca="false">DATE(YEAR(B968),MONTH(B968),1)</f>
        <v>46143</v>
      </c>
      <c r="S968" s="83" t="str">
        <f aca="false">YEAR(B968)&amp;"-Q"&amp;ROUNDUP(MONTH(B968)/3,0)</f>
        <v>2026-Q2</v>
      </c>
      <c r="T968" s="87" t="n">
        <f aca="false">IF(O968&gt;0,Q968/O968,"")</f>
        <v>0.5</v>
      </c>
      <c r="U968" s="84" t="n">
        <f aca="false">IF(O968&gt;0,O968,"")</f>
        <v>340</v>
      </c>
    </row>
    <row r="969" customFormat="false" ht="15" hidden="false" customHeight="false" outlineLevel="0" collapsed="false">
      <c r="A969" s="81" t="s">
        <v>1612</v>
      </c>
      <c r="B969" s="82" t="n">
        <v>46156</v>
      </c>
      <c r="C969" s="81" t="s">
        <v>394</v>
      </c>
      <c r="D969" s="83" t="str">
        <f aca="false">IFERROR(INDEX(c_Name,MATCH($C969,c_ID,0)),"غير معرّف")</f>
        <v>طارق الغامدي</v>
      </c>
      <c r="E969" s="83" t="str">
        <f aca="false">IFERROR(INDEX(c_Region,MATCH($C969,c_ID,0)),"غير معرّف")</f>
        <v>الشرقية</v>
      </c>
      <c r="F969" s="81" t="s">
        <v>187</v>
      </c>
      <c r="G969" s="83" t="str">
        <f aca="false">IFERROR(INDEX(p_Name,MATCH($F969,p_ID,0)),"غير معرّف")</f>
        <v>جهاز تدليك</v>
      </c>
      <c r="H969" s="83" t="str">
        <f aca="false">IFERROR(INDEX(p_Cat,MATCH($F969,p_ID,0)),"غير معرّف")</f>
        <v>عناية شخصية</v>
      </c>
      <c r="I969" s="81" t="s">
        <v>461</v>
      </c>
      <c r="J969" s="81" t="s">
        <v>93</v>
      </c>
      <c r="K969" s="81" t="n">
        <v>1</v>
      </c>
      <c r="L969" s="84" t="n">
        <f aca="false">IFERROR(INDEX(p_Price,MATCH($F969,p_ID,0)),0)</f>
        <v>600</v>
      </c>
      <c r="M969" s="85" t="n">
        <v>0.1</v>
      </c>
      <c r="N969" s="81" t="s">
        <v>644</v>
      </c>
      <c r="O969" s="84" t="n">
        <f aca="false">IF($N969="مرتجع",0,K969*L969*(1-M969))</f>
        <v>540</v>
      </c>
      <c r="P969" s="84" t="n">
        <f aca="false">IF($N969="مرتجع",0,K969*IFERROR(INDEX(p_Cost,MATCH($F969,p_ID,0)),0))</f>
        <v>330</v>
      </c>
      <c r="Q969" s="84" t="n">
        <f aca="false">O969-P969</f>
        <v>210</v>
      </c>
      <c r="R969" s="86" t="n">
        <f aca="false">DATE(YEAR(B969),MONTH(B969),1)</f>
        <v>46143</v>
      </c>
      <c r="S969" s="83" t="str">
        <f aca="false">YEAR(B969)&amp;"-Q"&amp;ROUNDUP(MONTH(B969)/3,0)</f>
        <v>2026-Q2</v>
      </c>
      <c r="T969" s="87" t="n">
        <f aca="false">IF(O969&gt;0,Q969/O969,"")</f>
        <v>0.388888888888889</v>
      </c>
      <c r="U969" s="84" t="n">
        <f aca="false">IF(O969&gt;0,O969,"")</f>
        <v>540</v>
      </c>
    </row>
    <row r="970" customFormat="false" ht="15" hidden="false" customHeight="false" outlineLevel="0" collapsed="false">
      <c r="A970" s="81" t="s">
        <v>1613</v>
      </c>
      <c r="B970" s="82" t="n">
        <v>46156</v>
      </c>
      <c r="C970" s="81" t="s">
        <v>293</v>
      </c>
      <c r="D970" s="83" t="str">
        <f aca="false">IFERROR(INDEX(c_Name,MATCH($C970,c_ID,0)),"غير معرّف")</f>
        <v>سارة الغامدي</v>
      </c>
      <c r="E970" s="83" t="str">
        <f aca="false">IFERROR(INDEX(c_Region,MATCH($C970,c_ID,0)),"غير معرّف")</f>
        <v>الوسطى</v>
      </c>
      <c r="F970" s="81" t="s">
        <v>180</v>
      </c>
      <c r="G970" s="83" t="str">
        <f aca="false">IFERROR(INDEX(p_Name,MATCH($F970,p_ID,0)),"غير معرّف")</f>
        <v>جهاز مشي</v>
      </c>
      <c r="H970" s="83" t="str">
        <f aca="false">IFERROR(INDEX(p_Cat,MATCH($F970,p_ID,0)),"غير معرّف")</f>
        <v>رياضة</v>
      </c>
      <c r="I970" s="81" t="s">
        <v>443</v>
      </c>
      <c r="J970" s="81" t="s">
        <v>93</v>
      </c>
      <c r="K970" s="81" t="n">
        <v>1</v>
      </c>
      <c r="L970" s="84" t="n">
        <f aca="false">IFERROR(INDEX(p_Price,MATCH($F970,p_ID,0)),0)</f>
        <v>3200</v>
      </c>
      <c r="M970" s="85" t="n">
        <v>0</v>
      </c>
      <c r="N970" s="81" t="s">
        <v>644</v>
      </c>
      <c r="O970" s="84" t="n">
        <f aca="false">IF($N970="مرتجع",0,K970*L970*(1-M970))</f>
        <v>3200</v>
      </c>
      <c r="P970" s="84" t="n">
        <f aca="false">IF($N970="مرتجع",0,K970*IFERROR(INDEX(p_Cost,MATCH($F970,p_ID,0)),0))</f>
        <v>2200</v>
      </c>
      <c r="Q970" s="84" t="n">
        <f aca="false">O970-P970</f>
        <v>1000</v>
      </c>
      <c r="R970" s="86" t="n">
        <f aca="false">DATE(YEAR(B970),MONTH(B970),1)</f>
        <v>46143</v>
      </c>
      <c r="S970" s="83" t="str">
        <f aca="false">YEAR(B970)&amp;"-Q"&amp;ROUNDUP(MONTH(B970)/3,0)</f>
        <v>2026-Q2</v>
      </c>
      <c r="T970" s="87" t="n">
        <f aca="false">IF(O970&gt;0,Q970/O970,"")</f>
        <v>0.3125</v>
      </c>
      <c r="U970" s="84" t="n">
        <f aca="false">IF(O970&gt;0,O970,"")</f>
        <v>3200</v>
      </c>
    </row>
    <row r="971" customFormat="false" ht="15" hidden="false" customHeight="false" outlineLevel="0" collapsed="false">
      <c r="A971" s="81" t="s">
        <v>1614</v>
      </c>
      <c r="B971" s="82" t="n">
        <v>46157</v>
      </c>
      <c r="C971" s="81" t="s">
        <v>404</v>
      </c>
      <c r="D971" s="83" t="str">
        <f aca="false">IFERROR(INDEX(c_Name,MATCH($C971,c_ID,0)),"غير معرّف")</f>
        <v>عبدالله الحسيني</v>
      </c>
      <c r="E971" s="83" t="str">
        <f aca="false">IFERROR(INDEX(c_Region,MATCH($C971,c_ID,0)),"غير معرّف")</f>
        <v>الشرقية</v>
      </c>
      <c r="F971" s="81" t="s">
        <v>187</v>
      </c>
      <c r="G971" s="83" t="str">
        <f aca="false">IFERROR(INDEX(p_Name,MATCH($F971,p_ID,0)),"غير معرّف")</f>
        <v>جهاز تدليك</v>
      </c>
      <c r="H971" s="83" t="str">
        <f aca="false">IFERROR(INDEX(p_Cat,MATCH($F971,p_ID,0)),"غير معرّف")</f>
        <v>عناية شخصية</v>
      </c>
      <c r="I971" s="81" t="s">
        <v>461</v>
      </c>
      <c r="J971" s="81" t="s">
        <v>91</v>
      </c>
      <c r="K971" s="81" t="n">
        <v>1</v>
      </c>
      <c r="L971" s="84" t="n">
        <f aca="false">IFERROR(INDEX(p_Price,MATCH($F971,p_ID,0)),0)</f>
        <v>600</v>
      </c>
      <c r="M971" s="85" t="n">
        <v>0.05</v>
      </c>
      <c r="N971" s="81" t="s">
        <v>644</v>
      </c>
      <c r="O971" s="84" t="n">
        <f aca="false">IF($N971="مرتجع",0,K971*L971*(1-M971))</f>
        <v>570</v>
      </c>
      <c r="P971" s="84" t="n">
        <f aca="false">IF($N971="مرتجع",0,K971*IFERROR(INDEX(p_Cost,MATCH($F971,p_ID,0)),0))</f>
        <v>330</v>
      </c>
      <c r="Q971" s="84" t="n">
        <f aca="false">O971-P971</f>
        <v>240</v>
      </c>
      <c r="R971" s="86" t="n">
        <f aca="false">DATE(YEAR(B971),MONTH(B971),1)</f>
        <v>46143</v>
      </c>
      <c r="S971" s="83" t="str">
        <f aca="false">YEAR(B971)&amp;"-Q"&amp;ROUNDUP(MONTH(B971)/3,0)</f>
        <v>2026-Q2</v>
      </c>
      <c r="T971" s="87" t="n">
        <f aca="false">IF(O971&gt;0,Q971/O971,"")</f>
        <v>0.421052631578947</v>
      </c>
      <c r="U971" s="84" t="n">
        <f aca="false">IF(O971&gt;0,O971,"")</f>
        <v>570</v>
      </c>
    </row>
    <row r="972" customFormat="false" ht="15" hidden="false" customHeight="false" outlineLevel="0" collapsed="false">
      <c r="A972" s="81" t="s">
        <v>1615</v>
      </c>
      <c r="B972" s="82" t="n">
        <v>46157</v>
      </c>
      <c r="C972" s="81" t="s">
        <v>415</v>
      </c>
      <c r="D972" s="83" t="str">
        <f aca="false">IFERROR(INDEX(c_Name,MATCH($C972,c_ID,0)),"غير معرّف")</f>
        <v>سارة القحطاني</v>
      </c>
      <c r="E972" s="83" t="str">
        <f aca="false">IFERROR(INDEX(c_Region,MATCH($C972,c_ID,0)),"غير معرّف")</f>
        <v>الشرقية</v>
      </c>
      <c r="F972" s="81" t="s">
        <v>166</v>
      </c>
      <c r="G972" s="83" t="str">
        <f aca="false">IFERROR(INDEX(p_Name,MATCH($F972,p_ID,0)),"غير معرّف")</f>
        <v>سماعات لاسلكية</v>
      </c>
      <c r="H972" s="83" t="str">
        <f aca="false">IFERROR(INDEX(p_Cat,MATCH($F972,p_ID,0)),"غير معرّف")</f>
        <v>إلكترونيات</v>
      </c>
      <c r="I972" s="81" t="s">
        <v>461</v>
      </c>
      <c r="J972" s="81" t="s">
        <v>91</v>
      </c>
      <c r="K972" s="81" t="n">
        <v>1</v>
      </c>
      <c r="L972" s="84" t="n">
        <f aca="false">IFERROR(INDEX(p_Price,MATCH($F972,p_ID,0)),0)</f>
        <v>450</v>
      </c>
      <c r="M972" s="85" t="n">
        <v>0.05</v>
      </c>
      <c r="N972" s="81" t="s">
        <v>644</v>
      </c>
      <c r="O972" s="84" t="n">
        <f aca="false">IF($N972="مرتجع",0,K972*L972*(1-M972))</f>
        <v>427.5</v>
      </c>
      <c r="P972" s="84" t="n">
        <f aca="false">IF($N972="مرتجع",0,K972*IFERROR(INDEX(p_Cost,MATCH($F972,p_ID,0)),0))</f>
        <v>260</v>
      </c>
      <c r="Q972" s="84" t="n">
        <f aca="false">O972-P972</f>
        <v>167.5</v>
      </c>
      <c r="R972" s="86" t="n">
        <f aca="false">DATE(YEAR(B972),MONTH(B972),1)</f>
        <v>46143</v>
      </c>
      <c r="S972" s="83" t="str">
        <f aca="false">YEAR(B972)&amp;"-Q"&amp;ROUNDUP(MONTH(B972)/3,0)</f>
        <v>2026-Q2</v>
      </c>
      <c r="T972" s="87" t="n">
        <f aca="false">IF(O972&gt;0,Q972/O972,"")</f>
        <v>0.391812865497076</v>
      </c>
      <c r="U972" s="84" t="n">
        <f aca="false">IF(O972&gt;0,O972,"")</f>
        <v>427.5</v>
      </c>
    </row>
    <row r="973" customFormat="false" ht="15" hidden="false" customHeight="false" outlineLevel="0" collapsed="false">
      <c r="A973" s="81" t="s">
        <v>1616</v>
      </c>
      <c r="B973" s="82" t="n">
        <v>46158</v>
      </c>
      <c r="C973" s="81" t="s">
        <v>423</v>
      </c>
      <c r="D973" s="83" t="str">
        <f aca="false">IFERROR(INDEX(c_Name,MATCH($C973,c_ID,0)),"غير معرّف")</f>
        <v>ناصر المطيري</v>
      </c>
      <c r="E973" s="83" t="str">
        <f aca="false">IFERROR(INDEX(c_Region,MATCH($C973,c_ID,0)),"غير معرّف")</f>
        <v>الغربية</v>
      </c>
      <c r="F973" s="81" t="s">
        <v>183</v>
      </c>
      <c r="G973" s="83" t="str">
        <f aca="false">IFERROR(INDEX(p_Name,MATCH($F973,p_ID,0)),"غير معرّف")</f>
        <v>سجادة يوغا</v>
      </c>
      <c r="H973" s="83" t="str">
        <f aca="false">IFERROR(INDEX(p_Cat,MATCH($F973,p_ID,0)),"غير معرّف")</f>
        <v>رياضة</v>
      </c>
      <c r="I973" s="81" t="s">
        <v>452</v>
      </c>
      <c r="J973" s="81" t="s">
        <v>91</v>
      </c>
      <c r="K973" s="81" t="n">
        <v>2</v>
      </c>
      <c r="L973" s="84" t="n">
        <f aca="false">IFERROR(INDEX(p_Price,MATCH($F973,p_ID,0)),0)</f>
        <v>120</v>
      </c>
      <c r="M973" s="85" t="n">
        <v>0</v>
      </c>
      <c r="N973" s="81" t="s">
        <v>644</v>
      </c>
      <c r="O973" s="84" t="n">
        <f aca="false">IF($N973="مرتجع",0,K973*L973*(1-M973))</f>
        <v>240</v>
      </c>
      <c r="P973" s="84" t="n">
        <f aca="false">IF($N973="مرتجع",0,K973*IFERROR(INDEX(p_Cost,MATCH($F973,p_ID,0)),0))</f>
        <v>100</v>
      </c>
      <c r="Q973" s="84" t="n">
        <f aca="false">O973-P973</f>
        <v>140</v>
      </c>
      <c r="R973" s="86" t="n">
        <f aca="false">DATE(YEAR(B973),MONTH(B973),1)</f>
        <v>46143</v>
      </c>
      <c r="S973" s="83" t="str">
        <f aca="false">YEAR(B973)&amp;"-Q"&amp;ROUNDUP(MONTH(B973)/3,0)</f>
        <v>2026-Q2</v>
      </c>
      <c r="T973" s="87" t="n">
        <f aca="false">IF(O973&gt;0,Q973/O973,"")</f>
        <v>0.583333333333333</v>
      </c>
      <c r="U973" s="84" t="n">
        <f aca="false">IF(O973&gt;0,O973,"")</f>
        <v>240</v>
      </c>
    </row>
    <row r="974" customFormat="false" ht="15" hidden="false" customHeight="false" outlineLevel="0" collapsed="false">
      <c r="A974" s="81" t="s">
        <v>1617</v>
      </c>
      <c r="B974" s="82" t="n">
        <v>46158</v>
      </c>
      <c r="C974" s="81" t="s">
        <v>386</v>
      </c>
      <c r="D974" s="83" t="str">
        <f aca="false">IFERROR(INDEX(c_Name,MATCH($C974,c_ID,0)),"غير معرّف")</f>
        <v>نورة الشمري</v>
      </c>
      <c r="E974" s="83" t="str">
        <f aca="false">IFERROR(INDEX(c_Region,MATCH($C974,c_ID,0)),"غير معرّف")</f>
        <v>الغربية</v>
      </c>
      <c r="F974" s="81" t="s">
        <v>172</v>
      </c>
      <c r="G974" s="83" t="str">
        <f aca="false">IFERROR(INDEX(p_Name,MATCH($F974,p_ID,0)),"غير معرّف")</f>
        <v>مكتب عمل</v>
      </c>
      <c r="H974" s="83" t="str">
        <f aca="false">IFERROR(INDEX(p_Cat,MATCH($F974,p_ID,0)),"غير معرّف")</f>
        <v>أثاث</v>
      </c>
      <c r="I974" s="81" t="s">
        <v>458</v>
      </c>
      <c r="J974" s="81" t="s">
        <v>93</v>
      </c>
      <c r="K974" s="81" t="n">
        <v>1</v>
      </c>
      <c r="L974" s="84" t="n">
        <f aca="false">IFERROR(INDEX(p_Price,MATCH($F974,p_ID,0)),0)</f>
        <v>1200</v>
      </c>
      <c r="M974" s="85" t="n">
        <v>0.05</v>
      </c>
      <c r="N974" s="81" t="s">
        <v>644</v>
      </c>
      <c r="O974" s="84" t="n">
        <f aca="false">IF($N974="مرتجع",0,K974*L974*(1-M974))</f>
        <v>1140</v>
      </c>
      <c r="P974" s="84" t="n">
        <f aca="false">IF($N974="مرتجع",0,K974*IFERROR(INDEX(p_Cost,MATCH($F974,p_ID,0)),0))</f>
        <v>700</v>
      </c>
      <c r="Q974" s="84" t="n">
        <f aca="false">O974-P974</f>
        <v>440</v>
      </c>
      <c r="R974" s="86" t="n">
        <f aca="false">DATE(YEAR(B974),MONTH(B974),1)</f>
        <v>46143</v>
      </c>
      <c r="S974" s="83" t="str">
        <f aca="false">YEAR(B974)&amp;"-Q"&amp;ROUNDUP(MONTH(B974)/3,0)</f>
        <v>2026-Q2</v>
      </c>
      <c r="T974" s="87" t="n">
        <f aca="false">IF(O974&gt;0,Q974/O974,"")</f>
        <v>0.385964912280702</v>
      </c>
      <c r="U974" s="84" t="n">
        <f aca="false">IF(O974&gt;0,O974,"")</f>
        <v>1140</v>
      </c>
    </row>
    <row r="975" customFormat="false" ht="15" hidden="false" customHeight="false" outlineLevel="0" collapsed="false">
      <c r="A975" s="81" t="s">
        <v>1618</v>
      </c>
      <c r="B975" s="82" t="n">
        <v>46158</v>
      </c>
      <c r="C975" s="81" t="s">
        <v>296</v>
      </c>
      <c r="D975" s="83" t="str">
        <f aca="false">IFERROR(INDEX(c_Name,MATCH($C975,c_ID,0)),"غير معرّف")</f>
        <v>محمد الزهراني</v>
      </c>
      <c r="E975" s="83" t="str">
        <f aca="false">IFERROR(INDEX(c_Region,MATCH($C975,c_ID,0)),"غير معرّف")</f>
        <v>الغربية</v>
      </c>
      <c r="F975" s="81" t="s">
        <v>179</v>
      </c>
      <c r="G975" s="83" t="str">
        <f aca="false">IFERROR(INDEX(p_Name,MATCH($F975,p_ID,0)),"غير معرّف")</f>
        <v>طقم أدوات مكتبية</v>
      </c>
      <c r="H975" s="83" t="str">
        <f aca="false">IFERROR(INDEX(p_Cat,MATCH($F975,p_ID,0)),"غير معرّف")</f>
        <v>مستلزمات مكتبية</v>
      </c>
      <c r="I975" s="81" t="s">
        <v>455</v>
      </c>
      <c r="J975" s="81" t="s">
        <v>93</v>
      </c>
      <c r="K975" s="81" t="n">
        <v>1</v>
      </c>
      <c r="L975" s="84" t="n">
        <f aca="false">IFERROR(INDEX(p_Price,MATCH($F975,p_ID,0)),0)</f>
        <v>90</v>
      </c>
      <c r="M975" s="85" t="n">
        <v>0</v>
      </c>
      <c r="N975" s="81" t="s">
        <v>644</v>
      </c>
      <c r="O975" s="84" t="n">
        <f aca="false">IF($N975="مرتجع",0,K975*L975*(1-M975))</f>
        <v>90</v>
      </c>
      <c r="P975" s="84" t="n">
        <f aca="false">IF($N975="مرتجع",0,K975*IFERROR(INDEX(p_Cost,MATCH($F975,p_ID,0)),0))</f>
        <v>45</v>
      </c>
      <c r="Q975" s="84" t="n">
        <f aca="false">O975-P975</f>
        <v>45</v>
      </c>
      <c r="R975" s="86" t="n">
        <f aca="false">DATE(YEAR(B975),MONTH(B975),1)</f>
        <v>46143</v>
      </c>
      <c r="S975" s="83" t="str">
        <f aca="false">YEAR(B975)&amp;"-Q"&amp;ROUNDUP(MONTH(B975)/3,0)</f>
        <v>2026-Q2</v>
      </c>
      <c r="T975" s="87" t="n">
        <f aca="false">IF(O975&gt;0,Q975/O975,"")</f>
        <v>0.5</v>
      </c>
      <c r="U975" s="84" t="n">
        <f aca="false">IF(O975&gt;0,O975,"")</f>
        <v>90</v>
      </c>
    </row>
    <row r="976" customFormat="false" ht="15" hidden="false" customHeight="false" outlineLevel="0" collapsed="false">
      <c r="A976" s="81" t="s">
        <v>1619</v>
      </c>
      <c r="B976" s="82" t="n">
        <v>46158</v>
      </c>
      <c r="C976" s="81" t="s">
        <v>273</v>
      </c>
      <c r="D976" s="83" t="str">
        <f aca="false">IFERROR(INDEX(c_Name,MATCH($C976,c_ID,0)),"غير معرّف")</f>
        <v>سلمان التميمي</v>
      </c>
      <c r="E976" s="83" t="str">
        <f aca="false">IFERROR(INDEX(c_Region,MATCH($C976,c_ID,0)),"غير معرّف")</f>
        <v>الشرقية</v>
      </c>
      <c r="F976" s="81" t="s">
        <v>187</v>
      </c>
      <c r="G976" s="83" t="str">
        <f aca="false">IFERROR(INDEX(p_Name,MATCH($F976,p_ID,0)),"غير معرّف")</f>
        <v>جهاز تدليك</v>
      </c>
      <c r="H976" s="83" t="str">
        <f aca="false">IFERROR(INDEX(p_Cat,MATCH($F976,p_ID,0)),"غير معرّف")</f>
        <v>عناية شخصية</v>
      </c>
      <c r="I976" s="81" t="s">
        <v>461</v>
      </c>
      <c r="J976" s="81" t="s">
        <v>91</v>
      </c>
      <c r="K976" s="81" t="n">
        <v>2</v>
      </c>
      <c r="L976" s="84" t="n">
        <f aca="false">IFERROR(INDEX(p_Price,MATCH($F976,p_ID,0)),0)</f>
        <v>600</v>
      </c>
      <c r="M976" s="85" t="n">
        <v>0.15</v>
      </c>
      <c r="N976" s="81" t="s">
        <v>644</v>
      </c>
      <c r="O976" s="84" t="n">
        <f aca="false">IF($N976="مرتجع",0,K976*L976*(1-M976))</f>
        <v>1020</v>
      </c>
      <c r="P976" s="84" t="n">
        <f aca="false">IF($N976="مرتجع",0,K976*IFERROR(INDEX(p_Cost,MATCH($F976,p_ID,0)),0))</f>
        <v>660</v>
      </c>
      <c r="Q976" s="84" t="n">
        <f aca="false">O976-P976</f>
        <v>360</v>
      </c>
      <c r="R976" s="86" t="n">
        <f aca="false">DATE(YEAR(B976),MONTH(B976),1)</f>
        <v>46143</v>
      </c>
      <c r="S976" s="83" t="str">
        <f aca="false">YEAR(B976)&amp;"-Q"&amp;ROUNDUP(MONTH(B976)/3,0)</f>
        <v>2026-Q2</v>
      </c>
      <c r="T976" s="87" t="n">
        <f aca="false">IF(O976&gt;0,Q976/O976,"")</f>
        <v>0.352941176470588</v>
      </c>
      <c r="U976" s="84" t="n">
        <f aca="false">IF(O976&gt;0,O976,"")</f>
        <v>1020</v>
      </c>
    </row>
    <row r="977" customFormat="false" ht="15" hidden="false" customHeight="false" outlineLevel="0" collapsed="false">
      <c r="A977" s="81" t="s">
        <v>1620</v>
      </c>
      <c r="B977" s="82" t="n">
        <v>46159</v>
      </c>
      <c r="C977" s="81" t="s">
        <v>275</v>
      </c>
      <c r="D977" s="83" t="str">
        <f aca="false">IFERROR(INDEX(c_Name,MATCH($C977,c_ID,0)),"غير معرّف")</f>
        <v>طارق البلوي</v>
      </c>
      <c r="E977" s="83" t="str">
        <f aca="false">IFERROR(INDEX(c_Region,MATCH($C977,c_ID,0)),"غير معرّف")</f>
        <v>الشرقية</v>
      </c>
      <c r="F977" s="81" t="s">
        <v>187</v>
      </c>
      <c r="G977" s="83" t="str">
        <f aca="false">IFERROR(INDEX(p_Name,MATCH($F977,p_ID,0)),"غير معرّف")</f>
        <v>جهاز تدليك</v>
      </c>
      <c r="H977" s="83" t="str">
        <f aca="false">IFERROR(INDEX(p_Cat,MATCH($F977,p_ID,0)),"غير معرّف")</f>
        <v>عناية شخصية</v>
      </c>
      <c r="I977" s="81" t="s">
        <v>461</v>
      </c>
      <c r="J977" s="81" t="s">
        <v>91</v>
      </c>
      <c r="K977" s="81" t="n">
        <v>1</v>
      </c>
      <c r="L977" s="84" t="n">
        <f aca="false">IFERROR(INDEX(p_Price,MATCH($F977,p_ID,0)),0)</f>
        <v>600</v>
      </c>
      <c r="M977" s="85" t="n">
        <v>0.1</v>
      </c>
      <c r="N977" s="81" t="s">
        <v>644</v>
      </c>
      <c r="O977" s="84" t="n">
        <f aca="false">IF($N977="مرتجع",0,K977*L977*(1-M977))</f>
        <v>540</v>
      </c>
      <c r="P977" s="84" t="n">
        <f aca="false">IF($N977="مرتجع",0,K977*IFERROR(INDEX(p_Cost,MATCH($F977,p_ID,0)),0))</f>
        <v>330</v>
      </c>
      <c r="Q977" s="84" t="n">
        <f aca="false">O977-P977</f>
        <v>210</v>
      </c>
      <c r="R977" s="86" t="n">
        <f aca="false">DATE(YEAR(B977),MONTH(B977),1)</f>
        <v>46143</v>
      </c>
      <c r="S977" s="83" t="str">
        <f aca="false">YEAR(B977)&amp;"-Q"&amp;ROUNDUP(MONTH(B977)/3,0)</f>
        <v>2026-Q2</v>
      </c>
      <c r="T977" s="87" t="n">
        <f aca="false">IF(O977&gt;0,Q977/O977,"")</f>
        <v>0.388888888888889</v>
      </c>
      <c r="U977" s="84" t="n">
        <f aca="false">IF(O977&gt;0,O977,"")</f>
        <v>540</v>
      </c>
    </row>
    <row r="978" customFormat="false" ht="15" hidden="false" customHeight="false" outlineLevel="0" collapsed="false">
      <c r="A978" s="81" t="s">
        <v>1621</v>
      </c>
      <c r="B978" s="82" t="n">
        <v>46159</v>
      </c>
      <c r="C978" s="81" t="s">
        <v>414</v>
      </c>
      <c r="D978" s="83" t="str">
        <f aca="false">IFERROR(INDEX(c_Name,MATCH($C978,c_ID,0)),"غير معرّف")</f>
        <v>هند المطيري</v>
      </c>
      <c r="E978" s="83" t="str">
        <f aca="false">IFERROR(INDEX(c_Region,MATCH($C978,c_ID,0)),"غير معرّف")</f>
        <v>الشرقية</v>
      </c>
      <c r="F978" s="81" t="s">
        <v>168</v>
      </c>
      <c r="G978" s="83" t="str">
        <f aca="false">IFERROR(INDEX(p_Name,MATCH($F978,p_ID,0)),"غير معرّف")</f>
        <v>مكنسة كهربائية</v>
      </c>
      <c r="H978" s="83" t="str">
        <f aca="false">IFERROR(INDEX(p_Cat,MATCH($F978,p_ID,0)),"غير معرّف")</f>
        <v>أجهزة منزلية</v>
      </c>
      <c r="I978" s="81" t="s">
        <v>463</v>
      </c>
      <c r="J978" s="81" t="s">
        <v>93</v>
      </c>
      <c r="K978" s="81" t="n">
        <v>2</v>
      </c>
      <c r="L978" s="84" t="n">
        <f aca="false">IFERROR(INDEX(p_Price,MATCH($F978,p_ID,0)),0)</f>
        <v>650</v>
      </c>
      <c r="M978" s="85" t="n">
        <v>0</v>
      </c>
      <c r="N978" s="81" t="s">
        <v>644</v>
      </c>
      <c r="O978" s="84" t="n">
        <f aca="false">IF($N978="مرتجع",0,K978*L978*(1-M978))</f>
        <v>1300</v>
      </c>
      <c r="P978" s="84" t="n">
        <f aca="false">IF($N978="مرتجع",0,K978*IFERROR(INDEX(p_Cost,MATCH($F978,p_ID,0)),0))</f>
        <v>840</v>
      </c>
      <c r="Q978" s="84" t="n">
        <f aca="false">O978-P978</f>
        <v>460</v>
      </c>
      <c r="R978" s="86" t="n">
        <f aca="false">DATE(YEAR(B978),MONTH(B978),1)</f>
        <v>46143</v>
      </c>
      <c r="S978" s="83" t="str">
        <f aca="false">YEAR(B978)&amp;"-Q"&amp;ROUNDUP(MONTH(B978)/3,0)</f>
        <v>2026-Q2</v>
      </c>
      <c r="T978" s="87" t="n">
        <f aca="false">IF(O978&gt;0,Q978/O978,"")</f>
        <v>0.353846153846154</v>
      </c>
      <c r="U978" s="84" t="n">
        <f aca="false">IF(O978&gt;0,O978,"")</f>
        <v>1300</v>
      </c>
    </row>
    <row r="979" customFormat="false" ht="15" hidden="false" customHeight="false" outlineLevel="0" collapsed="false">
      <c r="A979" s="81" t="s">
        <v>1622</v>
      </c>
      <c r="B979" s="82" t="n">
        <v>46159</v>
      </c>
      <c r="C979" s="81" t="s">
        <v>264</v>
      </c>
      <c r="D979" s="83" t="str">
        <f aca="false">IFERROR(INDEX(c_Name,MATCH($C979,c_ID,0)),"غير معرّف")</f>
        <v>عبدالله التميمي</v>
      </c>
      <c r="E979" s="83" t="str">
        <f aca="false">IFERROR(INDEX(c_Region,MATCH($C979,c_ID,0)),"غير معرّف")</f>
        <v>الوسطى</v>
      </c>
      <c r="F979" s="81" t="s">
        <v>187</v>
      </c>
      <c r="G979" s="83" t="str">
        <f aca="false">IFERROR(INDEX(p_Name,MATCH($F979,p_ID,0)),"غير معرّف")</f>
        <v>جهاز تدليك</v>
      </c>
      <c r="H979" s="83" t="str">
        <f aca="false">IFERROR(INDEX(p_Cat,MATCH($F979,p_ID,0)),"غير معرّف")</f>
        <v>عناية شخصية</v>
      </c>
      <c r="I979" s="81" t="s">
        <v>443</v>
      </c>
      <c r="J979" s="81" t="s">
        <v>91</v>
      </c>
      <c r="K979" s="81" t="n">
        <v>1</v>
      </c>
      <c r="L979" s="84" t="n">
        <f aca="false">IFERROR(INDEX(p_Price,MATCH($F979,p_ID,0)),0)</f>
        <v>600</v>
      </c>
      <c r="M979" s="85" t="n">
        <v>0.05</v>
      </c>
      <c r="N979" s="81" t="s">
        <v>644</v>
      </c>
      <c r="O979" s="84" t="n">
        <f aca="false">IF($N979="مرتجع",0,K979*L979*(1-M979))</f>
        <v>570</v>
      </c>
      <c r="P979" s="84" t="n">
        <f aca="false">IF($N979="مرتجع",0,K979*IFERROR(INDEX(p_Cost,MATCH($F979,p_ID,0)),0))</f>
        <v>330</v>
      </c>
      <c r="Q979" s="84" t="n">
        <f aca="false">O979-P979</f>
        <v>240</v>
      </c>
      <c r="R979" s="86" t="n">
        <f aca="false">DATE(YEAR(B979),MONTH(B979),1)</f>
        <v>46143</v>
      </c>
      <c r="S979" s="83" t="str">
        <f aca="false">YEAR(B979)&amp;"-Q"&amp;ROUNDUP(MONTH(B979)/3,0)</f>
        <v>2026-Q2</v>
      </c>
      <c r="T979" s="87" t="n">
        <f aca="false">IF(O979&gt;0,Q979/O979,"")</f>
        <v>0.421052631578947</v>
      </c>
      <c r="U979" s="84" t="n">
        <f aca="false">IF(O979&gt;0,O979,"")</f>
        <v>570</v>
      </c>
    </row>
    <row r="980" customFormat="false" ht="15" hidden="false" customHeight="false" outlineLevel="0" collapsed="false">
      <c r="A980" s="81" t="s">
        <v>1623</v>
      </c>
      <c r="B980" s="82" t="n">
        <v>46159</v>
      </c>
      <c r="C980" s="81" t="s">
        <v>262</v>
      </c>
      <c r="D980" s="83" t="str">
        <f aca="false">IFERROR(INDEX(c_Name,MATCH($C980,c_ID,0)),"غير معرّف")</f>
        <v>ناصر السبيعي</v>
      </c>
      <c r="E980" s="83" t="str">
        <f aca="false">IFERROR(INDEX(c_Region,MATCH($C980,c_ID,0)),"غير معرّف")</f>
        <v>الغربية</v>
      </c>
      <c r="F980" s="81" t="s">
        <v>170</v>
      </c>
      <c r="G980" s="83" t="str">
        <f aca="false">IFERROR(INDEX(p_Name,MATCH($F980,p_ID,0)),"غير معرّف")</f>
        <v>مكيف نقال</v>
      </c>
      <c r="H980" s="83" t="str">
        <f aca="false">IFERROR(INDEX(p_Cat,MATCH($F980,p_ID,0)),"غير معرّف")</f>
        <v>أجهزة منزلية</v>
      </c>
      <c r="I980" s="81" t="s">
        <v>455</v>
      </c>
      <c r="J980" s="81" t="s">
        <v>93</v>
      </c>
      <c r="K980" s="81" t="n">
        <v>1</v>
      </c>
      <c r="L980" s="84" t="n">
        <f aca="false">IFERROR(INDEX(p_Price,MATCH($F980,p_ID,0)),0)</f>
        <v>1900</v>
      </c>
      <c r="M980" s="85" t="n">
        <v>0</v>
      </c>
      <c r="N980" s="81" t="s">
        <v>644</v>
      </c>
      <c r="O980" s="84" t="n">
        <f aca="false">IF($N980="مرتجع",0,K980*L980*(1-M980))</f>
        <v>1900</v>
      </c>
      <c r="P980" s="84" t="n">
        <f aca="false">IF($N980="مرتجع",0,K980*IFERROR(INDEX(p_Cost,MATCH($F980,p_ID,0)),0))</f>
        <v>1350</v>
      </c>
      <c r="Q980" s="84" t="n">
        <f aca="false">O980-P980</f>
        <v>550</v>
      </c>
      <c r="R980" s="86" t="n">
        <f aca="false">DATE(YEAR(B980),MONTH(B980),1)</f>
        <v>46143</v>
      </c>
      <c r="S980" s="83" t="str">
        <f aca="false">YEAR(B980)&amp;"-Q"&amp;ROUNDUP(MONTH(B980)/3,0)</f>
        <v>2026-Q2</v>
      </c>
      <c r="T980" s="87" t="n">
        <f aca="false">IF(O980&gt;0,Q980/O980,"")</f>
        <v>0.289473684210526</v>
      </c>
      <c r="U980" s="84" t="n">
        <f aca="false">IF(O980&gt;0,O980,"")</f>
        <v>1900</v>
      </c>
    </row>
    <row r="981" customFormat="false" ht="15" hidden="false" customHeight="false" outlineLevel="0" collapsed="false">
      <c r="A981" s="81" t="s">
        <v>1624</v>
      </c>
      <c r="B981" s="82" t="n">
        <v>46159</v>
      </c>
      <c r="C981" s="81" t="s">
        <v>237</v>
      </c>
      <c r="D981" s="83" t="str">
        <f aca="false">IFERROR(INDEX(c_Name,MATCH($C981,c_ID,0)),"غير معرّف")</f>
        <v>محمد البلوي</v>
      </c>
      <c r="E981" s="83" t="str">
        <f aca="false">IFERROR(INDEX(c_Region,MATCH($C981,c_ID,0)),"غير معرّف")</f>
        <v>الوسطى</v>
      </c>
      <c r="F981" s="81" t="s">
        <v>166</v>
      </c>
      <c r="G981" s="83" t="str">
        <f aca="false">IFERROR(INDEX(p_Name,MATCH($F981,p_ID,0)),"غير معرّف")</f>
        <v>سماعات لاسلكية</v>
      </c>
      <c r="H981" s="83" t="str">
        <f aca="false">IFERROR(INDEX(p_Cat,MATCH($F981,p_ID,0)),"غير معرّف")</f>
        <v>إلكترونيات</v>
      </c>
      <c r="I981" s="81" t="s">
        <v>449</v>
      </c>
      <c r="J981" s="81" t="s">
        <v>93</v>
      </c>
      <c r="K981" s="81" t="n">
        <v>2</v>
      </c>
      <c r="L981" s="84" t="n">
        <f aca="false">IFERROR(INDEX(p_Price,MATCH($F981,p_ID,0)),0)</f>
        <v>450</v>
      </c>
      <c r="M981" s="85" t="n">
        <v>0</v>
      </c>
      <c r="N981" s="81" t="s">
        <v>644</v>
      </c>
      <c r="O981" s="84" t="n">
        <f aca="false">IF($N981="مرتجع",0,K981*L981*(1-M981))</f>
        <v>900</v>
      </c>
      <c r="P981" s="84" t="n">
        <f aca="false">IF($N981="مرتجع",0,K981*IFERROR(INDEX(p_Cost,MATCH($F981,p_ID,0)),0))</f>
        <v>520</v>
      </c>
      <c r="Q981" s="84" t="n">
        <f aca="false">O981-P981</f>
        <v>380</v>
      </c>
      <c r="R981" s="86" t="n">
        <f aca="false">DATE(YEAR(B981),MONTH(B981),1)</f>
        <v>46143</v>
      </c>
      <c r="S981" s="83" t="str">
        <f aca="false">YEAR(B981)&amp;"-Q"&amp;ROUNDUP(MONTH(B981)/3,0)</f>
        <v>2026-Q2</v>
      </c>
      <c r="T981" s="87" t="n">
        <f aca="false">IF(O981&gt;0,Q981/O981,"")</f>
        <v>0.422222222222222</v>
      </c>
      <c r="U981" s="84" t="n">
        <f aca="false">IF(O981&gt;0,O981,"")</f>
        <v>900</v>
      </c>
    </row>
    <row r="982" customFormat="false" ht="15" hidden="false" customHeight="false" outlineLevel="0" collapsed="false">
      <c r="A982" s="81" t="s">
        <v>1625</v>
      </c>
      <c r="B982" s="82" t="n">
        <v>46160</v>
      </c>
      <c r="C982" s="81" t="s">
        <v>349</v>
      </c>
      <c r="D982" s="83" t="str">
        <f aca="false">IFERROR(INDEX(c_Name,MATCH($C982,c_ID,0)),"غير معرّف")</f>
        <v>خالد الزهراني</v>
      </c>
      <c r="E982" s="83" t="str">
        <f aca="false">IFERROR(INDEX(c_Region,MATCH($C982,c_ID,0)),"غير معرّف")</f>
        <v>الوسطى</v>
      </c>
      <c r="F982" s="81" t="s">
        <v>171</v>
      </c>
      <c r="G982" s="83" t="str">
        <f aca="false">IFERROR(INDEX(p_Name,MATCH($F982,p_ID,0)),"غير معرّف")</f>
        <v>قلاية هوائية</v>
      </c>
      <c r="H982" s="83" t="str">
        <f aca="false">IFERROR(INDEX(p_Cat,MATCH($F982,p_ID,0)),"غير معرّف")</f>
        <v>أجهزة منزلية</v>
      </c>
      <c r="I982" s="81" t="s">
        <v>449</v>
      </c>
      <c r="J982" s="81" t="s">
        <v>91</v>
      </c>
      <c r="K982" s="81" t="n">
        <v>4</v>
      </c>
      <c r="L982" s="84" t="n">
        <f aca="false">IFERROR(INDEX(p_Price,MATCH($F982,p_ID,0)),0)</f>
        <v>520</v>
      </c>
      <c r="M982" s="85" t="n">
        <v>0.1</v>
      </c>
      <c r="N982" s="81" t="s">
        <v>644</v>
      </c>
      <c r="O982" s="84" t="n">
        <f aca="false">IF($N982="مرتجع",0,K982*L982*(1-M982))</f>
        <v>1872</v>
      </c>
      <c r="P982" s="84" t="n">
        <f aca="false">IF($N982="مرتجع",0,K982*IFERROR(INDEX(p_Cost,MATCH($F982,p_ID,0)),0))</f>
        <v>1200</v>
      </c>
      <c r="Q982" s="84" t="n">
        <f aca="false">O982-P982</f>
        <v>672</v>
      </c>
      <c r="R982" s="86" t="n">
        <f aca="false">DATE(YEAR(B982),MONTH(B982),1)</f>
        <v>46143</v>
      </c>
      <c r="S982" s="83" t="str">
        <f aca="false">YEAR(B982)&amp;"-Q"&amp;ROUNDUP(MONTH(B982)/3,0)</f>
        <v>2026-Q2</v>
      </c>
      <c r="T982" s="87" t="n">
        <f aca="false">IF(O982&gt;0,Q982/O982,"")</f>
        <v>0.358974358974359</v>
      </c>
      <c r="U982" s="84" t="n">
        <f aca="false">IF(O982&gt;0,O982,"")</f>
        <v>1872</v>
      </c>
    </row>
    <row r="983" customFormat="false" ht="15" hidden="false" customHeight="false" outlineLevel="0" collapsed="false">
      <c r="A983" s="81" t="s">
        <v>1626</v>
      </c>
      <c r="B983" s="82" t="n">
        <v>46160</v>
      </c>
      <c r="C983" s="81" t="s">
        <v>311</v>
      </c>
      <c r="D983" s="83" t="str">
        <f aca="false">IFERROR(INDEX(c_Name,MATCH($C983,c_ID,0)),"غير معرّف")</f>
        <v>لمى الحسيني</v>
      </c>
      <c r="E983" s="83" t="str">
        <f aca="false">IFERROR(INDEX(c_Region,MATCH($C983,c_ID,0)),"غير معرّف")</f>
        <v>الوسطى</v>
      </c>
      <c r="F983" s="81" t="s">
        <v>175</v>
      </c>
      <c r="G983" s="83" t="str">
        <f aca="false">IFERROR(INDEX(p_Name,MATCH($F983,p_ID,0)),"غير معرّف")</f>
        <v>رف كتب</v>
      </c>
      <c r="H983" s="83" t="str">
        <f aca="false">IFERROR(INDEX(p_Cat,MATCH($F983,p_ID,0)),"غير معرّف")</f>
        <v>أثاث</v>
      </c>
      <c r="I983" s="81" t="s">
        <v>443</v>
      </c>
      <c r="J983" s="81" t="s">
        <v>93</v>
      </c>
      <c r="K983" s="81" t="n">
        <v>1</v>
      </c>
      <c r="L983" s="84" t="n">
        <f aca="false">IFERROR(INDEX(p_Price,MATCH($F983,p_ID,0)),0)</f>
        <v>400</v>
      </c>
      <c r="M983" s="85" t="n">
        <v>0.05</v>
      </c>
      <c r="N983" s="81" t="s">
        <v>644</v>
      </c>
      <c r="O983" s="84" t="n">
        <f aca="false">IF($N983="مرتجع",0,K983*L983*(1-M983))</f>
        <v>380</v>
      </c>
      <c r="P983" s="84" t="n">
        <f aca="false">IF($N983="مرتجع",0,K983*IFERROR(INDEX(p_Cost,MATCH($F983,p_ID,0)),0))</f>
        <v>220</v>
      </c>
      <c r="Q983" s="84" t="n">
        <f aca="false">O983-P983</f>
        <v>160</v>
      </c>
      <c r="R983" s="86" t="n">
        <f aca="false">DATE(YEAR(B983),MONTH(B983),1)</f>
        <v>46143</v>
      </c>
      <c r="S983" s="83" t="str">
        <f aca="false">YEAR(B983)&amp;"-Q"&amp;ROUNDUP(MONTH(B983)/3,0)</f>
        <v>2026-Q2</v>
      </c>
      <c r="T983" s="87" t="n">
        <f aca="false">IF(O983&gt;0,Q983/O983,"")</f>
        <v>0.421052631578947</v>
      </c>
      <c r="U983" s="84" t="n">
        <f aca="false">IF(O983&gt;0,O983,"")</f>
        <v>380</v>
      </c>
    </row>
    <row r="984" customFormat="false" ht="15" hidden="false" customHeight="false" outlineLevel="0" collapsed="false">
      <c r="A984" s="81" t="s">
        <v>1627</v>
      </c>
      <c r="B984" s="82" t="n">
        <v>46161</v>
      </c>
      <c r="C984" s="81" t="s">
        <v>423</v>
      </c>
      <c r="D984" s="83" t="str">
        <f aca="false">IFERROR(INDEX(c_Name,MATCH($C984,c_ID,0)),"غير معرّف")</f>
        <v>ناصر المطيري</v>
      </c>
      <c r="E984" s="83" t="str">
        <f aca="false">IFERROR(INDEX(c_Region,MATCH($C984,c_ID,0)),"غير معرّف")</f>
        <v>الغربية</v>
      </c>
      <c r="F984" s="81" t="s">
        <v>183</v>
      </c>
      <c r="G984" s="83" t="str">
        <f aca="false">IFERROR(INDEX(p_Name,MATCH($F984,p_ID,0)),"غير معرّف")</f>
        <v>سجادة يوغا</v>
      </c>
      <c r="H984" s="83" t="str">
        <f aca="false">IFERROR(INDEX(p_Cat,MATCH($F984,p_ID,0)),"غير معرّف")</f>
        <v>رياضة</v>
      </c>
      <c r="I984" s="81" t="s">
        <v>458</v>
      </c>
      <c r="J984" s="81" t="s">
        <v>93</v>
      </c>
      <c r="K984" s="81" t="n">
        <v>1</v>
      </c>
      <c r="L984" s="84" t="n">
        <f aca="false">IFERROR(INDEX(p_Price,MATCH($F984,p_ID,0)),0)</f>
        <v>120</v>
      </c>
      <c r="M984" s="85" t="n">
        <v>0.1</v>
      </c>
      <c r="N984" s="81" t="s">
        <v>644</v>
      </c>
      <c r="O984" s="84" t="n">
        <f aca="false">IF($N984="مرتجع",0,K984*L984*(1-M984))</f>
        <v>108</v>
      </c>
      <c r="P984" s="84" t="n">
        <f aca="false">IF($N984="مرتجع",0,K984*IFERROR(INDEX(p_Cost,MATCH($F984,p_ID,0)),0))</f>
        <v>50</v>
      </c>
      <c r="Q984" s="84" t="n">
        <f aca="false">O984-P984</f>
        <v>58</v>
      </c>
      <c r="R984" s="86" t="n">
        <f aca="false">DATE(YEAR(B984),MONTH(B984),1)</f>
        <v>46143</v>
      </c>
      <c r="S984" s="83" t="str">
        <f aca="false">YEAR(B984)&amp;"-Q"&amp;ROUNDUP(MONTH(B984)/3,0)</f>
        <v>2026-Q2</v>
      </c>
      <c r="T984" s="87" t="n">
        <f aca="false">IF(O984&gt;0,Q984/O984,"")</f>
        <v>0.537037037037037</v>
      </c>
      <c r="U984" s="84" t="n">
        <f aca="false">IF(O984&gt;0,O984,"")</f>
        <v>108</v>
      </c>
    </row>
    <row r="985" customFormat="false" ht="15" hidden="false" customHeight="false" outlineLevel="0" collapsed="false">
      <c r="A985" s="81" t="s">
        <v>1628</v>
      </c>
      <c r="B985" s="82" t="n">
        <v>46161</v>
      </c>
      <c r="C985" s="81" t="s">
        <v>403</v>
      </c>
      <c r="D985" s="83" t="str">
        <f aca="false">IFERROR(INDEX(c_Name,MATCH($C985,c_ID,0)),"غير معرّف")</f>
        <v>ياسر المطيري</v>
      </c>
      <c r="E985" s="83" t="str">
        <f aca="false">IFERROR(INDEX(c_Region,MATCH($C985,c_ID,0)),"غير معرّف")</f>
        <v>الجنوبية</v>
      </c>
      <c r="F985" s="81" t="s">
        <v>181</v>
      </c>
      <c r="G985" s="83" t="str">
        <f aca="false">IFERROR(INDEX(p_Name,MATCH($F985,p_ID,0)),"غير معرّف")</f>
        <v>دراجة ثابتة</v>
      </c>
      <c r="H985" s="83" t="str">
        <f aca="false">IFERROR(INDEX(p_Cat,MATCH($F985,p_ID,0)),"غير معرّف")</f>
        <v>رياضة</v>
      </c>
      <c r="I985" s="81" t="s">
        <v>467</v>
      </c>
      <c r="J985" s="81" t="s">
        <v>93</v>
      </c>
      <c r="K985" s="81" t="n">
        <v>1</v>
      </c>
      <c r="L985" s="84" t="n">
        <f aca="false">IFERROR(INDEX(p_Price,MATCH($F985,p_ID,0)),0)</f>
        <v>1800</v>
      </c>
      <c r="M985" s="85" t="n">
        <v>0</v>
      </c>
      <c r="N985" s="81" t="s">
        <v>644</v>
      </c>
      <c r="O985" s="84" t="n">
        <f aca="false">IF($N985="مرتجع",0,K985*L985*(1-M985))</f>
        <v>1800</v>
      </c>
      <c r="P985" s="84" t="n">
        <f aca="false">IF($N985="مرتجع",0,K985*IFERROR(INDEX(p_Cost,MATCH($F985,p_ID,0)),0))</f>
        <v>1200</v>
      </c>
      <c r="Q985" s="84" t="n">
        <f aca="false">O985-P985</f>
        <v>600</v>
      </c>
      <c r="R985" s="86" t="n">
        <f aca="false">DATE(YEAR(B985),MONTH(B985),1)</f>
        <v>46143</v>
      </c>
      <c r="S985" s="83" t="str">
        <f aca="false">YEAR(B985)&amp;"-Q"&amp;ROUNDUP(MONTH(B985)/3,0)</f>
        <v>2026-Q2</v>
      </c>
      <c r="T985" s="87" t="n">
        <f aca="false">IF(O985&gt;0,Q985/O985,"")</f>
        <v>0.333333333333333</v>
      </c>
      <c r="U985" s="84" t="n">
        <f aca="false">IF(O985&gt;0,O985,"")</f>
        <v>1800</v>
      </c>
    </row>
    <row r="986" customFormat="false" ht="15" hidden="false" customHeight="false" outlineLevel="0" collapsed="false">
      <c r="A986" s="81" t="s">
        <v>1629</v>
      </c>
      <c r="B986" s="82" t="n">
        <v>46161</v>
      </c>
      <c r="C986" s="81" t="s">
        <v>270</v>
      </c>
      <c r="D986" s="83" t="str">
        <f aca="false">IFERROR(INDEX(c_Name,MATCH($C986,c_ID,0)),"غير معرّف")</f>
        <v>ريم التميمي</v>
      </c>
      <c r="E986" s="83" t="str">
        <f aca="false">IFERROR(INDEX(c_Region,MATCH($C986,c_ID,0)),"غير معرّف")</f>
        <v>الشرقية</v>
      </c>
      <c r="F986" s="81" t="s">
        <v>183</v>
      </c>
      <c r="G986" s="83" t="str">
        <f aca="false">IFERROR(INDEX(p_Name,MATCH($F986,p_ID,0)),"غير معرّف")</f>
        <v>سجادة يوغا</v>
      </c>
      <c r="H986" s="83" t="str">
        <f aca="false">IFERROR(INDEX(p_Cat,MATCH($F986,p_ID,0)),"غير معرّف")</f>
        <v>رياضة</v>
      </c>
      <c r="I986" s="81" t="s">
        <v>463</v>
      </c>
      <c r="J986" s="81" t="s">
        <v>91</v>
      </c>
      <c r="K986" s="81" t="n">
        <v>4</v>
      </c>
      <c r="L986" s="84" t="n">
        <f aca="false">IFERROR(INDEX(p_Price,MATCH($F986,p_ID,0)),0)</f>
        <v>120</v>
      </c>
      <c r="M986" s="85" t="n">
        <v>0</v>
      </c>
      <c r="N986" s="81" t="s">
        <v>644</v>
      </c>
      <c r="O986" s="84" t="n">
        <f aca="false">IF($N986="مرتجع",0,K986*L986*(1-M986))</f>
        <v>480</v>
      </c>
      <c r="P986" s="84" t="n">
        <f aca="false">IF($N986="مرتجع",0,K986*IFERROR(INDEX(p_Cost,MATCH($F986,p_ID,0)),0))</f>
        <v>200</v>
      </c>
      <c r="Q986" s="84" t="n">
        <f aca="false">O986-P986</f>
        <v>280</v>
      </c>
      <c r="R986" s="86" t="n">
        <f aca="false">DATE(YEAR(B986),MONTH(B986),1)</f>
        <v>46143</v>
      </c>
      <c r="S986" s="83" t="str">
        <f aca="false">YEAR(B986)&amp;"-Q"&amp;ROUNDUP(MONTH(B986)/3,0)</f>
        <v>2026-Q2</v>
      </c>
      <c r="T986" s="87" t="n">
        <f aca="false">IF(O986&gt;0,Q986/O986,"")</f>
        <v>0.583333333333333</v>
      </c>
      <c r="U986" s="84" t="n">
        <f aca="false">IF(O986&gt;0,O986,"")</f>
        <v>480</v>
      </c>
    </row>
    <row r="987" customFormat="false" ht="15" hidden="false" customHeight="false" outlineLevel="0" collapsed="false">
      <c r="A987" s="81" t="s">
        <v>1630</v>
      </c>
      <c r="B987" s="82" t="n">
        <v>46161</v>
      </c>
      <c r="C987" s="81" t="s">
        <v>303</v>
      </c>
      <c r="D987" s="83" t="str">
        <f aca="false">IFERROR(INDEX(c_Name,MATCH($C987,c_ID,0)),"غير معرّف")</f>
        <v>ناصر الحسيني</v>
      </c>
      <c r="E987" s="83" t="str">
        <f aca="false">IFERROR(INDEX(c_Region,MATCH($C987,c_ID,0)),"غير معرّف")</f>
        <v>الشرقية</v>
      </c>
      <c r="F987" s="81" t="s">
        <v>173</v>
      </c>
      <c r="G987" s="83" t="str">
        <f aca="false">IFERROR(INDEX(p_Name,MATCH($F987,p_ID,0)),"غير معرّف")</f>
        <v>كرسي مريح</v>
      </c>
      <c r="H987" s="83" t="str">
        <f aca="false">IFERROR(INDEX(p_Cat,MATCH($F987,p_ID,0)),"غير معرّف")</f>
        <v>أثاث</v>
      </c>
      <c r="I987" s="81" t="s">
        <v>463</v>
      </c>
      <c r="J987" s="81" t="s">
        <v>93</v>
      </c>
      <c r="K987" s="81" t="n">
        <v>6</v>
      </c>
      <c r="L987" s="84" t="n">
        <f aca="false">IFERROR(INDEX(p_Price,MATCH($F987,p_ID,0)),0)</f>
        <v>850</v>
      </c>
      <c r="M987" s="85" t="n">
        <v>0</v>
      </c>
      <c r="N987" s="81" t="s">
        <v>644</v>
      </c>
      <c r="O987" s="84" t="n">
        <f aca="false">IF($N987="مرتجع",0,K987*L987*(1-M987))</f>
        <v>5100</v>
      </c>
      <c r="P987" s="84" t="n">
        <f aca="false">IF($N987="مرتجع",0,K987*IFERROR(INDEX(p_Cost,MATCH($F987,p_ID,0)),0))</f>
        <v>2880</v>
      </c>
      <c r="Q987" s="84" t="n">
        <f aca="false">O987-P987</f>
        <v>2220</v>
      </c>
      <c r="R987" s="86" t="n">
        <f aca="false">DATE(YEAR(B987),MONTH(B987),1)</f>
        <v>46143</v>
      </c>
      <c r="S987" s="83" t="str">
        <f aca="false">YEAR(B987)&amp;"-Q"&amp;ROUNDUP(MONTH(B987)/3,0)</f>
        <v>2026-Q2</v>
      </c>
      <c r="T987" s="87" t="n">
        <f aca="false">IF(O987&gt;0,Q987/O987,"")</f>
        <v>0.435294117647059</v>
      </c>
      <c r="U987" s="84" t="n">
        <f aca="false">IF(O987&gt;0,O987,"")</f>
        <v>5100</v>
      </c>
    </row>
    <row r="988" customFormat="false" ht="15" hidden="false" customHeight="false" outlineLevel="0" collapsed="false">
      <c r="A988" s="81" t="s">
        <v>1631</v>
      </c>
      <c r="B988" s="82" t="n">
        <v>46161</v>
      </c>
      <c r="C988" s="81" t="s">
        <v>244</v>
      </c>
      <c r="D988" s="83" t="str">
        <f aca="false">IFERROR(INDEX(c_Name,MATCH($C988,c_ID,0)),"غير معرّف")</f>
        <v>طارق الشهري</v>
      </c>
      <c r="E988" s="83" t="str">
        <f aca="false">IFERROR(INDEX(c_Region,MATCH($C988,c_ID,0)),"غير معرّف")</f>
        <v>الوسطى</v>
      </c>
      <c r="F988" s="81" t="s">
        <v>185</v>
      </c>
      <c r="G988" s="83" t="str">
        <f aca="false">IFERROR(INDEX(p_Name,MATCH($F988,p_ID,0)),"غير معرّف")</f>
        <v>ماكينة حلاقة</v>
      </c>
      <c r="H988" s="83" t="str">
        <f aca="false">IFERROR(INDEX(p_Cat,MATCH($F988,p_ID,0)),"غير معرّف")</f>
        <v>عناية شخصية</v>
      </c>
      <c r="I988" s="81" t="s">
        <v>446</v>
      </c>
      <c r="J988" s="81" t="s">
        <v>93</v>
      </c>
      <c r="K988" s="81" t="n">
        <v>1</v>
      </c>
      <c r="L988" s="84" t="n">
        <f aca="false">IFERROR(INDEX(p_Price,MATCH($F988,p_ID,0)),0)</f>
        <v>340</v>
      </c>
      <c r="M988" s="85" t="n">
        <v>0</v>
      </c>
      <c r="N988" s="81" t="s">
        <v>644</v>
      </c>
      <c r="O988" s="84" t="n">
        <f aca="false">IF($N988="مرتجع",0,K988*L988*(1-M988))</f>
        <v>340</v>
      </c>
      <c r="P988" s="84" t="n">
        <f aca="false">IF($N988="مرتجع",0,K988*IFERROR(INDEX(p_Cost,MATCH($F988,p_ID,0)),0))</f>
        <v>170</v>
      </c>
      <c r="Q988" s="84" t="n">
        <f aca="false">O988-P988</f>
        <v>170</v>
      </c>
      <c r="R988" s="86" t="n">
        <f aca="false">DATE(YEAR(B988),MONTH(B988),1)</f>
        <v>46143</v>
      </c>
      <c r="S988" s="83" t="str">
        <f aca="false">YEAR(B988)&amp;"-Q"&amp;ROUNDUP(MONTH(B988)/3,0)</f>
        <v>2026-Q2</v>
      </c>
      <c r="T988" s="87" t="n">
        <f aca="false">IF(O988&gt;0,Q988/O988,"")</f>
        <v>0.5</v>
      </c>
      <c r="U988" s="84" t="n">
        <f aca="false">IF(O988&gt;0,O988,"")</f>
        <v>340</v>
      </c>
    </row>
    <row r="989" customFormat="false" ht="15" hidden="false" customHeight="false" outlineLevel="0" collapsed="false">
      <c r="A989" s="81" t="s">
        <v>1632</v>
      </c>
      <c r="B989" s="82" t="n">
        <v>46161</v>
      </c>
      <c r="C989" s="81" t="s">
        <v>344</v>
      </c>
      <c r="D989" s="83" t="str">
        <f aca="false">IFERROR(INDEX(c_Name,MATCH($C989,c_ID,0)),"غير معرّف")</f>
        <v>خالد القحطاني</v>
      </c>
      <c r="E989" s="83" t="str">
        <f aca="false">IFERROR(INDEX(c_Region,MATCH($C989,c_ID,0)),"غير معرّف")</f>
        <v>الغربية</v>
      </c>
      <c r="F989" s="81" t="s">
        <v>187</v>
      </c>
      <c r="G989" s="83" t="str">
        <f aca="false">IFERROR(INDEX(p_Name,MATCH($F989,p_ID,0)),"غير معرّف")</f>
        <v>جهاز تدليك</v>
      </c>
      <c r="H989" s="83" t="str">
        <f aca="false">IFERROR(INDEX(p_Cat,MATCH($F989,p_ID,0)),"غير معرّف")</f>
        <v>عناية شخصية</v>
      </c>
      <c r="I989" s="81" t="s">
        <v>452</v>
      </c>
      <c r="J989" s="81" t="s">
        <v>93</v>
      </c>
      <c r="K989" s="81" t="n">
        <v>1</v>
      </c>
      <c r="L989" s="84" t="n">
        <f aca="false">IFERROR(INDEX(p_Price,MATCH($F989,p_ID,0)),0)</f>
        <v>600</v>
      </c>
      <c r="M989" s="85" t="n">
        <v>0</v>
      </c>
      <c r="N989" s="81" t="s">
        <v>644</v>
      </c>
      <c r="O989" s="84" t="n">
        <f aca="false">IF($N989="مرتجع",0,K989*L989*(1-M989))</f>
        <v>600</v>
      </c>
      <c r="P989" s="84" t="n">
        <f aca="false">IF($N989="مرتجع",0,K989*IFERROR(INDEX(p_Cost,MATCH($F989,p_ID,0)),0))</f>
        <v>330</v>
      </c>
      <c r="Q989" s="84" t="n">
        <f aca="false">O989-P989</f>
        <v>270</v>
      </c>
      <c r="R989" s="86" t="n">
        <f aca="false">DATE(YEAR(B989),MONTH(B989),1)</f>
        <v>46143</v>
      </c>
      <c r="S989" s="83" t="str">
        <f aca="false">YEAR(B989)&amp;"-Q"&amp;ROUNDUP(MONTH(B989)/3,0)</f>
        <v>2026-Q2</v>
      </c>
      <c r="T989" s="87" t="n">
        <f aca="false">IF(O989&gt;0,Q989/O989,"")</f>
        <v>0.45</v>
      </c>
      <c r="U989" s="84" t="n">
        <f aca="false">IF(O989&gt;0,O989,"")</f>
        <v>600</v>
      </c>
    </row>
    <row r="990" customFormat="false" ht="15" hidden="false" customHeight="false" outlineLevel="0" collapsed="false">
      <c r="A990" s="81" t="s">
        <v>1633</v>
      </c>
      <c r="B990" s="82" t="n">
        <v>46161</v>
      </c>
      <c r="C990" s="81" t="s">
        <v>364</v>
      </c>
      <c r="D990" s="83" t="str">
        <f aca="false">IFERROR(INDEX(c_Name,MATCH($C990,c_ID,0)),"غير معرّف")</f>
        <v>عبير الدوسري</v>
      </c>
      <c r="E990" s="83" t="str">
        <f aca="false">IFERROR(INDEX(c_Region,MATCH($C990,c_ID,0)),"غير معرّف")</f>
        <v>الشرقية</v>
      </c>
      <c r="F990" s="81" t="s">
        <v>186</v>
      </c>
      <c r="G990" s="83" t="str">
        <f aca="false">IFERROR(INDEX(p_Name,MATCH($F990,p_ID,0)),"غير معرّف")</f>
        <v>مجفف شعر</v>
      </c>
      <c r="H990" s="83" t="str">
        <f aca="false">IFERROR(INDEX(p_Cat,MATCH($F990,p_ID,0)),"غير معرّف")</f>
        <v>عناية شخصية</v>
      </c>
      <c r="I990" s="81" t="s">
        <v>463</v>
      </c>
      <c r="J990" s="81" t="s">
        <v>91</v>
      </c>
      <c r="K990" s="81" t="n">
        <v>1</v>
      </c>
      <c r="L990" s="84" t="n">
        <f aca="false">IFERROR(INDEX(p_Price,MATCH($F990,p_ID,0)),0)</f>
        <v>280</v>
      </c>
      <c r="M990" s="85" t="n">
        <v>0</v>
      </c>
      <c r="N990" s="81" t="s">
        <v>644</v>
      </c>
      <c r="O990" s="84" t="n">
        <f aca="false">IF($N990="مرتجع",0,K990*L990*(1-M990))</f>
        <v>280</v>
      </c>
      <c r="P990" s="84" t="n">
        <f aca="false">IF($N990="مرتجع",0,K990*IFERROR(INDEX(p_Cost,MATCH($F990,p_ID,0)),0))</f>
        <v>140</v>
      </c>
      <c r="Q990" s="84" t="n">
        <f aca="false">O990-P990</f>
        <v>140</v>
      </c>
      <c r="R990" s="86" t="n">
        <f aca="false">DATE(YEAR(B990),MONTH(B990),1)</f>
        <v>46143</v>
      </c>
      <c r="S990" s="83" t="str">
        <f aca="false">YEAR(B990)&amp;"-Q"&amp;ROUNDUP(MONTH(B990)/3,0)</f>
        <v>2026-Q2</v>
      </c>
      <c r="T990" s="87" t="n">
        <f aca="false">IF(O990&gt;0,Q990/O990,"")</f>
        <v>0.5</v>
      </c>
      <c r="U990" s="84" t="n">
        <f aca="false">IF(O990&gt;0,O990,"")</f>
        <v>280</v>
      </c>
    </row>
    <row r="991" customFormat="false" ht="15" hidden="false" customHeight="false" outlineLevel="0" collapsed="false">
      <c r="A991" s="81" t="s">
        <v>1634</v>
      </c>
      <c r="B991" s="82" t="n">
        <v>46162</v>
      </c>
      <c r="C991" s="81" t="s">
        <v>408</v>
      </c>
      <c r="D991" s="83" t="str">
        <f aca="false">IFERROR(INDEX(c_Name,MATCH($C991,c_ID,0)),"غير معرّف")</f>
        <v>فهد الغامدي</v>
      </c>
      <c r="E991" s="83" t="str">
        <f aca="false">IFERROR(INDEX(c_Region,MATCH($C991,c_ID,0)),"غير معرّف")</f>
        <v>الغربية</v>
      </c>
      <c r="F991" s="81" t="s">
        <v>185</v>
      </c>
      <c r="G991" s="83" t="str">
        <f aca="false">IFERROR(INDEX(p_Name,MATCH($F991,p_ID,0)),"غير معرّف")</f>
        <v>ماكينة حلاقة</v>
      </c>
      <c r="H991" s="83" t="str">
        <f aca="false">IFERROR(INDEX(p_Cat,MATCH($F991,p_ID,0)),"غير معرّف")</f>
        <v>عناية شخصية</v>
      </c>
      <c r="I991" s="81" t="s">
        <v>452</v>
      </c>
      <c r="J991" s="81" t="s">
        <v>93</v>
      </c>
      <c r="K991" s="81" t="n">
        <v>2</v>
      </c>
      <c r="L991" s="84" t="n">
        <f aca="false">IFERROR(INDEX(p_Price,MATCH($F991,p_ID,0)),0)</f>
        <v>340</v>
      </c>
      <c r="M991" s="85" t="n">
        <v>0</v>
      </c>
      <c r="N991" s="81" t="s">
        <v>644</v>
      </c>
      <c r="O991" s="84" t="n">
        <f aca="false">IF($N991="مرتجع",0,K991*L991*(1-M991))</f>
        <v>680</v>
      </c>
      <c r="P991" s="84" t="n">
        <f aca="false">IF($N991="مرتجع",0,K991*IFERROR(INDEX(p_Cost,MATCH($F991,p_ID,0)),0))</f>
        <v>340</v>
      </c>
      <c r="Q991" s="84" t="n">
        <f aca="false">O991-P991</f>
        <v>340</v>
      </c>
      <c r="R991" s="86" t="n">
        <f aca="false">DATE(YEAR(B991),MONTH(B991),1)</f>
        <v>46143</v>
      </c>
      <c r="S991" s="83" t="str">
        <f aca="false">YEAR(B991)&amp;"-Q"&amp;ROUNDUP(MONTH(B991)/3,0)</f>
        <v>2026-Q2</v>
      </c>
      <c r="T991" s="87" t="n">
        <f aca="false">IF(O991&gt;0,Q991/O991,"")</f>
        <v>0.5</v>
      </c>
      <c r="U991" s="84" t="n">
        <f aca="false">IF(O991&gt;0,O991,"")</f>
        <v>680</v>
      </c>
    </row>
    <row r="992" customFormat="false" ht="15" hidden="false" customHeight="false" outlineLevel="0" collapsed="false">
      <c r="A992" s="81" t="s">
        <v>1635</v>
      </c>
      <c r="B992" s="82" t="n">
        <v>46162</v>
      </c>
      <c r="C992" s="81" t="s">
        <v>331</v>
      </c>
      <c r="D992" s="83" t="str">
        <f aca="false">IFERROR(INDEX(c_Name,MATCH($C992,c_ID,0)),"غير معرّف")</f>
        <v>ليلى الخالدي</v>
      </c>
      <c r="E992" s="83" t="str">
        <f aca="false">IFERROR(INDEX(c_Region,MATCH($C992,c_ID,0)),"غير معرّف")</f>
        <v>الوسطى</v>
      </c>
      <c r="F992" s="81" t="s">
        <v>176</v>
      </c>
      <c r="G992" s="83" t="str">
        <f aca="false">IFERROR(INDEX(p_Name,MATCH($F992,p_ID,0)),"غير معرّف")</f>
        <v>طابعة ليزر</v>
      </c>
      <c r="H992" s="83" t="str">
        <f aca="false">IFERROR(INDEX(p_Cat,MATCH($F992,p_ID,0)),"غير معرّف")</f>
        <v>مستلزمات مكتبية</v>
      </c>
      <c r="I992" s="81" t="s">
        <v>446</v>
      </c>
      <c r="J992" s="81" t="s">
        <v>91</v>
      </c>
      <c r="K992" s="81" t="n">
        <v>2</v>
      </c>
      <c r="L992" s="84" t="n">
        <f aca="false">IFERROR(INDEX(p_Price,MATCH($F992,p_ID,0)),0)</f>
        <v>1300</v>
      </c>
      <c r="M992" s="85" t="n">
        <v>0</v>
      </c>
      <c r="N992" s="81" t="s">
        <v>644</v>
      </c>
      <c r="O992" s="84" t="n">
        <f aca="false">IF($N992="مرتجع",0,K992*L992*(1-M992))</f>
        <v>2600</v>
      </c>
      <c r="P992" s="84" t="n">
        <f aca="false">IF($N992="مرتجع",0,K992*IFERROR(INDEX(p_Cost,MATCH($F992,p_ID,0)),0))</f>
        <v>1900</v>
      </c>
      <c r="Q992" s="84" t="n">
        <f aca="false">O992-P992</f>
        <v>700</v>
      </c>
      <c r="R992" s="86" t="n">
        <f aca="false">DATE(YEAR(B992),MONTH(B992),1)</f>
        <v>46143</v>
      </c>
      <c r="S992" s="83" t="str">
        <f aca="false">YEAR(B992)&amp;"-Q"&amp;ROUNDUP(MONTH(B992)/3,0)</f>
        <v>2026-Q2</v>
      </c>
      <c r="T992" s="87" t="n">
        <f aca="false">IF(O992&gt;0,Q992/O992,"")</f>
        <v>0.269230769230769</v>
      </c>
      <c r="U992" s="84" t="n">
        <f aca="false">IF(O992&gt;0,O992,"")</f>
        <v>2600</v>
      </c>
    </row>
    <row r="993" customFormat="false" ht="15" hidden="false" customHeight="false" outlineLevel="0" collapsed="false">
      <c r="A993" s="81" t="s">
        <v>1636</v>
      </c>
      <c r="B993" s="82" t="n">
        <v>46163</v>
      </c>
      <c r="C993" s="81" t="s">
        <v>306</v>
      </c>
      <c r="D993" s="83" t="str">
        <f aca="false">IFERROR(INDEX(c_Name,MATCH($C993,c_ID,0)),"غير معرّف")</f>
        <v>أحمد العنزي</v>
      </c>
      <c r="E993" s="83" t="str">
        <f aca="false">IFERROR(INDEX(c_Region,MATCH($C993,c_ID,0)),"غير معرّف")</f>
        <v>الغربية</v>
      </c>
      <c r="F993" s="81" t="s">
        <v>179</v>
      </c>
      <c r="G993" s="83" t="str">
        <f aca="false">IFERROR(INDEX(p_Name,MATCH($F993,p_ID,0)),"غير معرّف")</f>
        <v>طقم أدوات مكتبية</v>
      </c>
      <c r="H993" s="83" t="str">
        <f aca="false">IFERROR(INDEX(p_Cat,MATCH($F993,p_ID,0)),"غير معرّف")</f>
        <v>مستلزمات مكتبية</v>
      </c>
      <c r="I993" s="81" t="s">
        <v>458</v>
      </c>
      <c r="J993" s="81" t="s">
        <v>95</v>
      </c>
      <c r="K993" s="81" t="n">
        <v>8</v>
      </c>
      <c r="L993" s="84" t="n">
        <f aca="false">IFERROR(INDEX(p_Price,MATCH($F993,p_ID,0)),0)</f>
        <v>90</v>
      </c>
      <c r="M993" s="85" t="n">
        <v>0.05</v>
      </c>
      <c r="N993" s="81" t="s">
        <v>644</v>
      </c>
      <c r="O993" s="84" t="n">
        <f aca="false">IF($N993="مرتجع",0,K993*L993*(1-M993))</f>
        <v>684</v>
      </c>
      <c r="P993" s="84" t="n">
        <f aca="false">IF($N993="مرتجع",0,K993*IFERROR(INDEX(p_Cost,MATCH($F993,p_ID,0)),0))</f>
        <v>360</v>
      </c>
      <c r="Q993" s="84" t="n">
        <f aca="false">O993-P993</f>
        <v>324</v>
      </c>
      <c r="R993" s="86" t="n">
        <f aca="false">DATE(YEAR(B993),MONTH(B993),1)</f>
        <v>46143</v>
      </c>
      <c r="S993" s="83" t="str">
        <f aca="false">YEAR(B993)&amp;"-Q"&amp;ROUNDUP(MONTH(B993)/3,0)</f>
        <v>2026-Q2</v>
      </c>
      <c r="T993" s="87" t="n">
        <f aca="false">IF(O993&gt;0,Q993/O993,"")</f>
        <v>0.473684210526316</v>
      </c>
      <c r="U993" s="84" t="n">
        <f aca="false">IF(O993&gt;0,O993,"")</f>
        <v>684</v>
      </c>
    </row>
    <row r="994" customFormat="false" ht="15" hidden="false" customHeight="false" outlineLevel="0" collapsed="false">
      <c r="A994" s="81" t="s">
        <v>1637</v>
      </c>
      <c r="B994" s="82" t="n">
        <v>46163</v>
      </c>
      <c r="C994" s="81" t="s">
        <v>312</v>
      </c>
      <c r="D994" s="83" t="str">
        <f aca="false">IFERROR(INDEX(c_Name,MATCH($C994,c_ID,0)),"غير معرّف")</f>
        <v>دانة الدوسري</v>
      </c>
      <c r="E994" s="83" t="str">
        <f aca="false">IFERROR(INDEX(c_Region,MATCH($C994,c_ID,0)),"غير معرّف")</f>
        <v>الشرقية</v>
      </c>
      <c r="F994" s="81" t="s">
        <v>164</v>
      </c>
      <c r="G994" s="83" t="str">
        <f aca="false">IFERROR(INDEX(p_Name,MATCH($F994,p_ID,0)),"غير معرّف")</f>
        <v>هاتف ذكي</v>
      </c>
      <c r="H994" s="83" t="str">
        <f aca="false">IFERROR(INDEX(p_Cat,MATCH($F994,p_ID,0)),"غير معرّف")</f>
        <v>إلكترونيات</v>
      </c>
      <c r="I994" s="81" t="s">
        <v>461</v>
      </c>
      <c r="J994" s="81" t="s">
        <v>91</v>
      </c>
      <c r="K994" s="81" t="n">
        <v>1</v>
      </c>
      <c r="L994" s="84" t="n">
        <f aca="false">IFERROR(INDEX(p_Price,MATCH($F994,p_ID,0)),0)</f>
        <v>2400</v>
      </c>
      <c r="M994" s="85" t="n">
        <v>0</v>
      </c>
      <c r="N994" s="81" t="s">
        <v>644</v>
      </c>
      <c r="O994" s="84" t="n">
        <f aca="false">IF($N994="مرتجع",0,K994*L994*(1-M994))</f>
        <v>2400</v>
      </c>
      <c r="P994" s="84" t="n">
        <f aca="false">IF($N994="مرتجع",0,K994*IFERROR(INDEX(p_Cost,MATCH($F994,p_ID,0)),0))</f>
        <v>1750</v>
      </c>
      <c r="Q994" s="84" t="n">
        <f aca="false">O994-P994</f>
        <v>650</v>
      </c>
      <c r="R994" s="86" t="n">
        <f aca="false">DATE(YEAR(B994),MONTH(B994),1)</f>
        <v>46143</v>
      </c>
      <c r="S994" s="83" t="str">
        <f aca="false">YEAR(B994)&amp;"-Q"&amp;ROUNDUP(MONTH(B994)/3,0)</f>
        <v>2026-Q2</v>
      </c>
      <c r="T994" s="87" t="n">
        <f aca="false">IF(O994&gt;0,Q994/O994,"")</f>
        <v>0.270833333333333</v>
      </c>
      <c r="U994" s="84" t="n">
        <f aca="false">IF(O994&gt;0,O994,"")</f>
        <v>2400</v>
      </c>
    </row>
    <row r="995" customFormat="false" ht="15" hidden="false" customHeight="false" outlineLevel="0" collapsed="false">
      <c r="A995" s="81" t="s">
        <v>1638</v>
      </c>
      <c r="B995" s="82" t="n">
        <v>46164</v>
      </c>
      <c r="C995" s="81" t="s">
        <v>406</v>
      </c>
      <c r="D995" s="83" t="str">
        <f aca="false">IFERROR(INDEX(c_Name,MATCH($C995,c_ID,0)),"غير معرّف")</f>
        <v>نورة الشهري</v>
      </c>
      <c r="E995" s="83" t="str">
        <f aca="false">IFERROR(INDEX(c_Region,MATCH($C995,c_ID,0)),"غير معرّف")</f>
        <v>الجنوبية</v>
      </c>
      <c r="F995" s="81" t="s">
        <v>179</v>
      </c>
      <c r="G995" s="83" t="str">
        <f aca="false">IFERROR(INDEX(p_Name,MATCH($F995,p_ID,0)),"غير معرّف")</f>
        <v>طقم أدوات مكتبية</v>
      </c>
      <c r="H995" s="83" t="str">
        <f aca="false">IFERROR(INDEX(p_Cat,MATCH($F995,p_ID,0)),"غير معرّف")</f>
        <v>مستلزمات مكتبية</v>
      </c>
      <c r="I995" s="81" t="s">
        <v>465</v>
      </c>
      <c r="J995" s="81" t="s">
        <v>95</v>
      </c>
      <c r="K995" s="81" t="n">
        <v>5</v>
      </c>
      <c r="L995" s="84" t="n">
        <f aca="false">IFERROR(INDEX(p_Price,MATCH($F995,p_ID,0)),0)</f>
        <v>90</v>
      </c>
      <c r="M995" s="85" t="n">
        <v>0.2</v>
      </c>
      <c r="N995" s="81" t="s">
        <v>644</v>
      </c>
      <c r="O995" s="84" t="n">
        <f aca="false">IF($N995="مرتجع",0,K995*L995*(1-M995))</f>
        <v>360</v>
      </c>
      <c r="P995" s="84" t="n">
        <f aca="false">IF($N995="مرتجع",0,K995*IFERROR(INDEX(p_Cost,MATCH($F995,p_ID,0)),0))</f>
        <v>225</v>
      </c>
      <c r="Q995" s="84" t="n">
        <f aca="false">O995-P995</f>
        <v>135</v>
      </c>
      <c r="R995" s="86" t="n">
        <f aca="false">DATE(YEAR(B995),MONTH(B995),1)</f>
        <v>46143</v>
      </c>
      <c r="S995" s="83" t="str">
        <f aca="false">YEAR(B995)&amp;"-Q"&amp;ROUNDUP(MONTH(B995)/3,0)</f>
        <v>2026-Q2</v>
      </c>
      <c r="T995" s="87" t="n">
        <f aca="false">IF(O995&gt;0,Q995/O995,"")</f>
        <v>0.375</v>
      </c>
      <c r="U995" s="84" t="n">
        <f aca="false">IF(O995&gt;0,O995,"")</f>
        <v>360</v>
      </c>
    </row>
    <row r="996" customFormat="false" ht="15" hidden="false" customHeight="false" outlineLevel="0" collapsed="false">
      <c r="A996" s="81" t="s">
        <v>1639</v>
      </c>
      <c r="B996" s="82" t="n">
        <v>46164</v>
      </c>
      <c r="C996" s="81" t="s">
        <v>406</v>
      </c>
      <c r="D996" s="83" t="str">
        <f aca="false">IFERROR(INDEX(c_Name,MATCH($C996,c_ID,0)),"غير معرّف")</f>
        <v>نورة الشهري</v>
      </c>
      <c r="E996" s="83" t="str">
        <f aca="false">IFERROR(INDEX(c_Region,MATCH($C996,c_ID,0)),"غير معرّف")</f>
        <v>الجنوبية</v>
      </c>
      <c r="F996" s="81" t="s">
        <v>164</v>
      </c>
      <c r="G996" s="83" t="str">
        <f aca="false">IFERROR(INDEX(p_Name,MATCH($F996,p_ID,0)),"غير معرّف")</f>
        <v>هاتف ذكي</v>
      </c>
      <c r="H996" s="83" t="str">
        <f aca="false">IFERROR(INDEX(p_Cat,MATCH($F996,p_ID,0)),"غير معرّف")</f>
        <v>إلكترونيات</v>
      </c>
      <c r="I996" s="81" t="s">
        <v>467</v>
      </c>
      <c r="J996" s="81" t="s">
        <v>95</v>
      </c>
      <c r="K996" s="81" t="n">
        <v>7</v>
      </c>
      <c r="L996" s="84" t="n">
        <f aca="false">IFERROR(INDEX(p_Price,MATCH($F996,p_ID,0)),0)</f>
        <v>2400</v>
      </c>
      <c r="M996" s="85" t="n">
        <v>0.1</v>
      </c>
      <c r="N996" s="81" t="s">
        <v>644</v>
      </c>
      <c r="O996" s="84" t="n">
        <f aca="false">IF($N996="مرتجع",0,K996*L996*(1-M996))</f>
        <v>15120</v>
      </c>
      <c r="P996" s="84" t="n">
        <f aca="false">IF($N996="مرتجع",0,K996*IFERROR(INDEX(p_Cost,MATCH($F996,p_ID,0)),0))</f>
        <v>12250</v>
      </c>
      <c r="Q996" s="84" t="n">
        <f aca="false">O996-P996</f>
        <v>2870</v>
      </c>
      <c r="R996" s="86" t="n">
        <f aca="false">DATE(YEAR(B996),MONTH(B996),1)</f>
        <v>46143</v>
      </c>
      <c r="S996" s="83" t="str">
        <f aca="false">YEAR(B996)&amp;"-Q"&amp;ROUNDUP(MONTH(B996)/3,0)</f>
        <v>2026-Q2</v>
      </c>
      <c r="T996" s="87" t="n">
        <f aca="false">IF(O996&gt;0,Q996/O996,"")</f>
        <v>0.189814814814815</v>
      </c>
      <c r="U996" s="84" t="n">
        <f aca="false">IF(O996&gt;0,O996,"")</f>
        <v>15120</v>
      </c>
    </row>
    <row r="997" customFormat="false" ht="15" hidden="false" customHeight="false" outlineLevel="0" collapsed="false">
      <c r="A997" s="81" t="s">
        <v>1640</v>
      </c>
      <c r="B997" s="82" t="n">
        <v>46164</v>
      </c>
      <c r="C997" s="81" t="s">
        <v>382</v>
      </c>
      <c r="D997" s="83" t="str">
        <f aca="false">IFERROR(INDEX(c_Name,MATCH($C997,c_ID,0)),"غير معرّف")</f>
        <v>دانة العتيبي</v>
      </c>
      <c r="E997" s="83" t="str">
        <f aca="false">IFERROR(INDEX(c_Region,MATCH($C997,c_ID,0)),"غير معرّف")</f>
        <v>الشرقية</v>
      </c>
      <c r="F997" s="81" t="s">
        <v>172</v>
      </c>
      <c r="G997" s="83" t="str">
        <f aca="false">IFERROR(INDEX(p_Name,MATCH($F997,p_ID,0)),"غير معرّف")</f>
        <v>مكتب عمل</v>
      </c>
      <c r="H997" s="83" t="str">
        <f aca="false">IFERROR(INDEX(p_Cat,MATCH($F997,p_ID,0)),"غير معرّف")</f>
        <v>أثاث</v>
      </c>
      <c r="I997" s="81" t="s">
        <v>461</v>
      </c>
      <c r="J997" s="81" t="s">
        <v>95</v>
      </c>
      <c r="K997" s="81" t="n">
        <v>10</v>
      </c>
      <c r="L997" s="84" t="n">
        <f aca="false">IFERROR(INDEX(p_Price,MATCH($F997,p_ID,0)),0)</f>
        <v>1200</v>
      </c>
      <c r="M997" s="85" t="n">
        <v>0.2</v>
      </c>
      <c r="N997" s="81" t="s">
        <v>644</v>
      </c>
      <c r="O997" s="84" t="n">
        <f aca="false">IF($N997="مرتجع",0,K997*L997*(1-M997))</f>
        <v>9600</v>
      </c>
      <c r="P997" s="84" t="n">
        <f aca="false">IF($N997="مرتجع",0,K997*IFERROR(INDEX(p_Cost,MATCH($F997,p_ID,0)),0))</f>
        <v>7000</v>
      </c>
      <c r="Q997" s="84" t="n">
        <f aca="false">O997-P997</f>
        <v>2600</v>
      </c>
      <c r="R997" s="86" t="n">
        <f aca="false">DATE(YEAR(B997),MONTH(B997),1)</f>
        <v>46143</v>
      </c>
      <c r="S997" s="83" t="str">
        <f aca="false">YEAR(B997)&amp;"-Q"&amp;ROUNDUP(MONTH(B997)/3,0)</f>
        <v>2026-Q2</v>
      </c>
      <c r="T997" s="87" t="n">
        <f aca="false">IF(O997&gt;0,Q997/O997,"")</f>
        <v>0.270833333333333</v>
      </c>
      <c r="U997" s="84" t="n">
        <f aca="false">IF(O997&gt;0,O997,"")</f>
        <v>9600</v>
      </c>
    </row>
    <row r="998" customFormat="false" ht="15" hidden="false" customHeight="false" outlineLevel="0" collapsed="false">
      <c r="A998" s="81" t="s">
        <v>1641</v>
      </c>
      <c r="B998" s="82" t="n">
        <v>46164</v>
      </c>
      <c r="C998" s="81" t="s">
        <v>289</v>
      </c>
      <c r="D998" s="83" t="str">
        <f aca="false">IFERROR(INDEX(c_Name,MATCH($C998,c_ID,0)),"غير معرّف")</f>
        <v>جود الشهري</v>
      </c>
      <c r="E998" s="83" t="str">
        <f aca="false">IFERROR(INDEX(c_Region,MATCH($C998,c_ID,0)),"غير معرّف")</f>
        <v>الوسطى</v>
      </c>
      <c r="F998" s="81" t="s">
        <v>172</v>
      </c>
      <c r="G998" s="83" t="str">
        <f aca="false">IFERROR(INDEX(p_Name,MATCH($F998,p_ID,0)),"غير معرّف")</f>
        <v>مكتب عمل</v>
      </c>
      <c r="H998" s="83" t="str">
        <f aca="false">IFERROR(INDEX(p_Cat,MATCH($F998,p_ID,0)),"غير معرّف")</f>
        <v>أثاث</v>
      </c>
      <c r="I998" s="81" t="s">
        <v>443</v>
      </c>
      <c r="J998" s="81" t="s">
        <v>91</v>
      </c>
      <c r="K998" s="81" t="n">
        <v>6</v>
      </c>
      <c r="L998" s="84" t="n">
        <f aca="false">IFERROR(INDEX(p_Price,MATCH($F998,p_ID,0)),0)</f>
        <v>1200</v>
      </c>
      <c r="M998" s="85" t="n">
        <v>0.1</v>
      </c>
      <c r="N998" s="81" t="s">
        <v>644</v>
      </c>
      <c r="O998" s="84" t="n">
        <f aca="false">IF($N998="مرتجع",0,K998*L998*(1-M998))</f>
        <v>6480</v>
      </c>
      <c r="P998" s="84" t="n">
        <f aca="false">IF($N998="مرتجع",0,K998*IFERROR(INDEX(p_Cost,MATCH($F998,p_ID,0)),0))</f>
        <v>4200</v>
      </c>
      <c r="Q998" s="84" t="n">
        <f aca="false">O998-P998</f>
        <v>2280</v>
      </c>
      <c r="R998" s="86" t="n">
        <f aca="false">DATE(YEAR(B998),MONTH(B998),1)</f>
        <v>46143</v>
      </c>
      <c r="S998" s="83" t="str">
        <f aca="false">YEAR(B998)&amp;"-Q"&amp;ROUNDUP(MONTH(B998)/3,0)</f>
        <v>2026-Q2</v>
      </c>
      <c r="T998" s="87" t="n">
        <f aca="false">IF(O998&gt;0,Q998/O998,"")</f>
        <v>0.351851851851852</v>
      </c>
      <c r="U998" s="84" t="n">
        <f aca="false">IF(O998&gt;0,O998,"")</f>
        <v>6480</v>
      </c>
    </row>
    <row r="999" customFormat="false" ht="15" hidden="false" customHeight="false" outlineLevel="0" collapsed="false">
      <c r="A999" s="81" t="s">
        <v>1642</v>
      </c>
      <c r="B999" s="82" t="n">
        <v>46166</v>
      </c>
      <c r="C999" s="81" t="s">
        <v>429</v>
      </c>
      <c r="D999" s="83" t="str">
        <f aca="false">IFERROR(INDEX(c_Name,MATCH($C999,c_ID,0)),"غير معرّف")</f>
        <v>سعد الحربي</v>
      </c>
      <c r="E999" s="83" t="str">
        <f aca="false">IFERROR(INDEX(c_Region,MATCH($C999,c_ID,0)),"غير معرّف")</f>
        <v>الغربية</v>
      </c>
      <c r="F999" s="81" t="s">
        <v>175</v>
      </c>
      <c r="G999" s="83" t="str">
        <f aca="false">IFERROR(INDEX(p_Name,MATCH($F999,p_ID,0)),"غير معرّف")</f>
        <v>رف كتب</v>
      </c>
      <c r="H999" s="83" t="str">
        <f aca="false">IFERROR(INDEX(p_Cat,MATCH($F999,p_ID,0)),"غير معرّف")</f>
        <v>أثاث</v>
      </c>
      <c r="I999" s="81" t="s">
        <v>455</v>
      </c>
      <c r="J999" s="81" t="s">
        <v>91</v>
      </c>
      <c r="K999" s="81" t="n">
        <v>4</v>
      </c>
      <c r="L999" s="84" t="n">
        <f aca="false">IFERROR(INDEX(p_Price,MATCH($F999,p_ID,0)),0)</f>
        <v>400</v>
      </c>
      <c r="M999" s="85" t="n">
        <v>0.05</v>
      </c>
      <c r="N999" s="81" t="s">
        <v>644</v>
      </c>
      <c r="O999" s="84" t="n">
        <f aca="false">IF($N999="مرتجع",0,K999*L999*(1-M999))</f>
        <v>1520</v>
      </c>
      <c r="P999" s="84" t="n">
        <f aca="false">IF($N999="مرتجع",0,K999*IFERROR(INDEX(p_Cost,MATCH($F999,p_ID,0)),0))</f>
        <v>880</v>
      </c>
      <c r="Q999" s="84" t="n">
        <f aca="false">O999-P999</f>
        <v>640</v>
      </c>
      <c r="R999" s="86" t="n">
        <f aca="false">DATE(YEAR(B999),MONTH(B999),1)</f>
        <v>46143</v>
      </c>
      <c r="S999" s="83" t="str">
        <f aca="false">YEAR(B999)&amp;"-Q"&amp;ROUNDUP(MONTH(B999)/3,0)</f>
        <v>2026-Q2</v>
      </c>
      <c r="T999" s="87" t="n">
        <f aca="false">IF(O999&gt;0,Q999/O999,"")</f>
        <v>0.421052631578947</v>
      </c>
      <c r="U999" s="84" t="n">
        <f aca="false">IF(O999&gt;0,O999,"")</f>
        <v>1520</v>
      </c>
    </row>
    <row r="1000" customFormat="false" ht="15" hidden="false" customHeight="false" outlineLevel="0" collapsed="false">
      <c r="A1000" s="81" t="s">
        <v>1643</v>
      </c>
      <c r="B1000" s="82" t="n">
        <v>46166</v>
      </c>
      <c r="C1000" s="81" t="s">
        <v>323</v>
      </c>
      <c r="D1000" s="83" t="str">
        <f aca="false">IFERROR(INDEX(c_Name,MATCH($C1000,c_ID,0)),"غير معرّف")</f>
        <v>ليلى الدوسري</v>
      </c>
      <c r="E1000" s="83" t="str">
        <f aca="false">IFERROR(INDEX(c_Region,MATCH($C1000,c_ID,0)),"غير معرّف")</f>
        <v>الشرقية</v>
      </c>
      <c r="F1000" s="81" t="s">
        <v>182</v>
      </c>
      <c r="G1000" s="83" t="str">
        <f aca="false">IFERROR(INDEX(p_Name,MATCH($F1000,p_ID,0)),"غير معرّف")</f>
        <v>طقم أوزان</v>
      </c>
      <c r="H1000" s="83" t="str">
        <f aca="false">IFERROR(INDEX(p_Cat,MATCH($F1000,p_ID,0)),"غير معرّف")</f>
        <v>رياضة</v>
      </c>
      <c r="I1000" s="81" t="s">
        <v>461</v>
      </c>
      <c r="J1000" s="81" t="s">
        <v>91</v>
      </c>
      <c r="K1000" s="81" t="n">
        <v>3</v>
      </c>
      <c r="L1000" s="84" t="n">
        <f aca="false">IFERROR(INDEX(p_Price,MATCH($F1000,p_ID,0)),0)</f>
        <v>380</v>
      </c>
      <c r="M1000" s="85" t="n">
        <v>0.1</v>
      </c>
      <c r="N1000" s="81" t="s">
        <v>644</v>
      </c>
      <c r="O1000" s="84" t="n">
        <f aca="false">IF($N1000="مرتجع",0,K1000*L1000*(1-M1000))</f>
        <v>1026</v>
      </c>
      <c r="P1000" s="84" t="n">
        <f aca="false">IF($N1000="مرتجع",0,K1000*IFERROR(INDEX(p_Cost,MATCH($F1000,p_ID,0)),0))</f>
        <v>630</v>
      </c>
      <c r="Q1000" s="84" t="n">
        <f aca="false">O1000-P1000</f>
        <v>396</v>
      </c>
      <c r="R1000" s="86" t="n">
        <f aca="false">DATE(YEAR(B1000),MONTH(B1000),1)</f>
        <v>46143</v>
      </c>
      <c r="S1000" s="83" t="str">
        <f aca="false">YEAR(B1000)&amp;"-Q"&amp;ROUNDUP(MONTH(B1000)/3,0)</f>
        <v>2026-Q2</v>
      </c>
      <c r="T1000" s="87" t="n">
        <f aca="false">IF(O1000&gt;0,Q1000/O1000,"")</f>
        <v>0.385964912280702</v>
      </c>
      <c r="U1000" s="84" t="n">
        <f aca="false">IF(O1000&gt;0,O1000,"")</f>
        <v>1026</v>
      </c>
    </row>
    <row r="1001" customFormat="false" ht="15" hidden="false" customHeight="false" outlineLevel="0" collapsed="false">
      <c r="A1001" s="81" t="s">
        <v>1644</v>
      </c>
      <c r="B1001" s="82" t="n">
        <v>46166</v>
      </c>
      <c r="C1001" s="81" t="s">
        <v>266</v>
      </c>
      <c r="D1001" s="83" t="str">
        <f aca="false">IFERROR(INDEX(c_Name,MATCH($C1001,c_ID,0)),"غير معرّف")</f>
        <v>ياسر الشهري</v>
      </c>
      <c r="E1001" s="83" t="str">
        <f aca="false">IFERROR(INDEX(c_Region,MATCH($C1001,c_ID,0)),"غير معرّف")</f>
        <v>الوسطى</v>
      </c>
      <c r="F1001" s="81" t="s">
        <v>169</v>
      </c>
      <c r="G1001" s="83" t="str">
        <f aca="false">IFERROR(INDEX(p_Name,MATCH($F1001,p_ID,0)),"غير معرّف")</f>
        <v>خلاط</v>
      </c>
      <c r="H1001" s="83" t="str">
        <f aca="false">IFERROR(INDEX(p_Cat,MATCH($F1001,p_ID,0)),"غير معرّف")</f>
        <v>أجهزة منزلية</v>
      </c>
      <c r="I1001" s="81" t="s">
        <v>449</v>
      </c>
      <c r="J1001" s="81" t="s">
        <v>93</v>
      </c>
      <c r="K1001" s="81" t="n">
        <v>2</v>
      </c>
      <c r="L1001" s="84" t="n">
        <f aca="false">IFERROR(INDEX(p_Price,MATCH($F1001,p_ID,0)),0)</f>
        <v>300</v>
      </c>
      <c r="M1001" s="85" t="n">
        <v>0</v>
      </c>
      <c r="N1001" s="81" t="s">
        <v>644</v>
      </c>
      <c r="O1001" s="84" t="n">
        <f aca="false">IF($N1001="مرتجع",0,K1001*L1001*(1-M1001))</f>
        <v>600</v>
      </c>
      <c r="P1001" s="84" t="n">
        <f aca="false">IF($N1001="مرتجع",0,K1001*IFERROR(INDEX(p_Cost,MATCH($F1001,p_ID,0)),0))</f>
        <v>350</v>
      </c>
      <c r="Q1001" s="84" t="n">
        <f aca="false">O1001-P1001</f>
        <v>250</v>
      </c>
      <c r="R1001" s="86" t="n">
        <f aca="false">DATE(YEAR(B1001),MONTH(B1001),1)</f>
        <v>46143</v>
      </c>
      <c r="S1001" s="83" t="str">
        <f aca="false">YEAR(B1001)&amp;"-Q"&amp;ROUNDUP(MONTH(B1001)/3,0)</f>
        <v>2026-Q2</v>
      </c>
      <c r="T1001" s="87" t="n">
        <f aca="false">IF(O1001&gt;0,Q1001/O1001,"")</f>
        <v>0.416666666666667</v>
      </c>
      <c r="U1001" s="84" t="n">
        <f aca="false">IF(O1001&gt;0,O1001,"")</f>
        <v>600</v>
      </c>
    </row>
    <row r="1002" customFormat="false" ht="15" hidden="false" customHeight="false" outlineLevel="0" collapsed="false">
      <c r="A1002" s="81" t="s">
        <v>1645</v>
      </c>
      <c r="B1002" s="82" t="n">
        <v>46167</v>
      </c>
      <c r="C1002" s="81" t="s">
        <v>336</v>
      </c>
      <c r="D1002" s="83" t="str">
        <f aca="false">IFERROR(INDEX(c_Name,MATCH($C1002,c_ID,0)),"غير معرّف")</f>
        <v>طارق الزهراني</v>
      </c>
      <c r="E1002" s="83" t="str">
        <f aca="false">IFERROR(INDEX(c_Region,MATCH($C1002,c_ID,0)),"غير معرّف")</f>
        <v>الجنوبية</v>
      </c>
      <c r="F1002" s="81" t="s">
        <v>183</v>
      </c>
      <c r="G1002" s="83" t="str">
        <f aca="false">IFERROR(INDEX(p_Name,MATCH($F1002,p_ID,0)),"غير معرّف")</f>
        <v>سجادة يوغا</v>
      </c>
      <c r="H1002" s="83" t="str">
        <f aca="false">IFERROR(INDEX(p_Cat,MATCH($F1002,p_ID,0)),"غير معرّف")</f>
        <v>رياضة</v>
      </c>
      <c r="I1002" s="81" t="s">
        <v>467</v>
      </c>
      <c r="J1002" s="81" t="s">
        <v>91</v>
      </c>
      <c r="K1002" s="81" t="n">
        <v>3</v>
      </c>
      <c r="L1002" s="84" t="n">
        <f aca="false">IFERROR(INDEX(p_Price,MATCH($F1002,p_ID,0)),0)</f>
        <v>120</v>
      </c>
      <c r="M1002" s="85" t="n">
        <v>0</v>
      </c>
      <c r="N1002" s="81" t="s">
        <v>644</v>
      </c>
      <c r="O1002" s="84" t="n">
        <f aca="false">IF($N1002="مرتجع",0,K1002*L1002*(1-M1002))</f>
        <v>360</v>
      </c>
      <c r="P1002" s="84" t="n">
        <f aca="false">IF($N1002="مرتجع",0,K1002*IFERROR(INDEX(p_Cost,MATCH($F1002,p_ID,0)),0))</f>
        <v>150</v>
      </c>
      <c r="Q1002" s="84" t="n">
        <f aca="false">O1002-P1002</f>
        <v>210</v>
      </c>
      <c r="R1002" s="86" t="n">
        <f aca="false">DATE(YEAR(B1002),MONTH(B1002),1)</f>
        <v>46143</v>
      </c>
      <c r="S1002" s="83" t="str">
        <f aca="false">YEAR(B1002)&amp;"-Q"&amp;ROUNDUP(MONTH(B1002)/3,0)</f>
        <v>2026-Q2</v>
      </c>
      <c r="T1002" s="87" t="n">
        <f aca="false">IF(O1002&gt;0,Q1002/O1002,"")</f>
        <v>0.583333333333333</v>
      </c>
      <c r="U1002" s="84" t="n">
        <f aca="false">IF(O1002&gt;0,O1002,"")</f>
        <v>360</v>
      </c>
    </row>
    <row r="1003" customFormat="false" ht="15" hidden="false" customHeight="false" outlineLevel="0" collapsed="false">
      <c r="A1003" s="81" t="s">
        <v>1646</v>
      </c>
      <c r="B1003" s="82" t="n">
        <v>46167</v>
      </c>
      <c r="C1003" s="81" t="s">
        <v>423</v>
      </c>
      <c r="D1003" s="83" t="str">
        <f aca="false">IFERROR(INDEX(c_Name,MATCH($C1003,c_ID,0)),"غير معرّف")</f>
        <v>ناصر المطيري</v>
      </c>
      <c r="E1003" s="83" t="str">
        <f aca="false">IFERROR(INDEX(c_Region,MATCH($C1003,c_ID,0)),"غير معرّف")</f>
        <v>الغربية</v>
      </c>
      <c r="F1003" s="81" t="s">
        <v>175</v>
      </c>
      <c r="G1003" s="83" t="str">
        <f aca="false">IFERROR(INDEX(p_Name,MATCH($F1003,p_ID,0)),"غير معرّف")</f>
        <v>رف كتب</v>
      </c>
      <c r="H1003" s="83" t="str">
        <f aca="false">IFERROR(INDEX(p_Cat,MATCH($F1003,p_ID,0)),"غير معرّف")</f>
        <v>أثاث</v>
      </c>
      <c r="I1003" s="81" t="s">
        <v>458</v>
      </c>
      <c r="J1003" s="81" t="s">
        <v>93</v>
      </c>
      <c r="K1003" s="81" t="n">
        <v>2</v>
      </c>
      <c r="L1003" s="84" t="n">
        <f aca="false">IFERROR(INDEX(p_Price,MATCH($F1003,p_ID,0)),0)</f>
        <v>400</v>
      </c>
      <c r="M1003" s="85" t="n">
        <v>0.2</v>
      </c>
      <c r="N1003" s="81" t="s">
        <v>644</v>
      </c>
      <c r="O1003" s="84" t="n">
        <f aca="false">IF($N1003="مرتجع",0,K1003*L1003*(1-M1003))</f>
        <v>640</v>
      </c>
      <c r="P1003" s="84" t="n">
        <f aca="false">IF($N1003="مرتجع",0,K1003*IFERROR(INDEX(p_Cost,MATCH($F1003,p_ID,0)),0))</f>
        <v>440</v>
      </c>
      <c r="Q1003" s="84" t="n">
        <f aca="false">O1003-P1003</f>
        <v>200</v>
      </c>
      <c r="R1003" s="86" t="n">
        <f aca="false">DATE(YEAR(B1003),MONTH(B1003),1)</f>
        <v>46143</v>
      </c>
      <c r="S1003" s="83" t="str">
        <f aca="false">YEAR(B1003)&amp;"-Q"&amp;ROUNDUP(MONTH(B1003)/3,0)</f>
        <v>2026-Q2</v>
      </c>
      <c r="T1003" s="87" t="n">
        <f aca="false">IF(O1003&gt;0,Q1003/O1003,"")</f>
        <v>0.3125</v>
      </c>
      <c r="U1003" s="84" t="n">
        <f aca="false">IF(O1003&gt;0,O1003,"")</f>
        <v>640</v>
      </c>
    </row>
    <row r="1004" customFormat="false" ht="15" hidden="false" customHeight="false" outlineLevel="0" collapsed="false">
      <c r="A1004" s="81" t="s">
        <v>1647</v>
      </c>
      <c r="B1004" s="82" t="n">
        <v>46167</v>
      </c>
      <c r="C1004" s="81" t="s">
        <v>353</v>
      </c>
      <c r="D1004" s="83" t="str">
        <f aca="false">IFERROR(INDEX(c_Name,MATCH($C1004,c_ID,0)),"غير معرّف")</f>
        <v>أحمد الحسيني</v>
      </c>
      <c r="E1004" s="83" t="str">
        <f aca="false">IFERROR(INDEX(c_Region,MATCH($C1004,c_ID,0)),"غير معرّف")</f>
        <v>الشرقية</v>
      </c>
      <c r="F1004" s="81" t="s">
        <v>186</v>
      </c>
      <c r="G1004" s="83" t="str">
        <f aca="false">IFERROR(INDEX(p_Name,MATCH($F1004,p_ID,0)),"غير معرّف")</f>
        <v>مجفف شعر</v>
      </c>
      <c r="H1004" s="83" t="str">
        <f aca="false">IFERROR(INDEX(p_Cat,MATCH($F1004,p_ID,0)),"غير معرّف")</f>
        <v>عناية شخصية</v>
      </c>
      <c r="I1004" s="81" t="s">
        <v>461</v>
      </c>
      <c r="J1004" s="81" t="s">
        <v>91</v>
      </c>
      <c r="K1004" s="81" t="n">
        <v>1</v>
      </c>
      <c r="L1004" s="84" t="n">
        <f aca="false">IFERROR(INDEX(p_Price,MATCH($F1004,p_ID,0)),0)</f>
        <v>280</v>
      </c>
      <c r="M1004" s="85" t="n">
        <v>0.1</v>
      </c>
      <c r="N1004" s="81" t="s">
        <v>650</v>
      </c>
      <c r="O1004" s="84" t="n">
        <f aca="false">IF($N1004="مرتجع",0,K1004*L1004*(1-M1004))</f>
        <v>0</v>
      </c>
      <c r="P1004" s="84" t="n">
        <f aca="false">IF($N1004="مرتجع",0,K1004*IFERROR(INDEX(p_Cost,MATCH($F1004,p_ID,0)),0))</f>
        <v>0</v>
      </c>
      <c r="Q1004" s="84" t="n">
        <f aca="false">O1004-P1004</f>
        <v>0</v>
      </c>
      <c r="R1004" s="86" t="n">
        <f aca="false">DATE(YEAR(B1004),MONTH(B1004),1)</f>
        <v>46143</v>
      </c>
      <c r="S1004" s="83" t="str">
        <f aca="false">YEAR(B1004)&amp;"-Q"&amp;ROUNDUP(MONTH(B1004)/3,0)</f>
        <v>2026-Q2</v>
      </c>
      <c r="T1004" s="87" t="str">
        <f aca="false">IF(O1004&gt;0,Q1004/O1004,"")</f>
        <v/>
      </c>
      <c r="U1004" s="84" t="str">
        <f aca="false">IF(O1004&gt;0,O1004,"")</f>
        <v/>
      </c>
    </row>
    <row r="1005" customFormat="false" ht="15" hidden="false" customHeight="false" outlineLevel="0" collapsed="false">
      <c r="A1005" s="81" t="s">
        <v>1648</v>
      </c>
      <c r="B1005" s="82" t="n">
        <v>46167</v>
      </c>
      <c r="C1005" s="81" t="s">
        <v>425</v>
      </c>
      <c r="D1005" s="83" t="str">
        <f aca="false">IFERROR(INDEX(c_Name,MATCH($C1005,c_ID,0)),"غير معرّف")</f>
        <v>عبدالله الشمري</v>
      </c>
      <c r="E1005" s="83" t="str">
        <f aca="false">IFERROR(INDEX(c_Region,MATCH($C1005,c_ID,0)),"غير معرّف")</f>
        <v>الجنوبية</v>
      </c>
      <c r="F1005" s="81" t="s">
        <v>169</v>
      </c>
      <c r="G1005" s="83" t="str">
        <f aca="false">IFERROR(INDEX(p_Name,MATCH($F1005,p_ID,0)),"غير معرّف")</f>
        <v>خلاط</v>
      </c>
      <c r="H1005" s="83" t="str">
        <f aca="false">IFERROR(INDEX(p_Cat,MATCH($F1005,p_ID,0)),"غير معرّف")</f>
        <v>أجهزة منزلية</v>
      </c>
      <c r="I1005" s="81" t="s">
        <v>465</v>
      </c>
      <c r="J1005" s="81" t="s">
        <v>93</v>
      </c>
      <c r="K1005" s="81" t="n">
        <v>1</v>
      </c>
      <c r="L1005" s="84" t="n">
        <f aca="false">IFERROR(INDEX(p_Price,MATCH($F1005,p_ID,0)),0)</f>
        <v>300</v>
      </c>
      <c r="M1005" s="85" t="n">
        <v>0</v>
      </c>
      <c r="N1005" s="81" t="s">
        <v>650</v>
      </c>
      <c r="O1005" s="84" t="n">
        <f aca="false">IF($N1005="مرتجع",0,K1005*L1005*(1-M1005))</f>
        <v>0</v>
      </c>
      <c r="P1005" s="84" t="n">
        <f aca="false">IF($N1005="مرتجع",0,K1005*IFERROR(INDEX(p_Cost,MATCH($F1005,p_ID,0)),0))</f>
        <v>0</v>
      </c>
      <c r="Q1005" s="84" t="n">
        <f aca="false">O1005-P1005</f>
        <v>0</v>
      </c>
      <c r="R1005" s="86" t="n">
        <f aca="false">DATE(YEAR(B1005),MONTH(B1005),1)</f>
        <v>46143</v>
      </c>
      <c r="S1005" s="83" t="str">
        <f aca="false">YEAR(B1005)&amp;"-Q"&amp;ROUNDUP(MONTH(B1005)/3,0)</f>
        <v>2026-Q2</v>
      </c>
      <c r="T1005" s="87" t="str">
        <f aca="false">IF(O1005&gt;0,Q1005/O1005,"")</f>
        <v/>
      </c>
      <c r="U1005" s="84" t="str">
        <f aca="false">IF(O1005&gt;0,O1005,"")</f>
        <v/>
      </c>
    </row>
    <row r="1006" customFormat="false" ht="15" hidden="false" customHeight="false" outlineLevel="0" collapsed="false">
      <c r="A1006" s="81" t="s">
        <v>1649</v>
      </c>
      <c r="B1006" s="82" t="n">
        <v>46167</v>
      </c>
      <c r="C1006" s="81" t="s">
        <v>392</v>
      </c>
      <c r="D1006" s="83" t="str">
        <f aca="false">IFERROR(INDEX(c_Name,MATCH($C1006,c_ID,0)),"غير معرّف")</f>
        <v>ريم الزهراني</v>
      </c>
      <c r="E1006" s="83" t="str">
        <f aca="false">IFERROR(INDEX(c_Region,MATCH($C1006,c_ID,0)),"غير معرّف")</f>
        <v>الوسطى</v>
      </c>
      <c r="F1006" s="81" t="s">
        <v>175</v>
      </c>
      <c r="G1006" s="83" t="str">
        <f aca="false">IFERROR(INDEX(p_Name,MATCH($F1006,p_ID,0)),"غير معرّف")</f>
        <v>رف كتب</v>
      </c>
      <c r="H1006" s="83" t="str">
        <f aca="false">IFERROR(INDEX(p_Cat,MATCH($F1006,p_ID,0)),"غير معرّف")</f>
        <v>أثاث</v>
      </c>
      <c r="I1006" s="81" t="s">
        <v>443</v>
      </c>
      <c r="J1006" s="81" t="s">
        <v>91</v>
      </c>
      <c r="K1006" s="81" t="n">
        <v>1</v>
      </c>
      <c r="L1006" s="84" t="n">
        <f aca="false">IFERROR(INDEX(p_Price,MATCH($F1006,p_ID,0)),0)</f>
        <v>400</v>
      </c>
      <c r="M1006" s="85" t="n">
        <v>0.05</v>
      </c>
      <c r="N1006" s="81" t="s">
        <v>644</v>
      </c>
      <c r="O1006" s="84" t="n">
        <f aca="false">IF($N1006="مرتجع",0,K1006*L1006*(1-M1006))</f>
        <v>380</v>
      </c>
      <c r="P1006" s="84" t="n">
        <f aca="false">IF($N1006="مرتجع",0,K1006*IFERROR(INDEX(p_Cost,MATCH($F1006,p_ID,0)),0))</f>
        <v>220</v>
      </c>
      <c r="Q1006" s="84" t="n">
        <f aca="false">O1006-P1006</f>
        <v>160</v>
      </c>
      <c r="R1006" s="86" t="n">
        <f aca="false">DATE(YEAR(B1006),MONTH(B1006),1)</f>
        <v>46143</v>
      </c>
      <c r="S1006" s="83" t="str">
        <f aca="false">YEAR(B1006)&amp;"-Q"&amp;ROUNDUP(MONTH(B1006)/3,0)</f>
        <v>2026-Q2</v>
      </c>
      <c r="T1006" s="87" t="n">
        <f aca="false">IF(O1006&gt;0,Q1006/O1006,"")</f>
        <v>0.421052631578947</v>
      </c>
      <c r="U1006" s="84" t="n">
        <f aca="false">IF(O1006&gt;0,O1006,"")</f>
        <v>380</v>
      </c>
    </row>
    <row r="1007" customFormat="false" ht="15" hidden="false" customHeight="false" outlineLevel="0" collapsed="false">
      <c r="A1007" s="81" t="s">
        <v>1650</v>
      </c>
      <c r="B1007" s="82" t="n">
        <v>46168</v>
      </c>
      <c r="C1007" s="81" t="s">
        <v>362</v>
      </c>
      <c r="D1007" s="83" t="str">
        <f aca="false">IFERROR(INDEX(c_Name,MATCH($C1007,c_ID,0)),"غير معرّف")</f>
        <v>محمد العتيبي</v>
      </c>
      <c r="E1007" s="83" t="str">
        <f aca="false">IFERROR(INDEX(c_Region,MATCH($C1007,c_ID,0)),"غير معرّف")</f>
        <v>الغربية</v>
      </c>
      <c r="F1007" s="81" t="s">
        <v>179</v>
      </c>
      <c r="G1007" s="83" t="str">
        <f aca="false">IFERROR(INDEX(p_Name,MATCH($F1007,p_ID,0)),"غير معرّف")</f>
        <v>طقم أدوات مكتبية</v>
      </c>
      <c r="H1007" s="83" t="str">
        <f aca="false">IFERROR(INDEX(p_Cat,MATCH($F1007,p_ID,0)),"غير معرّف")</f>
        <v>مستلزمات مكتبية</v>
      </c>
      <c r="I1007" s="81" t="s">
        <v>455</v>
      </c>
      <c r="J1007" s="81" t="s">
        <v>93</v>
      </c>
      <c r="K1007" s="81" t="n">
        <v>1</v>
      </c>
      <c r="L1007" s="84" t="n">
        <f aca="false">IFERROR(INDEX(p_Price,MATCH($F1007,p_ID,0)),0)</f>
        <v>90</v>
      </c>
      <c r="M1007" s="85" t="n">
        <v>0.05</v>
      </c>
      <c r="N1007" s="81" t="s">
        <v>644</v>
      </c>
      <c r="O1007" s="84" t="n">
        <f aca="false">IF($N1007="مرتجع",0,K1007*L1007*(1-M1007))</f>
        <v>85.5</v>
      </c>
      <c r="P1007" s="84" t="n">
        <f aca="false">IF($N1007="مرتجع",0,K1007*IFERROR(INDEX(p_Cost,MATCH($F1007,p_ID,0)),0))</f>
        <v>45</v>
      </c>
      <c r="Q1007" s="84" t="n">
        <f aca="false">O1007-P1007</f>
        <v>40.5</v>
      </c>
      <c r="R1007" s="86" t="n">
        <f aca="false">DATE(YEAR(B1007),MONTH(B1007),1)</f>
        <v>46143</v>
      </c>
      <c r="S1007" s="83" t="str">
        <f aca="false">YEAR(B1007)&amp;"-Q"&amp;ROUNDUP(MONTH(B1007)/3,0)</f>
        <v>2026-Q2</v>
      </c>
      <c r="T1007" s="87" t="n">
        <f aca="false">IF(O1007&gt;0,Q1007/O1007,"")</f>
        <v>0.473684210526316</v>
      </c>
      <c r="U1007" s="84" t="n">
        <f aca="false">IF(O1007&gt;0,O1007,"")</f>
        <v>85.5</v>
      </c>
    </row>
    <row r="1008" customFormat="false" ht="15" hidden="false" customHeight="false" outlineLevel="0" collapsed="false">
      <c r="A1008" s="81" t="s">
        <v>1651</v>
      </c>
      <c r="B1008" s="82" t="n">
        <v>46168</v>
      </c>
      <c r="C1008" s="81" t="s">
        <v>404</v>
      </c>
      <c r="D1008" s="83" t="str">
        <f aca="false">IFERROR(INDEX(c_Name,MATCH($C1008,c_ID,0)),"غير معرّف")</f>
        <v>عبدالله الحسيني</v>
      </c>
      <c r="E1008" s="83" t="str">
        <f aca="false">IFERROR(INDEX(c_Region,MATCH($C1008,c_ID,0)),"غير معرّف")</f>
        <v>الشرقية</v>
      </c>
      <c r="F1008" s="81" t="s">
        <v>166</v>
      </c>
      <c r="G1008" s="83" t="str">
        <f aca="false">IFERROR(INDEX(p_Name,MATCH($F1008,p_ID,0)),"غير معرّف")</f>
        <v>سماعات لاسلكية</v>
      </c>
      <c r="H1008" s="83" t="str">
        <f aca="false">IFERROR(INDEX(p_Cat,MATCH($F1008,p_ID,0)),"غير معرّف")</f>
        <v>إلكترونيات</v>
      </c>
      <c r="I1008" s="81" t="s">
        <v>463</v>
      </c>
      <c r="J1008" s="81" t="s">
        <v>91</v>
      </c>
      <c r="K1008" s="81" t="n">
        <v>2</v>
      </c>
      <c r="L1008" s="84" t="n">
        <f aca="false">IFERROR(INDEX(p_Price,MATCH($F1008,p_ID,0)),0)</f>
        <v>450</v>
      </c>
      <c r="M1008" s="85" t="n">
        <v>0.2</v>
      </c>
      <c r="N1008" s="81" t="s">
        <v>644</v>
      </c>
      <c r="O1008" s="84" t="n">
        <f aca="false">IF($N1008="مرتجع",0,K1008*L1008*(1-M1008))</f>
        <v>720</v>
      </c>
      <c r="P1008" s="84" t="n">
        <f aca="false">IF($N1008="مرتجع",0,K1008*IFERROR(INDEX(p_Cost,MATCH($F1008,p_ID,0)),0))</f>
        <v>520</v>
      </c>
      <c r="Q1008" s="84" t="n">
        <f aca="false">O1008-P1008</f>
        <v>200</v>
      </c>
      <c r="R1008" s="86" t="n">
        <f aca="false">DATE(YEAR(B1008),MONTH(B1008),1)</f>
        <v>46143</v>
      </c>
      <c r="S1008" s="83" t="str">
        <f aca="false">YEAR(B1008)&amp;"-Q"&amp;ROUNDUP(MONTH(B1008)/3,0)</f>
        <v>2026-Q2</v>
      </c>
      <c r="T1008" s="87" t="n">
        <f aca="false">IF(O1008&gt;0,Q1008/O1008,"")</f>
        <v>0.277777777777778</v>
      </c>
      <c r="U1008" s="84" t="n">
        <f aca="false">IF(O1008&gt;0,O1008,"")</f>
        <v>720</v>
      </c>
    </row>
    <row r="1009" customFormat="false" ht="15" hidden="false" customHeight="false" outlineLevel="0" collapsed="false">
      <c r="A1009" s="81" t="s">
        <v>1652</v>
      </c>
      <c r="B1009" s="82" t="n">
        <v>46168</v>
      </c>
      <c r="C1009" s="81" t="s">
        <v>328</v>
      </c>
      <c r="D1009" s="83" t="str">
        <f aca="false">IFERROR(INDEX(c_Name,MATCH($C1009,c_ID,0)),"غير معرّف")</f>
        <v>عبدالله الشهري</v>
      </c>
      <c r="E1009" s="83" t="str">
        <f aca="false">IFERROR(INDEX(c_Region,MATCH($C1009,c_ID,0)),"غير معرّف")</f>
        <v>الشرقية</v>
      </c>
      <c r="F1009" s="81" t="s">
        <v>171</v>
      </c>
      <c r="G1009" s="83" t="str">
        <f aca="false">IFERROR(INDEX(p_Name,MATCH($F1009,p_ID,0)),"غير معرّف")</f>
        <v>قلاية هوائية</v>
      </c>
      <c r="H1009" s="83" t="str">
        <f aca="false">IFERROR(INDEX(p_Cat,MATCH($F1009,p_ID,0)),"غير معرّف")</f>
        <v>أجهزة منزلية</v>
      </c>
      <c r="I1009" s="81" t="s">
        <v>461</v>
      </c>
      <c r="J1009" s="81" t="s">
        <v>91</v>
      </c>
      <c r="K1009" s="81" t="n">
        <v>1</v>
      </c>
      <c r="L1009" s="84" t="n">
        <f aca="false">IFERROR(INDEX(p_Price,MATCH($F1009,p_ID,0)),0)</f>
        <v>520</v>
      </c>
      <c r="M1009" s="85" t="n">
        <v>0.2</v>
      </c>
      <c r="N1009" s="81" t="s">
        <v>644</v>
      </c>
      <c r="O1009" s="84" t="n">
        <f aca="false">IF($N1009="مرتجع",0,K1009*L1009*(1-M1009))</f>
        <v>416</v>
      </c>
      <c r="P1009" s="84" t="n">
        <f aca="false">IF($N1009="مرتجع",0,K1009*IFERROR(INDEX(p_Cost,MATCH($F1009,p_ID,0)),0))</f>
        <v>300</v>
      </c>
      <c r="Q1009" s="84" t="n">
        <f aca="false">O1009-P1009</f>
        <v>116</v>
      </c>
      <c r="R1009" s="86" t="n">
        <f aca="false">DATE(YEAR(B1009),MONTH(B1009),1)</f>
        <v>46143</v>
      </c>
      <c r="S1009" s="83" t="str">
        <f aca="false">YEAR(B1009)&amp;"-Q"&amp;ROUNDUP(MONTH(B1009)/3,0)</f>
        <v>2026-Q2</v>
      </c>
      <c r="T1009" s="87" t="n">
        <f aca="false">IF(O1009&gt;0,Q1009/O1009,"")</f>
        <v>0.278846153846154</v>
      </c>
      <c r="U1009" s="84" t="n">
        <f aca="false">IF(O1009&gt;0,O1009,"")</f>
        <v>416</v>
      </c>
    </row>
    <row r="1010" customFormat="false" ht="15" hidden="false" customHeight="false" outlineLevel="0" collapsed="false">
      <c r="A1010" s="81" t="s">
        <v>1653</v>
      </c>
      <c r="B1010" s="82" t="n">
        <v>46169</v>
      </c>
      <c r="C1010" s="81" t="s">
        <v>249</v>
      </c>
      <c r="D1010" s="83" t="str">
        <f aca="false">IFERROR(INDEX(c_Name,MATCH($C1010,c_ID,0)),"غير معرّف")</f>
        <v>ريم الحسيني</v>
      </c>
      <c r="E1010" s="83" t="str">
        <f aca="false">IFERROR(INDEX(c_Region,MATCH($C1010,c_ID,0)),"غير معرّف")</f>
        <v>الوسطى</v>
      </c>
      <c r="F1010" s="81" t="s">
        <v>184</v>
      </c>
      <c r="G1010" s="83" t="str">
        <f aca="false">IFERROR(INDEX(p_Name,MATCH($F1010,p_ID,0)),"غير معرّف")</f>
        <v>عطر فاخر</v>
      </c>
      <c r="H1010" s="83" t="str">
        <f aca="false">IFERROR(INDEX(p_Cat,MATCH($F1010,p_ID,0)),"غير معرّف")</f>
        <v>عناية شخصية</v>
      </c>
      <c r="I1010" s="81" t="s">
        <v>443</v>
      </c>
      <c r="J1010" s="81" t="s">
        <v>91</v>
      </c>
      <c r="K1010" s="81" t="n">
        <v>1</v>
      </c>
      <c r="L1010" s="84" t="n">
        <f aca="false">IFERROR(INDEX(p_Price,MATCH($F1010,p_ID,0)),0)</f>
        <v>520</v>
      </c>
      <c r="M1010" s="85" t="n">
        <v>0.05</v>
      </c>
      <c r="N1010" s="81" t="s">
        <v>644</v>
      </c>
      <c r="O1010" s="84" t="n">
        <f aca="false">IF($N1010="مرتجع",0,K1010*L1010*(1-M1010))</f>
        <v>494</v>
      </c>
      <c r="P1010" s="84" t="n">
        <f aca="false">IF($N1010="مرتجع",0,K1010*IFERROR(INDEX(p_Cost,MATCH($F1010,p_ID,0)),0))</f>
        <v>210</v>
      </c>
      <c r="Q1010" s="84" t="n">
        <f aca="false">O1010-P1010</f>
        <v>284</v>
      </c>
      <c r="R1010" s="86" t="n">
        <f aca="false">DATE(YEAR(B1010),MONTH(B1010),1)</f>
        <v>46143</v>
      </c>
      <c r="S1010" s="83" t="str">
        <f aca="false">YEAR(B1010)&amp;"-Q"&amp;ROUNDUP(MONTH(B1010)/3,0)</f>
        <v>2026-Q2</v>
      </c>
      <c r="T1010" s="87" t="n">
        <f aca="false">IF(O1010&gt;0,Q1010/O1010,"")</f>
        <v>0.574898785425101</v>
      </c>
      <c r="U1010" s="84" t="n">
        <f aca="false">IF(O1010&gt;0,O1010,"")</f>
        <v>494</v>
      </c>
    </row>
    <row r="1011" customFormat="false" ht="15" hidden="false" customHeight="false" outlineLevel="0" collapsed="false">
      <c r="A1011" s="81" t="s">
        <v>1654</v>
      </c>
      <c r="B1011" s="82" t="n">
        <v>46169</v>
      </c>
      <c r="C1011" s="81" t="s">
        <v>281</v>
      </c>
      <c r="D1011" s="83" t="str">
        <f aca="false">IFERROR(INDEX(c_Name,MATCH($C1011,c_ID,0)),"غير معرّف")</f>
        <v>ريم الخالدي</v>
      </c>
      <c r="E1011" s="83" t="str">
        <f aca="false">IFERROR(INDEX(c_Region,MATCH($C1011,c_ID,0)),"غير معرّف")</f>
        <v>الوسطى</v>
      </c>
      <c r="F1011" s="81" t="s">
        <v>186</v>
      </c>
      <c r="G1011" s="83" t="str">
        <f aca="false">IFERROR(INDEX(p_Name,MATCH($F1011,p_ID,0)),"غير معرّف")</f>
        <v>مجفف شعر</v>
      </c>
      <c r="H1011" s="83" t="str">
        <f aca="false">IFERROR(INDEX(p_Cat,MATCH($F1011,p_ID,0)),"غير معرّف")</f>
        <v>عناية شخصية</v>
      </c>
      <c r="I1011" s="81" t="s">
        <v>449</v>
      </c>
      <c r="J1011" s="81" t="s">
        <v>93</v>
      </c>
      <c r="K1011" s="81" t="n">
        <v>1</v>
      </c>
      <c r="L1011" s="84" t="n">
        <f aca="false">IFERROR(INDEX(p_Price,MATCH($F1011,p_ID,0)),0)</f>
        <v>280</v>
      </c>
      <c r="M1011" s="85" t="n">
        <v>0</v>
      </c>
      <c r="N1011" s="81" t="s">
        <v>644</v>
      </c>
      <c r="O1011" s="84" t="n">
        <f aca="false">IF($N1011="مرتجع",0,K1011*L1011*(1-M1011))</f>
        <v>280</v>
      </c>
      <c r="P1011" s="84" t="n">
        <f aca="false">IF($N1011="مرتجع",0,K1011*IFERROR(INDEX(p_Cost,MATCH($F1011,p_ID,0)),0))</f>
        <v>140</v>
      </c>
      <c r="Q1011" s="84" t="n">
        <f aca="false">O1011-P1011</f>
        <v>140</v>
      </c>
      <c r="R1011" s="86" t="n">
        <f aca="false">DATE(YEAR(B1011),MONTH(B1011),1)</f>
        <v>46143</v>
      </c>
      <c r="S1011" s="83" t="str">
        <f aca="false">YEAR(B1011)&amp;"-Q"&amp;ROUNDUP(MONTH(B1011)/3,0)</f>
        <v>2026-Q2</v>
      </c>
      <c r="T1011" s="87" t="n">
        <f aca="false">IF(O1011&gt;0,Q1011/O1011,"")</f>
        <v>0.5</v>
      </c>
      <c r="U1011" s="84" t="n">
        <f aca="false">IF(O1011&gt;0,O1011,"")</f>
        <v>280</v>
      </c>
    </row>
    <row r="1012" customFormat="false" ht="15" hidden="false" customHeight="false" outlineLevel="0" collapsed="false">
      <c r="A1012" s="81" t="s">
        <v>1655</v>
      </c>
      <c r="B1012" s="82" t="n">
        <v>46169</v>
      </c>
      <c r="C1012" s="81" t="s">
        <v>290</v>
      </c>
      <c r="D1012" s="83" t="str">
        <f aca="false">IFERROR(INDEX(c_Name,MATCH($C1012,c_ID,0)),"غير معرّف")</f>
        <v>لمى العتيبي</v>
      </c>
      <c r="E1012" s="83" t="str">
        <f aca="false">IFERROR(INDEX(c_Region,MATCH($C1012,c_ID,0)),"غير معرّف")</f>
        <v>الجنوبية</v>
      </c>
      <c r="F1012" s="81" t="s">
        <v>168</v>
      </c>
      <c r="G1012" s="83" t="str">
        <f aca="false">IFERROR(INDEX(p_Name,MATCH($F1012,p_ID,0)),"غير معرّف")</f>
        <v>مكنسة كهربائية</v>
      </c>
      <c r="H1012" s="83" t="str">
        <f aca="false">IFERROR(INDEX(p_Cat,MATCH($F1012,p_ID,0)),"غير معرّف")</f>
        <v>أجهزة منزلية</v>
      </c>
      <c r="I1012" s="81" t="s">
        <v>467</v>
      </c>
      <c r="J1012" s="81" t="s">
        <v>91</v>
      </c>
      <c r="K1012" s="81" t="n">
        <v>1</v>
      </c>
      <c r="L1012" s="84" t="n">
        <f aca="false">IFERROR(INDEX(p_Price,MATCH($F1012,p_ID,0)),0)</f>
        <v>650</v>
      </c>
      <c r="M1012" s="85" t="n">
        <v>0.05</v>
      </c>
      <c r="N1012" s="81" t="s">
        <v>644</v>
      </c>
      <c r="O1012" s="84" t="n">
        <f aca="false">IF($N1012="مرتجع",0,K1012*L1012*(1-M1012))</f>
        <v>617.5</v>
      </c>
      <c r="P1012" s="84" t="n">
        <f aca="false">IF($N1012="مرتجع",0,K1012*IFERROR(INDEX(p_Cost,MATCH($F1012,p_ID,0)),0))</f>
        <v>420</v>
      </c>
      <c r="Q1012" s="84" t="n">
        <f aca="false">O1012-P1012</f>
        <v>197.5</v>
      </c>
      <c r="R1012" s="86" t="n">
        <f aca="false">DATE(YEAR(B1012),MONTH(B1012),1)</f>
        <v>46143</v>
      </c>
      <c r="S1012" s="83" t="str">
        <f aca="false">YEAR(B1012)&amp;"-Q"&amp;ROUNDUP(MONTH(B1012)/3,0)</f>
        <v>2026-Q2</v>
      </c>
      <c r="T1012" s="87" t="n">
        <f aca="false">IF(O1012&gt;0,Q1012/O1012,"")</f>
        <v>0.319838056680162</v>
      </c>
      <c r="U1012" s="84" t="n">
        <f aca="false">IF(O1012&gt;0,O1012,"")</f>
        <v>617.5</v>
      </c>
    </row>
    <row r="1013" customFormat="false" ht="15" hidden="false" customHeight="false" outlineLevel="0" collapsed="false">
      <c r="A1013" s="81" t="s">
        <v>1656</v>
      </c>
      <c r="B1013" s="82" t="n">
        <v>46169</v>
      </c>
      <c r="C1013" s="81" t="s">
        <v>382</v>
      </c>
      <c r="D1013" s="83" t="str">
        <f aca="false">IFERROR(INDEX(c_Name,MATCH($C1013,c_ID,0)),"غير معرّف")</f>
        <v>دانة العتيبي</v>
      </c>
      <c r="E1013" s="83" t="str">
        <f aca="false">IFERROR(INDEX(c_Region,MATCH($C1013,c_ID,0)),"غير معرّف")</f>
        <v>الشرقية</v>
      </c>
      <c r="F1013" s="81" t="s">
        <v>173</v>
      </c>
      <c r="G1013" s="83" t="str">
        <f aca="false">IFERROR(INDEX(p_Name,MATCH($F1013,p_ID,0)),"غير معرّف")</f>
        <v>كرسي مريح</v>
      </c>
      <c r="H1013" s="83" t="str">
        <f aca="false">IFERROR(INDEX(p_Cat,MATCH($F1013,p_ID,0)),"غير معرّف")</f>
        <v>أثاث</v>
      </c>
      <c r="I1013" s="81" t="s">
        <v>463</v>
      </c>
      <c r="J1013" s="81" t="s">
        <v>95</v>
      </c>
      <c r="K1013" s="81" t="n">
        <v>11</v>
      </c>
      <c r="L1013" s="84" t="n">
        <f aca="false">IFERROR(INDEX(p_Price,MATCH($F1013,p_ID,0)),0)</f>
        <v>850</v>
      </c>
      <c r="M1013" s="85" t="n">
        <v>0.05</v>
      </c>
      <c r="N1013" s="81" t="s">
        <v>644</v>
      </c>
      <c r="O1013" s="84" t="n">
        <f aca="false">IF($N1013="مرتجع",0,K1013*L1013*(1-M1013))</f>
        <v>8882.5</v>
      </c>
      <c r="P1013" s="84" t="n">
        <f aca="false">IF($N1013="مرتجع",0,K1013*IFERROR(INDEX(p_Cost,MATCH($F1013,p_ID,0)),0))</f>
        <v>5280</v>
      </c>
      <c r="Q1013" s="84" t="n">
        <f aca="false">O1013-P1013</f>
        <v>3602.5</v>
      </c>
      <c r="R1013" s="86" t="n">
        <f aca="false">DATE(YEAR(B1013),MONTH(B1013),1)</f>
        <v>46143</v>
      </c>
      <c r="S1013" s="83" t="str">
        <f aca="false">YEAR(B1013)&amp;"-Q"&amp;ROUNDUP(MONTH(B1013)/3,0)</f>
        <v>2026-Q2</v>
      </c>
      <c r="T1013" s="87" t="n">
        <f aca="false">IF(O1013&gt;0,Q1013/O1013,"")</f>
        <v>0.405572755417957</v>
      </c>
      <c r="U1013" s="84" t="n">
        <f aca="false">IF(O1013&gt;0,O1013,"")</f>
        <v>8882.5</v>
      </c>
    </row>
    <row r="1014" customFormat="false" ht="15" hidden="false" customHeight="false" outlineLevel="0" collapsed="false">
      <c r="A1014" s="81" t="s">
        <v>1657</v>
      </c>
      <c r="B1014" s="82" t="n">
        <v>46169</v>
      </c>
      <c r="C1014" s="81" t="s">
        <v>295</v>
      </c>
      <c r="D1014" s="83" t="str">
        <f aca="false">IFERROR(INDEX(c_Name,MATCH($C1014,c_ID,0)),"غير معرّف")</f>
        <v>عبير الزهراني</v>
      </c>
      <c r="E1014" s="83" t="str">
        <f aca="false">IFERROR(INDEX(c_Region,MATCH($C1014,c_ID,0)),"غير معرّف")</f>
        <v>الوسطى</v>
      </c>
      <c r="F1014" s="81" t="s">
        <v>179</v>
      </c>
      <c r="G1014" s="83" t="str">
        <f aca="false">IFERROR(INDEX(p_Name,MATCH($F1014,p_ID,0)),"غير معرّف")</f>
        <v>طقم أدوات مكتبية</v>
      </c>
      <c r="H1014" s="83" t="str">
        <f aca="false">IFERROR(INDEX(p_Cat,MATCH($F1014,p_ID,0)),"غير معرّف")</f>
        <v>مستلزمات مكتبية</v>
      </c>
      <c r="I1014" s="81" t="s">
        <v>446</v>
      </c>
      <c r="J1014" s="81" t="s">
        <v>91</v>
      </c>
      <c r="K1014" s="81" t="n">
        <v>6</v>
      </c>
      <c r="L1014" s="84" t="n">
        <f aca="false">IFERROR(INDEX(p_Price,MATCH($F1014,p_ID,0)),0)</f>
        <v>90</v>
      </c>
      <c r="M1014" s="85" t="n">
        <v>0.1</v>
      </c>
      <c r="N1014" s="81" t="s">
        <v>644</v>
      </c>
      <c r="O1014" s="84" t="n">
        <f aca="false">IF($N1014="مرتجع",0,K1014*L1014*(1-M1014))</f>
        <v>486</v>
      </c>
      <c r="P1014" s="84" t="n">
        <f aca="false">IF($N1014="مرتجع",0,K1014*IFERROR(INDEX(p_Cost,MATCH($F1014,p_ID,0)),0))</f>
        <v>270</v>
      </c>
      <c r="Q1014" s="84" t="n">
        <f aca="false">O1014-P1014</f>
        <v>216</v>
      </c>
      <c r="R1014" s="86" t="n">
        <f aca="false">DATE(YEAR(B1014),MONTH(B1014),1)</f>
        <v>46143</v>
      </c>
      <c r="S1014" s="83" t="str">
        <f aca="false">YEAR(B1014)&amp;"-Q"&amp;ROUNDUP(MONTH(B1014)/3,0)</f>
        <v>2026-Q2</v>
      </c>
      <c r="T1014" s="87" t="n">
        <f aca="false">IF(O1014&gt;0,Q1014/O1014,"")</f>
        <v>0.444444444444444</v>
      </c>
      <c r="U1014" s="84" t="n">
        <f aca="false">IF(O1014&gt;0,O1014,"")</f>
        <v>486</v>
      </c>
    </row>
    <row r="1015" customFormat="false" ht="15" hidden="false" customHeight="false" outlineLevel="0" collapsed="false">
      <c r="A1015" s="81" t="s">
        <v>1658</v>
      </c>
      <c r="B1015" s="82" t="n">
        <v>46169</v>
      </c>
      <c r="C1015" s="81" t="s">
        <v>288</v>
      </c>
      <c r="D1015" s="83" t="str">
        <f aca="false">IFERROR(INDEX(c_Name,MATCH($C1015,c_ID,0)),"غير معرّف")</f>
        <v>خالد الشمري</v>
      </c>
      <c r="E1015" s="83" t="str">
        <f aca="false">IFERROR(INDEX(c_Region,MATCH($C1015,c_ID,0)),"غير معرّف")</f>
        <v>الجنوبية</v>
      </c>
      <c r="F1015" s="81" t="s">
        <v>179</v>
      </c>
      <c r="G1015" s="83" t="str">
        <f aca="false">IFERROR(INDEX(p_Name,MATCH($F1015,p_ID,0)),"غير معرّف")</f>
        <v>طقم أدوات مكتبية</v>
      </c>
      <c r="H1015" s="83" t="str">
        <f aca="false">IFERROR(INDEX(p_Cat,MATCH($F1015,p_ID,0)),"غير معرّف")</f>
        <v>مستلزمات مكتبية</v>
      </c>
      <c r="I1015" s="81" t="s">
        <v>467</v>
      </c>
      <c r="J1015" s="81" t="s">
        <v>91</v>
      </c>
      <c r="K1015" s="81" t="n">
        <v>2</v>
      </c>
      <c r="L1015" s="84" t="n">
        <f aca="false">IFERROR(INDEX(p_Price,MATCH($F1015,p_ID,0)),0)</f>
        <v>90</v>
      </c>
      <c r="M1015" s="85" t="n">
        <v>0.1</v>
      </c>
      <c r="N1015" s="81" t="s">
        <v>644</v>
      </c>
      <c r="O1015" s="84" t="n">
        <f aca="false">IF($N1015="مرتجع",0,K1015*L1015*(1-M1015))</f>
        <v>162</v>
      </c>
      <c r="P1015" s="84" t="n">
        <f aca="false">IF($N1015="مرتجع",0,K1015*IFERROR(INDEX(p_Cost,MATCH($F1015,p_ID,0)),0))</f>
        <v>90</v>
      </c>
      <c r="Q1015" s="84" t="n">
        <f aca="false">O1015-P1015</f>
        <v>72</v>
      </c>
      <c r="R1015" s="86" t="n">
        <f aca="false">DATE(YEAR(B1015),MONTH(B1015),1)</f>
        <v>46143</v>
      </c>
      <c r="S1015" s="83" t="str">
        <f aca="false">YEAR(B1015)&amp;"-Q"&amp;ROUNDUP(MONTH(B1015)/3,0)</f>
        <v>2026-Q2</v>
      </c>
      <c r="T1015" s="87" t="n">
        <f aca="false">IF(O1015&gt;0,Q1015/O1015,"")</f>
        <v>0.444444444444444</v>
      </c>
      <c r="U1015" s="84" t="n">
        <f aca="false">IF(O1015&gt;0,O1015,"")</f>
        <v>162</v>
      </c>
    </row>
    <row r="1016" customFormat="false" ht="15" hidden="false" customHeight="false" outlineLevel="0" collapsed="false">
      <c r="A1016" s="81" t="s">
        <v>1659</v>
      </c>
      <c r="B1016" s="82" t="n">
        <v>46170</v>
      </c>
      <c r="C1016" s="81" t="s">
        <v>365</v>
      </c>
      <c r="D1016" s="83" t="str">
        <f aca="false">IFERROR(INDEX(c_Name,MATCH($C1016,c_ID,0)),"غير معرّف")</f>
        <v>نورة الغامدي</v>
      </c>
      <c r="E1016" s="83" t="str">
        <f aca="false">IFERROR(INDEX(c_Region,MATCH($C1016,c_ID,0)),"غير معرّف")</f>
        <v>الوسطى</v>
      </c>
      <c r="F1016" s="81" t="s">
        <v>172</v>
      </c>
      <c r="G1016" s="83" t="str">
        <f aca="false">IFERROR(INDEX(p_Name,MATCH($F1016,p_ID,0)),"غير معرّف")</f>
        <v>مكتب عمل</v>
      </c>
      <c r="H1016" s="83" t="str">
        <f aca="false">IFERROR(INDEX(p_Cat,MATCH($F1016,p_ID,0)),"غير معرّف")</f>
        <v>أثاث</v>
      </c>
      <c r="I1016" s="81" t="s">
        <v>446</v>
      </c>
      <c r="J1016" s="81" t="s">
        <v>91</v>
      </c>
      <c r="K1016" s="81" t="n">
        <v>5</v>
      </c>
      <c r="L1016" s="84" t="n">
        <f aca="false">IFERROR(INDEX(p_Price,MATCH($F1016,p_ID,0)),0)</f>
        <v>1200</v>
      </c>
      <c r="M1016" s="85" t="n">
        <v>0.1</v>
      </c>
      <c r="N1016" s="81" t="s">
        <v>644</v>
      </c>
      <c r="O1016" s="84" t="n">
        <f aca="false">IF($N1016="مرتجع",0,K1016*L1016*(1-M1016))</f>
        <v>5400</v>
      </c>
      <c r="P1016" s="84" t="n">
        <f aca="false">IF($N1016="مرتجع",0,K1016*IFERROR(INDEX(p_Cost,MATCH($F1016,p_ID,0)),0))</f>
        <v>3500</v>
      </c>
      <c r="Q1016" s="84" t="n">
        <f aca="false">O1016-P1016</f>
        <v>1900</v>
      </c>
      <c r="R1016" s="86" t="n">
        <f aca="false">DATE(YEAR(B1016),MONTH(B1016),1)</f>
        <v>46143</v>
      </c>
      <c r="S1016" s="83" t="str">
        <f aca="false">YEAR(B1016)&amp;"-Q"&amp;ROUNDUP(MONTH(B1016)/3,0)</f>
        <v>2026-Q2</v>
      </c>
      <c r="T1016" s="87" t="n">
        <f aca="false">IF(O1016&gt;0,Q1016/O1016,"")</f>
        <v>0.351851851851852</v>
      </c>
      <c r="U1016" s="84" t="n">
        <f aca="false">IF(O1016&gt;0,O1016,"")</f>
        <v>5400</v>
      </c>
    </row>
    <row r="1017" customFormat="false" ht="15" hidden="false" customHeight="false" outlineLevel="0" collapsed="false">
      <c r="A1017" s="81" t="s">
        <v>1660</v>
      </c>
      <c r="B1017" s="82" t="n">
        <v>46170</v>
      </c>
      <c r="C1017" s="81" t="s">
        <v>363</v>
      </c>
      <c r="D1017" s="83" t="str">
        <f aca="false">IFERROR(INDEX(c_Name,MATCH($C1017,c_ID,0)),"غير معرّف")</f>
        <v>سلمان البلوي</v>
      </c>
      <c r="E1017" s="83" t="str">
        <f aca="false">IFERROR(INDEX(c_Region,MATCH($C1017,c_ID,0)),"غير معرّف")</f>
        <v>الوسطى</v>
      </c>
      <c r="F1017" s="81" t="s">
        <v>182</v>
      </c>
      <c r="G1017" s="83" t="str">
        <f aca="false">IFERROR(INDEX(p_Name,MATCH($F1017,p_ID,0)),"غير معرّف")</f>
        <v>طقم أوزان</v>
      </c>
      <c r="H1017" s="83" t="str">
        <f aca="false">IFERROR(INDEX(p_Cat,MATCH($F1017,p_ID,0)),"غير معرّف")</f>
        <v>رياضة</v>
      </c>
      <c r="I1017" s="81" t="s">
        <v>446</v>
      </c>
      <c r="J1017" s="81" t="s">
        <v>91</v>
      </c>
      <c r="K1017" s="81" t="n">
        <v>1</v>
      </c>
      <c r="L1017" s="84" t="n">
        <f aca="false">IFERROR(INDEX(p_Price,MATCH($F1017,p_ID,0)),0)</f>
        <v>380</v>
      </c>
      <c r="M1017" s="85" t="n">
        <v>0</v>
      </c>
      <c r="N1017" s="81" t="s">
        <v>644</v>
      </c>
      <c r="O1017" s="84" t="n">
        <f aca="false">IF($N1017="مرتجع",0,K1017*L1017*(1-M1017))</f>
        <v>380</v>
      </c>
      <c r="P1017" s="84" t="n">
        <f aca="false">IF($N1017="مرتجع",0,K1017*IFERROR(INDEX(p_Cost,MATCH($F1017,p_ID,0)),0))</f>
        <v>210</v>
      </c>
      <c r="Q1017" s="84" t="n">
        <f aca="false">O1017-P1017</f>
        <v>170</v>
      </c>
      <c r="R1017" s="86" t="n">
        <f aca="false">DATE(YEAR(B1017),MONTH(B1017),1)</f>
        <v>46143</v>
      </c>
      <c r="S1017" s="83" t="str">
        <f aca="false">YEAR(B1017)&amp;"-Q"&amp;ROUNDUP(MONTH(B1017)/3,0)</f>
        <v>2026-Q2</v>
      </c>
      <c r="T1017" s="87" t="n">
        <f aca="false">IF(O1017&gt;0,Q1017/O1017,"")</f>
        <v>0.447368421052632</v>
      </c>
      <c r="U1017" s="84" t="n">
        <f aca="false">IF(O1017&gt;0,O1017,"")</f>
        <v>380</v>
      </c>
    </row>
    <row r="1018" customFormat="false" ht="15" hidden="false" customHeight="false" outlineLevel="0" collapsed="false">
      <c r="A1018" s="81" t="s">
        <v>1661</v>
      </c>
      <c r="B1018" s="82" t="n">
        <v>46170</v>
      </c>
      <c r="C1018" s="81" t="s">
        <v>340</v>
      </c>
      <c r="D1018" s="83" t="str">
        <f aca="false">IFERROR(INDEX(c_Name,MATCH($C1018,c_ID,0)),"غير معرّف")</f>
        <v>سعد الشهري</v>
      </c>
      <c r="E1018" s="83" t="str">
        <f aca="false">IFERROR(INDEX(c_Region,MATCH($C1018,c_ID,0)),"غير معرّف")</f>
        <v>الوسطى</v>
      </c>
      <c r="F1018" s="81" t="s">
        <v>182</v>
      </c>
      <c r="G1018" s="83" t="str">
        <f aca="false">IFERROR(INDEX(p_Name,MATCH($F1018,p_ID,0)),"غير معرّف")</f>
        <v>طقم أوزان</v>
      </c>
      <c r="H1018" s="83" t="str">
        <f aca="false">IFERROR(INDEX(p_Cat,MATCH($F1018,p_ID,0)),"غير معرّف")</f>
        <v>رياضة</v>
      </c>
      <c r="I1018" s="81" t="s">
        <v>446</v>
      </c>
      <c r="J1018" s="81" t="s">
        <v>91</v>
      </c>
      <c r="K1018" s="81" t="n">
        <v>1</v>
      </c>
      <c r="L1018" s="84" t="n">
        <f aca="false">IFERROR(INDEX(p_Price,MATCH($F1018,p_ID,0)),0)</f>
        <v>380</v>
      </c>
      <c r="M1018" s="85" t="n">
        <v>0</v>
      </c>
      <c r="N1018" s="81" t="s">
        <v>644</v>
      </c>
      <c r="O1018" s="84" t="n">
        <f aca="false">IF($N1018="مرتجع",0,K1018*L1018*(1-M1018))</f>
        <v>380</v>
      </c>
      <c r="P1018" s="84" t="n">
        <f aca="false">IF($N1018="مرتجع",0,K1018*IFERROR(INDEX(p_Cost,MATCH($F1018,p_ID,0)),0))</f>
        <v>210</v>
      </c>
      <c r="Q1018" s="84" t="n">
        <f aca="false">O1018-P1018</f>
        <v>170</v>
      </c>
      <c r="R1018" s="86" t="n">
        <f aca="false">DATE(YEAR(B1018),MONTH(B1018),1)</f>
        <v>46143</v>
      </c>
      <c r="S1018" s="83" t="str">
        <f aca="false">YEAR(B1018)&amp;"-Q"&amp;ROUNDUP(MONTH(B1018)/3,0)</f>
        <v>2026-Q2</v>
      </c>
      <c r="T1018" s="87" t="n">
        <f aca="false">IF(O1018&gt;0,Q1018/O1018,"")</f>
        <v>0.447368421052632</v>
      </c>
      <c r="U1018" s="84" t="n">
        <f aca="false">IF(O1018&gt;0,O1018,"")</f>
        <v>380</v>
      </c>
    </row>
    <row r="1019" customFormat="false" ht="15" hidden="false" customHeight="false" outlineLevel="0" collapsed="false">
      <c r="A1019" s="81" t="s">
        <v>1662</v>
      </c>
      <c r="B1019" s="82" t="n">
        <v>46170</v>
      </c>
      <c r="C1019" s="81" t="s">
        <v>270</v>
      </c>
      <c r="D1019" s="83" t="str">
        <f aca="false">IFERROR(INDEX(c_Name,MATCH($C1019,c_ID,0)),"غير معرّف")</f>
        <v>ريم التميمي</v>
      </c>
      <c r="E1019" s="83" t="str">
        <f aca="false">IFERROR(INDEX(c_Region,MATCH($C1019,c_ID,0)),"غير معرّف")</f>
        <v>الشرقية</v>
      </c>
      <c r="F1019" s="81" t="s">
        <v>165</v>
      </c>
      <c r="G1019" s="83" t="str">
        <f aca="false">IFERROR(INDEX(p_Name,MATCH($F1019,p_ID,0)),"غير معرّف")</f>
        <v>حاسوب محمول</v>
      </c>
      <c r="H1019" s="83" t="str">
        <f aca="false">IFERROR(INDEX(p_Cat,MATCH($F1019,p_ID,0)),"غير معرّف")</f>
        <v>إلكترونيات</v>
      </c>
      <c r="I1019" s="81" t="s">
        <v>461</v>
      </c>
      <c r="J1019" s="81" t="s">
        <v>91</v>
      </c>
      <c r="K1019" s="81" t="n">
        <v>1</v>
      </c>
      <c r="L1019" s="84" t="n">
        <f aca="false">IFERROR(INDEX(p_Price,MATCH($F1019,p_ID,0)),0)</f>
        <v>3800</v>
      </c>
      <c r="M1019" s="85" t="n">
        <v>0</v>
      </c>
      <c r="N1019" s="81" t="s">
        <v>644</v>
      </c>
      <c r="O1019" s="84" t="n">
        <f aca="false">IF($N1019="مرتجع",0,K1019*L1019*(1-M1019))</f>
        <v>3800</v>
      </c>
      <c r="P1019" s="84" t="n">
        <f aca="false">IF($N1019="مرتجع",0,K1019*IFERROR(INDEX(p_Cost,MATCH($F1019,p_ID,0)),0))</f>
        <v>2900</v>
      </c>
      <c r="Q1019" s="84" t="n">
        <f aca="false">O1019-P1019</f>
        <v>900</v>
      </c>
      <c r="R1019" s="86" t="n">
        <f aca="false">DATE(YEAR(B1019),MONTH(B1019),1)</f>
        <v>46143</v>
      </c>
      <c r="S1019" s="83" t="str">
        <f aca="false">YEAR(B1019)&amp;"-Q"&amp;ROUNDUP(MONTH(B1019)/3,0)</f>
        <v>2026-Q2</v>
      </c>
      <c r="T1019" s="87" t="n">
        <f aca="false">IF(O1019&gt;0,Q1019/O1019,"")</f>
        <v>0.236842105263158</v>
      </c>
      <c r="U1019" s="84" t="n">
        <f aca="false">IF(O1019&gt;0,O1019,"")</f>
        <v>3800</v>
      </c>
    </row>
    <row r="1020" customFormat="false" ht="15" hidden="false" customHeight="false" outlineLevel="0" collapsed="false">
      <c r="A1020" s="81" t="s">
        <v>1663</v>
      </c>
      <c r="B1020" s="82" t="n">
        <v>46170</v>
      </c>
      <c r="C1020" s="81" t="s">
        <v>423</v>
      </c>
      <c r="D1020" s="83" t="str">
        <f aca="false">IFERROR(INDEX(c_Name,MATCH($C1020,c_ID,0)),"غير معرّف")</f>
        <v>ناصر المطيري</v>
      </c>
      <c r="E1020" s="83" t="str">
        <f aca="false">IFERROR(INDEX(c_Region,MATCH($C1020,c_ID,0)),"غير معرّف")</f>
        <v>الغربية</v>
      </c>
      <c r="F1020" s="81" t="s">
        <v>184</v>
      </c>
      <c r="G1020" s="83" t="str">
        <f aca="false">IFERROR(INDEX(p_Name,MATCH($F1020,p_ID,0)),"غير معرّف")</f>
        <v>عطر فاخر</v>
      </c>
      <c r="H1020" s="83" t="str">
        <f aca="false">IFERROR(INDEX(p_Cat,MATCH($F1020,p_ID,0)),"غير معرّف")</f>
        <v>عناية شخصية</v>
      </c>
      <c r="I1020" s="81" t="s">
        <v>452</v>
      </c>
      <c r="J1020" s="81" t="s">
        <v>91</v>
      </c>
      <c r="K1020" s="81" t="n">
        <v>1</v>
      </c>
      <c r="L1020" s="84" t="n">
        <f aca="false">IFERROR(INDEX(p_Price,MATCH($F1020,p_ID,0)),0)</f>
        <v>520</v>
      </c>
      <c r="M1020" s="85" t="n">
        <v>0</v>
      </c>
      <c r="N1020" s="81" t="s">
        <v>644</v>
      </c>
      <c r="O1020" s="84" t="n">
        <f aca="false">IF($N1020="مرتجع",0,K1020*L1020*(1-M1020))</f>
        <v>520</v>
      </c>
      <c r="P1020" s="84" t="n">
        <f aca="false">IF($N1020="مرتجع",0,K1020*IFERROR(INDEX(p_Cost,MATCH($F1020,p_ID,0)),0))</f>
        <v>210</v>
      </c>
      <c r="Q1020" s="84" t="n">
        <f aca="false">O1020-P1020</f>
        <v>310</v>
      </c>
      <c r="R1020" s="86" t="n">
        <f aca="false">DATE(YEAR(B1020),MONTH(B1020),1)</f>
        <v>46143</v>
      </c>
      <c r="S1020" s="83" t="str">
        <f aca="false">YEAR(B1020)&amp;"-Q"&amp;ROUNDUP(MONTH(B1020)/3,0)</f>
        <v>2026-Q2</v>
      </c>
      <c r="T1020" s="87" t="n">
        <f aca="false">IF(O1020&gt;0,Q1020/O1020,"")</f>
        <v>0.596153846153846</v>
      </c>
      <c r="U1020" s="84" t="n">
        <f aca="false">IF(O1020&gt;0,O1020,"")</f>
        <v>520</v>
      </c>
    </row>
    <row r="1021" customFormat="false" ht="15" hidden="false" customHeight="false" outlineLevel="0" collapsed="false">
      <c r="A1021" s="81" t="s">
        <v>1664</v>
      </c>
      <c r="B1021" s="82" t="n">
        <v>46170</v>
      </c>
      <c r="C1021" s="81" t="s">
        <v>235</v>
      </c>
      <c r="D1021" s="83" t="str">
        <f aca="false">IFERROR(INDEX(c_Name,MATCH($C1021,c_ID,0)),"غير معرّف")</f>
        <v>ليلى الزهراني</v>
      </c>
      <c r="E1021" s="83" t="str">
        <f aca="false">IFERROR(INDEX(c_Region,MATCH($C1021,c_ID,0)),"غير معرّف")</f>
        <v>الشرقية</v>
      </c>
      <c r="F1021" s="81" t="s">
        <v>173</v>
      </c>
      <c r="G1021" s="83" t="str">
        <f aca="false">IFERROR(INDEX(p_Name,MATCH($F1021,p_ID,0)),"غير معرّف")</f>
        <v>كرسي مريح</v>
      </c>
      <c r="H1021" s="83" t="str">
        <f aca="false">IFERROR(INDEX(p_Cat,MATCH($F1021,p_ID,0)),"غير معرّف")</f>
        <v>أثاث</v>
      </c>
      <c r="I1021" s="81" t="s">
        <v>463</v>
      </c>
      <c r="J1021" s="81" t="s">
        <v>91</v>
      </c>
      <c r="K1021" s="81" t="n">
        <v>1</v>
      </c>
      <c r="L1021" s="84" t="n">
        <f aca="false">IFERROR(INDEX(p_Price,MATCH($F1021,p_ID,0)),0)</f>
        <v>850</v>
      </c>
      <c r="M1021" s="85" t="n">
        <v>0</v>
      </c>
      <c r="N1021" s="81" t="s">
        <v>644</v>
      </c>
      <c r="O1021" s="84" t="n">
        <f aca="false">IF($N1021="مرتجع",0,K1021*L1021*(1-M1021))</f>
        <v>850</v>
      </c>
      <c r="P1021" s="84" t="n">
        <f aca="false">IF($N1021="مرتجع",0,K1021*IFERROR(INDEX(p_Cost,MATCH($F1021,p_ID,0)),0))</f>
        <v>480</v>
      </c>
      <c r="Q1021" s="84" t="n">
        <f aca="false">O1021-P1021</f>
        <v>370</v>
      </c>
      <c r="R1021" s="86" t="n">
        <f aca="false">DATE(YEAR(B1021),MONTH(B1021),1)</f>
        <v>46143</v>
      </c>
      <c r="S1021" s="83" t="str">
        <f aca="false">YEAR(B1021)&amp;"-Q"&amp;ROUNDUP(MONTH(B1021)/3,0)</f>
        <v>2026-Q2</v>
      </c>
      <c r="T1021" s="87" t="n">
        <f aca="false">IF(O1021&gt;0,Q1021/O1021,"")</f>
        <v>0.435294117647059</v>
      </c>
      <c r="U1021" s="84" t="n">
        <f aca="false">IF(O1021&gt;0,O1021,"")</f>
        <v>850</v>
      </c>
    </row>
    <row r="1022" customFormat="false" ht="15" hidden="false" customHeight="false" outlineLevel="0" collapsed="false">
      <c r="A1022" s="81" t="s">
        <v>1665</v>
      </c>
      <c r="B1022" s="82" t="n">
        <v>46171</v>
      </c>
      <c r="C1022" s="81" t="s">
        <v>365</v>
      </c>
      <c r="D1022" s="83" t="str">
        <f aca="false">IFERROR(INDEX(c_Name,MATCH($C1022,c_ID,0)),"غير معرّف")</f>
        <v>نورة الغامدي</v>
      </c>
      <c r="E1022" s="83" t="str">
        <f aca="false">IFERROR(INDEX(c_Region,MATCH($C1022,c_ID,0)),"غير معرّف")</f>
        <v>الوسطى</v>
      </c>
      <c r="F1022" s="81" t="s">
        <v>169</v>
      </c>
      <c r="G1022" s="83" t="str">
        <f aca="false">IFERROR(INDEX(p_Name,MATCH($F1022,p_ID,0)),"غير معرّف")</f>
        <v>خلاط</v>
      </c>
      <c r="H1022" s="83" t="str">
        <f aca="false">IFERROR(INDEX(p_Cat,MATCH($F1022,p_ID,0)),"غير معرّف")</f>
        <v>أجهزة منزلية</v>
      </c>
      <c r="I1022" s="81" t="s">
        <v>446</v>
      </c>
      <c r="J1022" s="81" t="s">
        <v>91</v>
      </c>
      <c r="K1022" s="81" t="n">
        <v>2</v>
      </c>
      <c r="L1022" s="84" t="n">
        <f aca="false">IFERROR(INDEX(p_Price,MATCH($F1022,p_ID,0)),0)</f>
        <v>300</v>
      </c>
      <c r="M1022" s="85" t="n">
        <v>0</v>
      </c>
      <c r="N1022" s="81" t="s">
        <v>644</v>
      </c>
      <c r="O1022" s="84" t="n">
        <f aca="false">IF($N1022="مرتجع",0,K1022*L1022*(1-M1022))</f>
        <v>600</v>
      </c>
      <c r="P1022" s="84" t="n">
        <f aca="false">IF($N1022="مرتجع",0,K1022*IFERROR(INDEX(p_Cost,MATCH($F1022,p_ID,0)),0))</f>
        <v>350</v>
      </c>
      <c r="Q1022" s="84" t="n">
        <f aca="false">O1022-P1022</f>
        <v>250</v>
      </c>
      <c r="R1022" s="86" t="n">
        <f aca="false">DATE(YEAR(B1022),MONTH(B1022),1)</f>
        <v>46143</v>
      </c>
      <c r="S1022" s="83" t="str">
        <f aca="false">YEAR(B1022)&amp;"-Q"&amp;ROUNDUP(MONTH(B1022)/3,0)</f>
        <v>2026-Q2</v>
      </c>
      <c r="T1022" s="87" t="n">
        <f aca="false">IF(O1022&gt;0,Q1022/O1022,"")</f>
        <v>0.416666666666667</v>
      </c>
      <c r="U1022" s="84" t="n">
        <f aca="false">IF(O1022&gt;0,O1022,"")</f>
        <v>600</v>
      </c>
    </row>
    <row r="1023" customFormat="false" ht="15" hidden="false" customHeight="false" outlineLevel="0" collapsed="false">
      <c r="A1023" s="81" t="s">
        <v>1666</v>
      </c>
      <c r="B1023" s="82" t="n">
        <v>46171</v>
      </c>
      <c r="C1023" s="81" t="s">
        <v>266</v>
      </c>
      <c r="D1023" s="83" t="str">
        <f aca="false">IFERROR(INDEX(c_Name,MATCH($C1023,c_ID,0)),"غير معرّف")</f>
        <v>ياسر الشهري</v>
      </c>
      <c r="E1023" s="83" t="str">
        <f aca="false">IFERROR(INDEX(c_Region,MATCH($C1023,c_ID,0)),"غير معرّف")</f>
        <v>الوسطى</v>
      </c>
      <c r="F1023" s="81" t="s">
        <v>166</v>
      </c>
      <c r="G1023" s="83" t="str">
        <f aca="false">IFERROR(INDEX(p_Name,MATCH($F1023,p_ID,0)),"غير معرّف")</f>
        <v>سماعات لاسلكية</v>
      </c>
      <c r="H1023" s="83" t="str">
        <f aca="false">IFERROR(INDEX(p_Cat,MATCH($F1023,p_ID,0)),"غير معرّف")</f>
        <v>إلكترونيات</v>
      </c>
      <c r="I1023" s="81" t="s">
        <v>446</v>
      </c>
      <c r="J1023" s="81" t="s">
        <v>93</v>
      </c>
      <c r="K1023" s="81" t="n">
        <v>2</v>
      </c>
      <c r="L1023" s="84" t="n">
        <f aca="false">IFERROR(INDEX(p_Price,MATCH($F1023,p_ID,0)),0)</f>
        <v>450</v>
      </c>
      <c r="M1023" s="85" t="n">
        <v>0</v>
      </c>
      <c r="N1023" s="81" t="s">
        <v>644</v>
      </c>
      <c r="O1023" s="84" t="n">
        <f aca="false">IF($N1023="مرتجع",0,K1023*L1023*(1-M1023))</f>
        <v>900</v>
      </c>
      <c r="P1023" s="84" t="n">
        <f aca="false">IF($N1023="مرتجع",0,K1023*IFERROR(INDEX(p_Cost,MATCH($F1023,p_ID,0)),0))</f>
        <v>520</v>
      </c>
      <c r="Q1023" s="84" t="n">
        <f aca="false">O1023-P1023</f>
        <v>380</v>
      </c>
      <c r="R1023" s="86" t="n">
        <f aca="false">DATE(YEAR(B1023),MONTH(B1023),1)</f>
        <v>46143</v>
      </c>
      <c r="S1023" s="83" t="str">
        <f aca="false">YEAR(B1023)&amp;"-Q"&amp;ROUNDUP(MONTH(B1023)/3,0)</f>
        <v>2026-Q2</v>
      </c>
      <c r="T1023" s="87" t="n">
        <f aca="false">IF(O1023&gt;0,Q1023/O1023,"")</f>
        <v>0.422222222222222</v>
      </c>
      <c r="U1023" s="84" t="n">
        <f aca="false">IF(O1023&gt;0,O1023,"")</f>
        <v>900</v>
      </c>
    </row>
    <row r="1024" customFormat="false" ht="15" hidden="false" customHeight="false" outlineLevel="0" collapsed="false">
      <c r="A1024" s="81" t="s">
        <v>1667</v>
      </c>
      <c r="B1024" s="82" t="n">
        <v>46171</v>
      </c>
      <c r="C1024" s="81" t="s">
        <v>237</v>
      </c>
      <c r="D1024" s="83" t="str">
        <f aca="false">IFERROR(INDEX(c_Name,MATCH($C1024,c_ID,0)),"غير معرّف")</f>
        <v>محمد البلوي</v>
      </c>
      <c r="E1024" s="83" t="str">
        <f aca="false">IFERROR(INDEX(c_Region,MATCH($C1024,c_ID,0)),"غير معرّف")</f>
        <v>الوسطى</v>
      </c>
      <c r="F1024" s="81" t="s">
        <v>187</v>
      </c>
      <c r="G1024" s="83" t="str">
        <f aca="false">IFERROR(INDEX(p_Name,MATCH($F1024,p_ID,0)),"غير معرّف")</f>
        <v>جهاز تدليك</v>
      </c>
      <c r="H1024" s="83" t="str">
        <f aca="false">IFERROR(INDEX(p_Cat,MATCH($F1024,p_ID,0)),"غير معرّف")</f>
        <v>عناية شخصية</v>
      </c>
      <c r="I1024" s="81" t="s">
        <v>443</v>
      </c>
      <c r="J1024" s="81" t="s">
        <v>93</v>
      </c>
      <c r="K1024" s="81" t="n">
        <v>2</v>
      </c>
      <c r="L1024" s="84" t="n">
        <f aca="false">IFERROR(INDEX(p_Price,MATCH($F1024,p_ID,0)),0)</f>
        <v>600</v>
      </c>
      <c r="M1024" s="85" t="n">
        <v>0</v>
      </c>
      <c r="N1024" s="81" t="s">
        <v>644</v>
      </c>
      <c r="O1024" s="84" t="n">
        <f aca="false">IF($N1024="مرتجع",0,K1024*L1024*(1-M1024))</f>
        <v>1200</v>
      </c>
      <c r="P1024" s="84" t="n">
        <f aca="false">IF($N1024="مرتجع",0,K1024*IFERROR(INDEX(p_Cost,MATCH($F1024,p_ID,0)),0))</f>
        <v>660</v>
      </c>
      <c r="Q1024" s="84" t="n">
        <f aca="false">O1024-P1024</f>
        <v>540</v>
      </c>
      <c r="R1024" s="86" t="n">
        <f aca="false">DATE(YEAR(B1024),MONTH(B1024),1)</f>
        <v>46143</v>
      </c>
      <c r="S1024" s="83" t="str">
        <f aca="false">YEAR(B1024)&amp;"-Q"&amp;ROUNDUP(MONTH(B1024)/3,0)</f>
        <v>2026-Q2</v>
      </c>
      <c r="T1024" s="87" t="n">
        <f aca="false">IF(O1024&gt;0,Q1024/O1024,"")</f>
        <v>0.45</v>
      </c>
      <c r="U1024" s="84" t="n">
        <f aca="false">IF(O1024&gt;0,O1024,"")</f>
        <v>1200</v>
      </c>
    </row>
    <row r="1025" customFormat="false" ht="15" hidden="false" customHeight="false" outlineLevel="0" collapsed="false">
      <c r="A1025" s="81" t="s">
        <v>1668</v>
      </c>
      <c r="B1025" s="82" t="n">
        <v>46171</v>
      </c>
      <c r="C1025" s="81" t="s">
        <v>339</v>
      </c>
      <c r="D1025" s="83" t="str">
        <f aca="false">IFERROR(INDEX(c_Name,MATCH($C1025,c_ID,0)),"غير معرّف")</f>
        <v>خالد السبيعي</v>
      </c>
      <c r="E1025" s="83" t="str">
        <f aca="false">IFERROR(INDEX(c_Region,MATCH($C1025,c_ID,0)),"غير معرّف")</f>
        <v>الجنوبية</v>
      </c>
      <c r="F1025" s="81" t="s">
        <v>187</v>
      </c>
      <c r="G1025" s="83" t="str">
        <f aca="false">IFERROR(INDEX(p_Name,MATCH($F1025,p_ID,0)),"غير معرّف")</f>
        <v>جهاز تدليك</v>
      </c>
      <c r="H1025" s="83" t="str">
        <f aca="false">IFERROR(INDEX(p_Cat,MATCH($F1025,p_ID,0)),"غير معرّف")</f>
        <v>عناية شخصية</v>
      </c>
      <c r="I1025" s="81" t="s">
        <v>465</v>
      </c>
      <c r="J1025" s="81" t="s">
        <v>93</v>
      </c>
      <c r="K1025" s="81" t="n">
        <v>5</v>
      </c>
      <c r="L1025" s="84" t="n">
        <f aca="false">IFERROR(INDEX(p_Price,MATCH($F1025,p_ID,0)),0)</f>
        <v>600</v>
      </c>
      <c r="M1025" s="85" t="n">
        <v>0.05</v>
      </c>
      <c r="N1025" s="81" t="s">
        <v>644</v>
      </c>
      <c r="O1025" s="84" t="n">
        <f aca="false">IF($N1025="مرتجع",0,K1025*L1025*(1-M1025))</f>
        <v>2850</v>
      </c>
      <c r="P1025" s="84" t="n">
        <f aca="false">IF($N1025="مرتجع",0,K1025*IFERROR(INDEX(p_Cost,MATCH($F1025,p_ID,0)),0))</f>
        <v>1650</v>
      </c>
      <c r="Q1025" s="84" t="n">
        <f aca="false">O1025-P1025</f>
        <v>1200</v>
      </c>
      <c r="R1025" s="86" t="n">
        <f aca="false">DATE(YEAR(B1025),MONTH(B1025),1)</f>
        <v>46143</v>
      </c>
      <c r="S1025" s="83" t="str">
        <f aca="false">YEAR(B1025)&amp;"-Q"&amp;ROUNDUP(MONTH(B1025)/3,0)</f>
        <v>2026-Q2</v>
      </c>
      <c r="T1025" s="87" t="n">
        <f aca="false">IF(O1025&gt;0,Q1025/O1025,"")</f>
        <v>0.421052631578947</v>
      </c>
      <c r="U1025" s="84" t="n">
        <f aca="false">IF(O1025&gt;0,O1025,"")</f>
        <v>2850</v>
      </c>
    </row>
    <row r="1026" customFormat="false" ht="15" hidden="false" customHeight="false" outlineLevel="0" collapsed="false">
      <c r="A1026" s="81" t="s">
        <v>1669</v>
      </c>
      <c r="B1026" s="82" t="n">
        <v>46171</v>
      </c>
      <c r="C1026" s="81" t="s">
        <v>287</v>
      </c>
      <c r="D1026" s="83" t="str">
        <f aca="false">IFERROR(INDEX(c_Name,MATCH($C1026,c_ID,0)),"غير معرّف")</f>
        <v>محمد الشهري</v>
      </c>
      <c r="E1026" s="83" t="str">
        <f aca="false">IFERROR(INDEX(c_Region,MATCH($C1026,c_ID,0)),"غير معرّف")</f>
        <v>الغربية</v>
      </c>
      <c r="F1026" s="81" t="s">
        <v>175</v>
      </c>
      <c r="G1026" s="83" t="str">
        <f aca="false">IFERROR(INDEX(p_Name,MATCH($F1026,p_ID,0)),"غير معرّف")</f>
        <v>رف كتب</v>
      </c>
      <c r="H1026" s="83" t="str">
        <f aca="false">IFERROR(INDEX(p_Cat,MATCH($F1026,p_ID,0)),"غير معرّف")</f>
        <v>أثاث</v>
      </c>
      <c r="I1026" s="81" t="s">
        <v>455</v>
      </c>
      <c r="J1026" s="81" t="s">
        <v>91</v>
      </c>
      <c r="K1026" s="81" t="n">
        <v>2</v>
      </c>
      <c r="L1026" s="84" t="n">
        <f aca="false">IFERROR(INDEX(p_Price,MATCH($F1026,p_ID,0)),0)</f>
        <v>400</v>
      </c>
      <c r="M1026" s="85" t="n">
        <v>0.1</v>
      </c>
      <c r="N1026" s="81" t="s">
        <v>644</v>
      </c>
      <c r="O1026" s="84" t="n">
        <f aca="false">IF($N1026="مرتجع",0,K1026*L1026*(1-M1026))</f>
        <v>720</v>
      </c>
      <c r="P1026" s="84" t="n">
        <f aca="false">IF($N1026="مرتجع",0,K1026*IFERROR(INDEX(p_Cost,MATCH($F1026,p_ID,0)),0))</f>
        <v>440</v>
      </c>
      <c r="Q1026" s="84" t="n">
        <f aca="false">O1026-P1026</f>
        <v>280</v>
      </c>
      <c r="R1026" s="86" t="n">
        <f aca="false">DATE(YEAR(B1026),MONTH(B1026),1)</f>
        <v>46143</v>
      </c>
      <c r="S1026" s="83" t="str">
        <f aca="false">YEAR(B1026)&amp;"-Q"&amp;ROUNDUP(MONTH(B1026)/3,0)</f>
        <v>2026-Q2</v>
      </c>
      <c r="T1026" s="87" t="n">
        <f aca="false">IF(O1026&gt;0,Q1026/O1026,"")</f>
        <v>0.388888888888889</v>
      </c>
      <c r="U1026" s="84" t="n">
        <f aca="false">IF(O1026&gt;0,O1026,"")</f>
        <v>720</v>
      </c>
    </row>
    <row r="1027" customFormat="false" ht="15" hidden="false" customHeight="false" outlineLevel="0" collapsed="false">
      <c r="A1027" s="81" t="s">
        <v>1670</v>
      </c>
      <c r="B1027" s="82" t="n">
        <v>46171</v>
      </c>
      <c r="C1027" s="81" t="s">
        <v>361</v>
      </c>
      <c r="D1027" s="83" t="str">
        <f aca="false">IFERROR(INDEX(c_Name,MATCH($C1027,c_ID,0)),"غير معرّف")</f>
        <v>دانة المطيري</v>
      </c>
      <c r="E1027" s="83" t="str">
        <f aca="false">IFERROR(INDEX(c_Region,MATCH($C1027,c_ID,0)),"غير معرّف")</f>
        <v>الشرقية</v>
      </c>
      <c r="F1027" s="81" t="s">
        <v>173</v>
      </c>
      <c r="G1027" s="83" t="str">
        <f aca="false">IFERROR(INDEX(p_Name,MATCH($F1027,p_ID,0)),"غير معرّف")</f>
        <v>كرسي مريح</v>
      </c>
      <c r="H1027" s="83" t="str">
        <f aca="false">IFERROR(INDEX(p_Cat,MATCH($F1027,p_ID,0)),"غير معرّف")</f>
        <v>أثاث</v>
      </c>
      <c r="I1027" s="81" t="s">
        <v>461</v>
      </c>
      <c r="J1027" s="81" t="s">
        <v>93</v>
      </c>
      <c r="K1027" s="81" t="n">
        <v>2</v>
      </c>
      <c r="L1027" s="84" t="n">
        <f aca="false">IFERROR(INDEX(p_Price,MATCH($F1027,p_ID,0)),0)</f>
        <v>850</v>
      </c>
      <c r="M1027" s="85" t="n">
        <v>0.1</v>
      </c>
      <c r="N1027" s="81" t="s">
        <v>644</v>
      </c>
      <c r="O1027" s="84" t="n">
        <f aca="false">IF($N1027="مرتجع",0,K1027*L1027*(1-M1027))</f>
        <v>1530</v>
      </c>
      <c r="P1027" s="84" t="n">
        <f aca="false">IF($N1027="مرتجع",0,K1027*IFERROR(INDEX(p_Cost,MATCH($F1027,p_ID,0)),0))</f>
        <v>960</v>
      </c>
      <c r="Q1027" s="84" t="n">
        <f aca="false">O1027-P1027</f>
        <v>570</v>
      </c>
      <c r="R1027" s="86" t="n">
        <f aca="false">DATE(YEAR(B1027),MONTH(B1027),1)</f>
        <v>46143</v>
      </c>
      <c r="S1027" s="83" t="str">
        <f aca="false">YEAR(B1027)&amp;"-Q"&amp;ROUNDUP(MONTH(B1027)/3,0)</f>
        <v>2026-Q2</v>
      </c>
      <c r="T1027" s="87" t="n">
        <f aca="false">IF(O1027&gt;0,Q1027/O1027,"")</f>
        <v>0.372549019607843</v>
      </c>
      <c r="U1027" s="84" t="n">
        <f aca="false">IF(O1027&gt;0,O1027,"")</f>
        <v>1530</v>
      </c>
    </row>
    <row r="1028" customFormat="false" ht="15" hidden="false" customHeight="false" outlineLevel="0" collapsed="false">
      <c r="A1028" s="81" t="s">
        <v>1671</v>
      </c>
      <c r="B1028" s="82" t="n">
        <v>46172</v>
      </c>
      <c r="C1028" s="81" t="s">
        <v>239</v>
      </c>
      <c r="D1028" s="83" t="str">
        <f aca="false">IFERROR(INDEX(c_Name,MATCH($C1028,c_ID,0)),"غير معرّف")</f>
        <v>سلمان الحربي</v>
      </c>
      <c r="E1028" s="83" t="str">
        <f aca="false">IFERROR(INDEX(c_Region,MATCH($C1028,c_ID,0)),"غير معرّف")</f>
        <v>الغربية</v>
      </c>
      <c r="F1028" s="81" t="s">
        <v>166</v>
      </c>
      <c r="G1028" s="83" t="str">
        <f aca="false">IFERROR(INDEX(p_Name,MATCH($F1028,p_ID,0)),"غير معرّف")</f>
        <v>سماعات لاسلكية</v>
      </c>
      <c r="H1028" s="83" t="str">
        <f aca="false">IFERROR(INDEX(p_Cat,MATCH($F1028,p_ID,0)),"غير معرّف")</f>
        <v>إلكترونيات</v>
      </c>
      <c r="I1028" s="81" t="s">
        <v>452</v>
      </c>
      <c r="J1028" s="81" t="s">
        <v>93</v>
      </c>
      <c r="K1028" s="81" t="n">
        <v>1</v>
      </c>
      <c r="L1028" s="84" t="n">
        <f aca="false">IFERROR(INDEX(p_Price,MATCH($F1028,p_ID,0)),0)</f>
        <v>450</v>
      </c>
      <c r="M1028" s="85" t="n">
        <v>0.05</v>
      </c>
      <c r="N1028" s="81" t="s">
        <v>644</v>
      </c>
      <c r="O1028" s="84" t="n">
        <f aca="false">IF($N1028="مرتجع",0,K1028*L1028*(1-M1028))</f>
        <v>427.5</v>
      </c>
      <c r="P1028" s="84" t="n">
        <f aca="false">IF($N1028="مرتجع",0,K1028*IFERROR(INDEX(p_Cost,MATCH($F1028,p_ID,0)),0))</f>
        <v>260</v>
      </c>
      <c r="Q1028" s="84" t="n">
        <f aca="false">O1028-P1028</f>
        <v>167.5</v>
      </c>
      <c r="R1028" s="86" t="n">
        <f aca="false">DATE(YEAR(B1028),MONTH(B1028),1)</f>
        <v>46143</v>
      </c>
      <c r="S1028" s="83" t="str">
        <f aca="false">YEAR(B1028)&amp;"-Q"&amp;ROUNDUP(MONTH(B1028)/3,0)</f>
        <v>2026-Q2</v>
      </c>
      <c r="T1028" s="87" t="n">
        <f aca="false">IF(O1028&gt;0,Q1028/O1028,"")</f>
        <v>0.391812865497076</v>
      </c>
      <c r="U1028" s="84" t="n">
        <f aca="false">IF(O1028&gt;0,O1028,"")</f>
        <v>427.5</v>
      </c>
    </row>
    <row r="1029" customFormat="false" ht="15" hidden="false" customHeight="false" outlineLevel="0" collapsed="false">
      <c r="A1029" s="81" t="s">
        <v>1672</v>
      </c>
      <c r="B1029" s="82" t="n">
        <v>46172</v>
      </c>
      <c r="C1029" s="81" t="s">
        <v>273</v>
      </c>
      <c r="D1029" s="83" t="str">
        <f aca="false">IFERROR(INDEX(c_Name,MATCH($C1029,c_ID,0)),"غير معرّف")</f>
        <v>سلمان التميمي</v>
      </c>
      <c r="E1029" s="83" t="str">
        <f aca="false">IFERROR(INDEX(c_Region,MATCH($C1029,c_ID,0)),"غير معرّف")</f>
        <v>الشرقية</v>
      </c>
      <c r="F1029" s="81" t="s">
        <v>169</v>
      </c>
      <c r="G1029" s="83" t="str">
        <f aca="false">IFERROR(INDEX(p_Name,MATCH($F1029,p_ID,0)),"غير معرّف")</f>
        <v>خلاط</v>
      </c>
      <c r="H1029" s="83" t="str">
        <f aca="false">IFERROR(INDEX(p_Cat,MATCH($F1029,p_ID,0)),"غير معرّف")</f>
        <v>أجهزة منزلية</v>
      </c>
      <c r="I1029" s="81" t="s">
        <v>461</v>
      </c>
      <c r="J1029" s="81" t="s">
        <v>93</v>
      </c>
      <c r="K1029" s="81" t="n">
        <v>1</v>
      </c>
      <c r="L1029" s="84" t="n">
        <f aca="false">IFERROR(INDEX(p_Price,MATCH($F1029,p_ID,0)),0)</f>
        <v>300</v>
      </c>
      <c r="M1029" s="85" t="n">
        <v>0</v>
      </c>
      <c r="N1029" s="81" t="s">
        <v>644</v>
      </c>
      <c r="O1029" s="84" t="n">
        <f aca="false">IF($N1029="مرتجع",0,K1029*L1029*(1-M1029))</f>
        <v>300</v>
      </c>
      <c r="P1029" s="84" t="n">
        <f aca="false">IF($N1029="مرتجع",0,K1029*IFERROR(INDEX(p_Cost,MATCH($F1029,p_ID,0)),0))</f>
        <v>175</v>
      </c>
      <c r="Q1029" s="84" t="n">
        <f aca="false">O1029-P1029</f>
        <v>125</v>
      </c>
      <c r="R1029" s="86" t="n">
        <f aca="false">DATE(YEAR(B1029),MONTH(B1029),1)</f>
        <v>46143</v>
      </c>
      <c r="S1029" s="83" t="str">
        <f aca="false">YEAR(B1029)&amp;"-Q"&amp;ROUNDUP(MONTH(B1029)/3,0)</f>
        <v>2026-Q2</v>
      </c>
      <c r="T1029" s="87" t="n">
        <f aca="false">IF(O1029&gt;0,Q1029/O1029,"")</f>
        <v>0.416666666666667</v>
      </c>
      <c r="U1029" s="84" t="n">
        <f aca="false">IF(O1029&gt;0,O1029,"")</f>
        <v>300</v>
      </c>
    </row>
    <row r="1030" customFormat="false" ht="15" hidden="false" customHeight="false" outlineLevel="0" collapsed="false">
      <c r="A1030" s="81" t="s">
        <v>1673</v>
      </c>
      <c r="B1030" s="82" t="n">
        <v>46172</v>
      </c>
      <c r="C1030" s="81" t="s">
        <v>291</v>
      </c>
      <c r="D1030" s="83" t="str">
        <f aca="false">IFERROR(INDEX(c_Name,MATCH($C1030,c_ID,0)),"غير معرّف")</f>
        <v>ياسر الشمري</v>
      </c>
      <c r="E1030" s="83" t="str">
        <f aca="false">IFERROR(INDEX(c_Region,MATCH($C1030,c_ID,0)),"غير معرّف")</f>
        <v>الوسطى</v>
      </c>
      <c r="F1030" s="81" t="s">
        <v>165</v>
      </c>
      <c r="G1030" s="83" t="str">
        <f aca="false">IFERROR(INDEX(p_Name,MATCH($F1030,p_ID,0)),"غير معرّف")</f>
        <v>حاسوب محمول</v>
      </c>
      <c r="H1030" s="83" t="str">
        <f aca="false">IFERROR(INDEX(p_Cat,MATCH($F1030,p_ID,0)),"غير معرّف")</f>
        <v>إلكترونيات</v>
      </c>
      <c r="I1030" s="81" t="s">
        <v>443</v>
      </c>
      <c r="J1030" s="81" t="s">
        <v>91</v>
      </c>
      <c r="K1030" s="81" t="n">
        <v>1</v>
      </c>
      <c r="L1030" s="84" t="n">
        <f aca="false">IFERROR(INDEX(p_Price,MATCH($F1030,p_ID,0)),0)</f>
        <v>3800</v>
      </c>
      <c r="M1030" s="85" t="n">
        <v>0.05</v>
      </c>
      <c r="N1030" s="81" t="s">
        <v>644</v>
      </c>
      <c r="O1030" s="84" t="n">
        <f aca="false">IF($N1030="مرتجع",0,K1030*L1030*(1-M1030))</f>
        <v>3610</v>
      </c>
      <c r="P1030" s="84" t="n">
        <f aca="false">IF($N1030="مرتجع",0,K1030*IFERROR(INDEX(p_Cost,MATCH($F1030,p_ID,0)),0))</f>
        <v>2900</v>
      </c>
      <c r="Q1030" s="84" t="n">
        <f aca="false">O1030-P1030</f>
        <v>710</v>
      </c>
      <c r="R1030" s="86" t="n">
        <f aca="false">DATE(YEAR(B1030),MONTH(B1030),1)</f>
        <v>46143</v>
      </c>
      <c r="S1030" s="83" t="str">
        <f aca="false">YEAR(B1030)&amp;"-Q"&amp;ROUNDUP(MONTH(B1030)/3,0)</f>
        <v>2026-Q2</v>
      </c>
      <c r="T1030" s="87" t="n">
        <f aca="false">IF(O1030&gt;0,Q1030/O1030,"")</f>
        <v>0.196675900277008</v>
      </c>
      <c r="U1030" s="84" t="n">
        <f aca="false">IF(O1030&gt;0,O1030,"")</f>
        <v>3610</v>
      </c>
    </row>
    <row r="1031" customFormat="false" ht="15" hidden="false" customHeight="false" outlineLevel="0" collapsed="false">
      <c r="A1031" s="81" t="s">
        <v>1674</v>
      </c>
      <c r="B1031" s="82" t="n">
        <v>46172</v>
      </c>
      <c r="C1031" s="81" t="s">
        <v>287</v>
      </c>
      <c r="D1031" s="83" t="str">
        <f aca="false">IFERROR(INDEX(c_Name,MATCH($C1031,c_ID,0)),"غير معرّف")</f>
        <v>محمد الشهري</v>
      </c>
      <c r="E1031" s="83" t="str">
        <f aca="false">IFERROR(INDEX(c_Region,MATCH($C1031,c_ID,0)),"غير معرّف")</f>
        <v>الغربية</v>
      </c>
      <c r="F1031" s="81" t="s">
        <v>169</v>
      </c>
      <c r="G1031" s="83" t="str">
        <f aca="false">IFERROR(INDEX(p_Name,MATCH($F1031,p_ID,0)),"غير معرّف")</f>
        <v>خلاط</v>
      </c>
      <c r="H1031" s="83" t="str">
        <f aca="false">IFERROR(INDEX(p_Cat,MATCH($F1031,p_ID,0)),"غير معرّف")</f>
        <v>أجهزة منزلية</v>
      </c>
      <c r="I1031" s="81" t="s">
        <v>458</v>
      </c>
      <c r="J1031" s="81" t="s">
        <v>93</v>
      </c>
      <c r="K1031" s="81" t="n">
        <v>6</v>
      </c>
      <c r="L1031" s="84" t="n">
        <f aca="false">IFERROR(INDEX(p_Price,MATCH($F1031,p_ID,0)),0)</f>
        <v>300</v>
      </c>
      <c r="M1031" s="85" t="n">
        <v>0</v>
      </c>
      <c r="N1031" s="81" t="s">
        <v>644</v>
      </c>
      <c r="O1031" s="84" t="n">
        <f aca="false">IF($N1031="مرتجع",0,K1031*L1031*(1-M1031))</f>
        <v>1800</v>
      </c>
      <c r="P1031" s="84" t="n">
        <f aca="false">IF($N1031="مرتجع",0,K1031*IFERROR(INDEX(p_Cost,MATCH($F1031,p_ID,0)),0))</f>
        <v>1050</v>
      </c>
      <c r="Q1031" s="84" t="n">
        <f aca="false">O1031-P1031</f>
        <v>750</v>
      </c>
      <c r="R1031" s="86" t="n">
        <f aca="false">DATE(YEAR(B1031),MONTH(B1031),1)</f>
        <v>46143</v>
      </c>
      <c r="S1031" s="83" t="str">
        <f aca="false">YEAR(B1031)&amp;"-Q"&amp;ROUNDUP(MONTH(B1031)/3,0)</f>
        <v>2026-Q2</v>
      </c>
      <c r="T1031" s="87" t="n">
        <f aca="false">IF(O1031&gt;0,Q1031/O1031,"")</f>
        <v>0.416666666666667</v>
      </c>
      <c r="U1031" s="84" t="n">
        <f aca="false">IF(O1031&gt;0,O1031,"")</f>
        <v>1800</v>
      </c>
    </row>
    <row r="1032" customFormat="false" ht="15" hidden="false" customHeight="false" outlineLevel="0" collapsed="false">
      <c r="A1032" s="81" t="s">
        <v>1675</v>
      </c>
      <c r="B1032" s="82" t="n">
        <v>46173</v>
      </c>
      <c r="C1032" s="81" t="s">
        <v>295</v>
      </c>
      <c r="D1032" s="83" t="str">
        <f aca="false">IFERROR(INDEX(c_Name,MATCH($C1032,c_ID,0)),"غير معرّف")</f>
        <v>عبير الزهراني</v>
      </c>
      <c r="E1032" s="83" t="str">
        <f aca="false">IFERROR(INDEX(c_Region,MATCH($C1032,c_ID,0)),"غير معرّف")</f>
        <v>الوسطى</v>
      </c>
      <c r="F1032" s="81" t="s">
        <v>178</v>
      </c>
      <c r="G1032" s="83" t="str">
        <f aca="false">IFERROR(INDEX(p_Name,MATCH($F1032,p_ID,0)),"غير معرّف")</f>
        <v>حقيبة لابتوب</v>
      </c>
      <c r="H1032" s="83" t="str">
        <f aca="false">IFERROR(INDEX(p_Cat,MATCH($F1032,p_ID,0)),"غير معرّف")</f>
        <v>مستلزمات مكتبية</v>
      </c>
      <c r="I1032" s="81" t="s">
        <v>446</v>
      </c>
      <c r="J1032" s="81" t="s">
        <v>93</v>
      </c>
      <c r="K1032" s="81" t="n">
        <v>4</v>
      </c>
      <c r="L1032" s="84" t="n">
        <f aca="false">IFERROR(INDEX(p_Price,MATCH($F1032,p_ID,0)),0)</f>
        <v>260</v>
      </c>
      <c r="M1032" s="85" t="n">
        <v>0.05</v>
      </c>
      <c r="N1032" s="81" t="s">
        <v>644</v>
      </c>
      <c r="O1032" s="84" t="n">
        <f aca="false">IF($N1032="مرتجع",0,K1032*L1032*(1-M1032))</f>
        <v>988</v>
      </c>
      <c r="P1032" s="84" t="n">
        <f aca="false">IF($N1032="مرتجع",0,K1032*IFERROR(INDEX(p_Cost,MATCH($F1032,p_ID,0)),0))</f>
        <v>480</v>
      </c>
      <c r="Q1032" s="84" t="n">
        <f aca="false">O1032-P1032</f>
        <v>508</v>
      </c>
      <c r="R1032" s="86" t="n">
        <f aca="false">DATE(YEAR(B1032),MONTH(B1032),1)</f>
        <v>46143</v>
      </c>
      <c r="S1032" s="83" t="str">
        <f aca="false">YEAR(B1032)&amp;"-Q"&amp;ROUNDUP(MONTH(B1032)/3,0)</f>
        <v>2026-Q2</v>
      </c>
      <c r="T1032" s="87" t="n">
        <f aca="false">IF(O1032&gt;0,Q1032/O1032,"")</f>
        <v>0.51417004048583</v>
      </c>
      <c r="U1032" s="84" t="n">
        <f aca="false">IF(O1032&gt;0,O1032,"")</f>
        <v>988</v>
      </c>
    </row>
    <row r="1033" customFormat="false" ht="15" hidden="false" customHeight="false" outlineLevel="0" collapsed="false">
      <c r="A1033" s="81" t="s">
        <v>1676</v>
      </c>
      <c r="B1033" s="82" t="n">
        <v>46173</v>
      </c>
      <c r="C1033" s="81" t="s">
        <v>406</v>
      </c>
      <c r="D1033" s="83" t="str">
        <f aca="false">IFERROR(INDEX(c_Name,MATCH($C1033,c_ID,0)),"غير معرّف")</f>
        <v>نورة الشهري</v>
      </c>
      <c r="E1033" s="83" t="str">
        <f aca="false">IFERROR(INDEX(c_Region,MATCH($C1033,c_ID,0)),"غير معرّف")</f>
        <v>الجنوبية</v>
      </c>
      <c r="F1033" s="81" t="s">
        <v>183</v>
      </c>
      <c r="G1033" s="83" t="str">
        <f aca="false">IFERROR(INDEX(p_Name,MATCH($F1033,p_ID,0)),"غير معرّف")</f>
        <v>سجادة يوغا</v>
      </c>
      <c r="H1033" s="83" t="str">
        <f aca="false">IFERROR(INDEX(p_Cat,MATCH($F1033,p_ID,0)),"غير معرّف")</f>
        <v>رياضة</v>
      </c>
      <c r="I1033" s="81" t="s">
        <v>467</v>
      </c>
      <c r="J1033" s="81" t="s">
        <v>95</v>
      </c>
      <c r="K1033" s="81" t="n">
        <v>14</v>
      </c>
      <c r="L1033" s="84" t="n">
        <f aca="false">IFERROR(INDEX(p_Price,MATCH($F1033,p_ID,0)),0)</f>
        <v>120</v>
      </c>
      <c r="M1033" s="85" t="n">
        <v>0.05</v>
      </c>
      <c r="N1033" s="81" t="s">
        <v>644</v>
      </c>
      <c r="O1033" s="84" t="n">
        <f aca="false">IF($N1033="مرتجع",0,K1033*L1033*(1-M1033))</f>
        <v>1596</v>
      </c>
      <c r="P1033" s="84" t="n">
        <f aca="false">IF($N1033="مرتجع",0,K1033*IFERROR(INDEX(p_Cost,MATCH($F1033,p_ID,0)),0))</f>
        <v>700</v>
      </c>
      <c r="Q1033" s="84" t="n">
        <f aca="false">O1033-P1033</f>
        <v>896</v>
      </c>
      <c r="R1033" s="86" t="n">
        <f aca="false">DATE(YEAR(B1033),MONTH(B1033),1)</f>
        <v>46143</v>
      </c>
      <c r="S1033" s="83" t="str">
        <f aca="false">YEAR(B1033)&amp;"-Q"&amp;ROUNDUP(MONTH(B1033)/3,0)</f>
        <v>2026-Q2</v>
      </c>
      <c r="T1033" s="87" t="n">
        <f aca="false">IF(O1033&gt;0,Q1033/O1033,"")</f>
        <v>0.56140350877193</v>
      </c>
      <c r="U1033" s="84" t="n">
        <f aca="false">IF(O1033&gt;0,O1033,"")</f>
        <v>1596</v>
      </c>
    </row>
    <row r="1034" customFormat="false" ht="15" hidden="false" customHeight="false" outlineLevel="0" collapsed="false">
      <c r="A1034" s="81" t="s">
        <v>1677</v>
      </c>
      <c r="B1034" s="82" t="n">
        <v>46173</v>
      </c>
      <c r="C1034" s="81" t="s">
        <v>256</v>
      </c>
      <c r="D1034" s="83" t="str">
        <f aca="false">IFERROR(INDEX(c_Name,MATCH($C1034,c_ID,0)),"غير معرّف")</f>
        <v>فهد البلوي</v>
      </c>
      <c r="E1034" s="83" t="str">
        <f aca="false">IFERROR(INDEX(c_Region,MATCH($C1034,c_ID,0)),"غير معرّف")</f>
        <v>الجنوبية</v>
      </c>
      <c r="F1034" s="81" t="s">
        <v>170</v>
      </c>
      <c r="G1034" s="83" t="str">
        <f aca="false">IFERROR(INDEX(p_Name,MATCH($F1034,p_ID,0)),"غير معرّف")</f>
        <v>مكيف نقال</v>
      </c>
      <c r="H1034" s="83" t="str">
        <f aca="false">IFERROR(INDEX(p_Cat,MATCH($F1034,p_ID,0)),"غير معرّف")</f>
        <v>أجهزة منزلية</v>
      </c>
      <c r="I1034" s="81" t="s">
        <v>467</v>
      </c>
      <c r="J1034" s="81" t="s">
        <v>91</v>
      </c>
      <c r="K1034" s="81" t="n">
        <v>1</v>
      </c>
      <c r="L1034" s="84" t="n">
        <f aca="false">IFERROR(INDEX(p_Price,MATCH($F1034,p_ID,0)),0)</f>
        <v>1900</v>
      </c>
      <c r="M1034" s="85" t="n">
        <v>0.05</v>
      </c>
      <c r="N1034" s="81" t="s">
        <v>644</v>
      </c>
      <c r="O1034" s="84" t="n">
        <f aca="false">IF($N1034="مرتجع",0,K1034*L1034*(1-M1034))</f>
        <v>1805</v>
      </c>
      <c r="P1034" s="84" t="n">
        <f aca="false">IF($N1034="مرتجع",0,K1034*IFERROR(INDEX(p_Cost,MATCH($F1034,p_ID,0)),0))</f>
        <v>1350</v>
      </c>
      <c r="Q1034" s="84" t="n">
        <f aca="false">O1034-P1034</f>
        <v>455</v>
      </c>
      <c r="R1034" s="86" t="n">
        <f aca="false">DATE(YEAR(B1034),MONTH(B1034),1)</f>
        <v>46143</v>
      </c>
      <c r="S1034" s="83" t="str">
        <f aca="false">YEAR(B1034)&amp;"-Q"&amp;ROUNDUP(MONTH(B1034)/3,0)</f>
        <v>2026-Q2</v>
      </c>
      <c r="T1034" s="87" t="n">
        <f aca="false">IF(O1034&gt;0,Q1034/O1034,"")</f>
        <v>0.25207756232687</v>
      </c>
      <c r="U1034" s="84" t="n">
        <f aca="false">IF(O1034&gt;0,O1034,"")</f>
        <v>1805</v>
      </c>
    </row>
    <row r="1035" customFormat="false" ht="15" hidden="false" customHeight="false" outlineLevel="0" collapsed="false">
      <c r="A1035" s="81" t="s">
        <v>1678</v>
      </c>
      <c r="B1035" s="82" t="n">
        <v>46173</v>
      </c>
      <c r="C1035" s="81" t="s">
        <v>275</v>
      </c>
      <c r="D1035" s="83" t="str">
        <f aca="false">IFERROR(INDEX(c_Name,MATCH($C1035,c_ID,0)),"غير معرّف")</f>
        <v>طارق البلوي</v>
      </c>
      <c r="E1035" s="83" t="str">
        <f aca="false">IFERROR(INDEX(c_Region,MATCH($C1035,c_ID,0)),"غير معرّف")</f>
        <v>الشرقية</v>
      </c>
      <c r="F1035" s="81" t="s">
        <v>187</v>
      </c>
      <c r="G1035" s="83" t="str">
        <f aca="false">IFERROR(INDEX(p_Name,MATCH($F1035,p_ID,0)),"غير معرّف")</f>
        <v>جهاز تدليك</v>
      </c>
      <c r="H1035" s="83" t="str">
        <f aca="false">IFERROR(INDEX(p_Cat,MATCH($F1035,p_ID,0)),"غير معرّف")</f>
        <v>عناية شخصية</v>
      </c>
      <c r="I1035" s="81" t="s">
        <v>463</v>
      </c>
      <c r="J1035" s="81" t="s">
        <v>91</v>
      </c>
      <c r="K1035" s="81" t="n">
        <v>6</v>
      </c>
      <c r="L1035" s="84" t="n">
        <f aca="false">IFERROR(INDEX(p_Price,MATCH($F1035,p_ID,0)),0)</f>
        <v>600</v>
      </c>
      <c r="M1035" s="85" t="n">
        <v>0.05</v>
      </c>
      <c r="N1035" s="81" t="s">
        <v>644</v>
      </c>
      <c r="O1035" s="84" t="n">
        <f aca="false">IF($N1035="مرتجع",0,K1035*L1035*(1-M1035))</f>
        <v>3420</v>
      </c>
      <c r="P1035" s="84" t="n">
        <f aca="false">IF($N1035="مرتجع",0,K1035*IFERROR(INDEX(p_Cost,MATCH($F1035,p_ID,0)),0))</f>
        <v>1980</v>
      </c>
      <c r="Q1035" s="84" t="n">
        <f aca="false">O1035-P1035</f>
        <v>1440</v>
      </c>
      <c r="R1035" s="86" t="n">
        <f aca="false">DATE(YEAR(B1035),MONTH(B1035),1)</f>
        <v>46143</v>
      </c>
      <c r="S1035" s="83" t="str">
        <f aca="false">YEAR(B1035)&amp;"-Q"&amp;ROUNDUP(MONTH(B1035)/3,0)</f>
        <v>2026-Q2</v>
      </c>
      <c r="T1035" s="87" t="n">
        <f aca="false">IF(O1035&gt;0,Q1035/O1035,"")</f>
        <v>0.421052631578947</v>
      </c>
      <c r="U1035" s="84" t="n">
        <f aca="false">IF(O1035&gt;0,O1035,"")</f>
        <v>3420</v>
      </c>
    </row>
    <row r="1036" customFormat="false" ht="15" hidden="false" customHeight="false" outlineLevel="0" collapsed="false">
      <c r="A1036" s="81" t="s">
        <v>1679</v>
      </c>
      <c r="B1036" s="82" t="n">
        <v>46174</v>
      </c>
      <c r="C1036" s="81" t="s">
        <v>345</v>
      </c>
      <c r="D1036" s="83" t="str">
        <f aca="false">IFERROR(INDEX(c_Name,MATCH($C1036,c_ID,0)),"غير معرّف")</f>
        <v>عبدالله العنزي</v>
      </c>
      <c r="E1036" s="83" t="str">
        <f aca="false">IFERROR(INDEX(c_Region,MATCH($C1036,c_ID,0)),"غير معرّف")</f>
        <v>الغربية</v>
      </c>
      <c r="F1036" s="81" t="s">
        <v>186</v>
      </c>
      <c r="G1036" s="83" t="str">
        <f aca="false">IFERROR(INDEX(p_Name,MATCH($F1036,p_ID,0)),"غير معرّف")</f>
        <v>مجفف شعر</v>
      </c>
      <c r="H1036" s="83" t="str">
        <f aca="false">IFERROR(INDEX(p_Cat,MATCH($F1036,p_ID,0)),"غير معرّف")</f>
        <v>عناية شخصية</v>
      </c>
      <c r="I1036" s="81" t="s">
        <v>452</v>
      </c>
      <c r="J1036" s="81" t="s">
        <v>93</v>
      </c>
      <c r="K1036" s="81" t="n">
        <v>1</v>
      </c>
      <c r="L1036" s="84" t="n">
        <f aca="false">IFERROR(INDEX(p_Price,MATCH($F1036,p_ID,0)),0)</f>
        <v>280</v>
      </c>
      <c r="M1036" s="85" t="n">
        <v>0</v>
      </c>
      <c r="N1036" s="81" t="s">
        <v>644</v>
      </c>
      <c r="O1036" s="84" t="n">
        <f aca="false">IF($N1036="مرتجع",0,K1036*L1036*(1-M1036))</f>
        <v>280</v>
      </c>
      <c r="P1036" s="84" t="n">
        <f aca="false">IF($N1036="مرتجع",0,K1036*IFERROR(INDEX(p_Cost,MATCH($F1036,p_ID,0)),0))</f>
        <v>140</v>
      </c>
      <c r="Q1036" s="84" t="n">
        <f aca="false">O1036-P1036</f>
        <v>140</v>
      </c>
      <c r="R1036" s="86" t="n">
        <f aca="false">DATE(YEAR(B1036),MONTH(B1036),1)</f>
        <v>46174</v>
      </c>
      <c r="S1036" s="83" t="str">
        <f aca="false">YEAR(B1036)&amp;"-Q"&amp;ROUNDUP(MONTH(B1036)/3,0)</f>
        <v>2026-Q2</v>
      </c>
      <c r="T1036" s="87" t="n">
        <f aca="false">IF(O1036&gt;0,Q1036/O1036,"")</f>
        <v>0.5</v>
      </c>
      <c r="U1036" s="84" t="n">
        <f aca="false">IF(O1036&gt;0,O1036,"")</f>
        <v>280</v>
      </c>
    </row>
    <row r="1037" customFormat="false" ht="15" hidden="false" customHeight="false" outlineLevel="0" collapsed="false">
      <c r="A1037" s="81" t="s">
        <v>1680</v>
      </c>
      <c r="B1037" s="82" t="n">
        <v>46174</v>
      </c>
      <c r="C1037" s="81" t="s">
        <v>291</v>
      </c>
      <c r="D1037" s="83" t="str">
        <f aca="false">IFERROR(INDEX(c_Name,MATCH($C1037,c_ID,0)),"غير معرّف")</f>
        <v>ياسر الشمري</v>
      </c>
      <c r="E1037" s="83" t="str">
        <f aca="false">IFERROR(INDEX(c_Region,MATCH($C1037,c_ID,0)),"غير معرّف")</f>
        <v>الوسطى</v>
      </c>
      <c r="F1037" s="81" t="s">
        <v>185</v>
      </c>
      <c r="G1037" s="83" t="str">
        <f aca="false">IFERROR(INDEX(p_Name,MATCH($F1037,p_ID,0)),"غير معرّف")</f>
        <v>ماكينة حلاقة</v>
      </c>
      <c r="H1037" s="83" t="str">
        <f aca="false">IFERROR(INDEX(p_Cat,MATCH($F1037,p_ID,0)),"غير معرّف")</f>
        <v>عناية شخصية</v>
      </c>
      <c r="I1037" s="81" t="s">
        <v>446</v>
      </c>
      <c r="J1037" s="81" t="s">
        <v>91</v>
      </c>
      <c r="K1037" s="81" t="n">
        <v>3</v>
      </c>
      <c r="L1037" s="84" t="n">
        <f aca="false">IFERROR(INDEX(p_Price,MATCH($F1037,p_ID,0)),0)</f>
        <v>340</v>
      </c>
      <c r="M1037" s="85" t="n">
        <v>0</v>
      </c>
      <c r="N1037" s="81" t="s">
        <v>644</v>
      </c>
      <c r="O1037" s="84" t="n">
        <f aca="false">IF($N1037="مرتجع",0,K1037*L1037*(1-M1037))</f>
        <v>1020</v>
      </c>
      <c r="P1037" s="84" t="n">
        <f aca="false">IF($N1037="مرتجع",0,K1037*IFERROR(INDEX(p_Cost,MATCH($F1037,p_ID,0)),0))</f>
        <v>510</v>
      </c>
      <c r="Q1037" s="84" t="n">
        <f aca="false">O1037-P1037</f>
        <v>510</v>
      </c>
      <c r="R1037" s="86" t="n">
        <f aca="false">DATE(YEAR(B1037),MONTH(B1037),1)</f>
        <v>46174</v>
      </c>
      <c r="S1037" s="83" t="str">
        <f aca="false">YEAR(B1037)&amp;"-Q"&amp;ROUNDUP(MONTH(B1037)/3,0)</f>
        <v>2026-Q2</v>
      </c>
      <c r="T1037" s="87" t="n">
        <f aca="false">IF(O1037&gt;0,Q1037/O1037,"")</f>
        <v>0.5</v>
      </c>
      <c r="U1037" s="84" t="n">
        <f aca="false">IF(O1037&gt;0,O1037,"")</f>
        <v>1020</v>
      </c>
    </row>
    <row r="1038" customFormat="false" ht="15" hidden="false" customHeight="false" outlineLevel="0" collapsed="false">
      <c r="A1038" s="81" t="s">
        <v>1681</v>
      </c>
      <c r="B1038" s="82" t="n">
        <v>46175</v>
      </c>
      <c r="C1038" s="81" t="s">
        <v>403</v>
      </c>
      <c r="D1038" s="83" t="str">
        <f aca="false">IFERROR(INDEX(c_Name,MATCH($C1038,c_ID,0)),"غير معرّف")</f>
        <v>ياسر المطيري</v>
      </c>
      <c r="E1038" s="83" t="str">
        <f aca="false">IFERROR(INDEX(c_Region,MATCH($C1038,c_ID,0)),"غير معرّف")</f>
        <v>الجنوبية</v>
      </c>
      <c r="F1038" s="81" t="s">
        <v>182</v>
      </c>
      <c r="G1038" s="83" t="str">
        <f aca="false">IFERROR(INDEX(p_Name,MATCH($F1038,p_ID,0)),"غير معرّف")</f>
        <v>طقم أوزان</v>
      </c>
      <c r="H1038" s="83" t="str">
        <f aca="false">IFERROR(INDEX(p_Cat,MATCH($F1038,p_ID,0)),"غير معرّف")</f>
        <v>رياضة</v>
      </c>
      <c r="I1038" s="81" t="s">
        <v>467</v>
      </c>
      <c r="J1038" s="81" t="s">
        <v>93</v>
      </c>
      <c r="K1038" s="81" t="n">
        <v>2</v>
      </c>
      <c r="L1038" s="84" t="n">
        <f aca="false">IFERROR(INDEX(p_Price,MATCH($F1038,p_ID,0)),0)</f>
        <v>380</v>
      </c>
      <c r="M1038" s="85" t="n">
        <v>0.15</v>
      </c>
      <c r="N1038" s="81" t="s">
        <v>644</v>
      </c>
      <c r="O1038" s="84" t="n">
        <f aca="false">IF($N1038="مرتجع",0,K1038*L1038*(1-M1038))</f>
        <v>646</v>
      </c>
      <c r="P1038" s="84" t="n">
        <f aca="false">IF($N1038="مرتجع",0,K1038*IFERROR(INDEX(p_Cost,MATCH($F1038,p_ID,0)),0))</f>
        <v>420</v>
      </c>
      <c r="Q1038" s="84" t="n">
        <f aca="false">O1038-P1038</f>
        <v>226</v>
      </c>
      <c r="R1038" s="86" t="n">
        <f aca="false">DATE(YEAR(B1038),MONTH(B1038),1)</f>
        <v>46174</v>
      </c>
      <c r="S1038" s="83" t="str">
        <f aca="false">YEAR(B1038)&amp;"-Q"&amp;ROUNDUP(MONTH(B1038)/3,0)</f>
        <v>2026-Q2</v>
      </c>
      <c r="T1038" s="87" t="n">
        <f aca="false">IF(O1038&gt;0,Q1038/O1038,"")</f>
        <v>0.34984520123839</v>
      </c>
      <c r="U1038" s="84" t="n">
        <f aca="false">IF(O1038&gt;0,O1038,"")</f>
        <v>646</v>
      </c>
    </row>
    <row r="1039" customFormat="false" ht="15" hidden="false" customHeight="false" outlineLevel="0" collapsed="false">
      <c r="A1039" s="81" t="s">
        <v>1682</v>
      </c>
      <c r="B1039" s="82" t="n">
        <v>46175</v>
      </c>
      <c r="C1039" s="81" t="s">
        <v>341</v>
      </c>
      <c r="D1039" s="83" t="str">
        <f aca="false">IFERROR(INDEX(c_Name,MATCH($C1039,c_ID,0)),"غير معرّف")</f>
        <v>منى الحسيني</v>
      </c>
      <c r="E1039" s="83" t="str">
        <f aca="false">IFERROR(INDEX(c_Region,MATCH($C1039,c_ID,0)),"غير معرّف")</f>
        <v>الجنوبية</v>
      </c>
      <c r="F1039" s="81" t="s">
        <v>170</v>
      </c>
      <c r="G1039" s="83" t="str">
        <f aca="false">IFERROR(INDEX(p_Name,MATCH($F1039,p_ID,0)),"غير معرّف")</f>
        <v>مكيف نقال</v>
      </c>
      <c r="H1039" s="83" t="str">
        <f aca="false">IFERROR(INDEX(p_Cat,MATCH($F1039,p_ID,0)),"غير معرّف")</f>
        <v>أجهزة منزلية</v>
      </c>
      <c r="I1039" s="81" t="s">
        <v>467</v>
      </c>
      <c r="J1039" s="81" t="s">
        <v>93</v>
      </c>
      <c r="K1039" s="81" t="n">
        <v>1</v>
      </c>
      <c r="L1039" s="84" t="n">
        <f aca="false">IFERROR(INDEX(p_Price,MATCH($F1039,p_ID,0)),0)</f>
        <v>1900</v>
      </c>
      <c r="M1039" s="85" t="n">
        <v>0.05</v>
      </c>
      <c r="N1039" s="81" t="s">
        <v>644</v>
      </c>
      <c r="O1039" s="84" t="n">
        <f aca="false">IF($N1039="مرتجع",0,K1039*L1039*(1-M1039))</f>
        <v>1805</v>
      </c>
      <c r="P1039" s="84" t="n">
        <f aca="false">IF($N1039="مرتجع",0,K1039*IFERROR(INDEX(p_Cost,MATCH($F1039,p_ID,0)),0))</f>
        <v>1350</v>
      </c>
      <c r="Q1039" s="84" t="n">
        <f aca="false">O1039-P1039</f>
        <v>455</v>
      </c>
      <c r="R1039" s="86" t="n">
        <f aca="false">DATE(YEAR(B1039),MONTH(B1039),1)</f>
        <v>46174</v>
      </c>
      <c r="S1039" s="83" t="str">
        <f aca="false">YEAR(B1039)&amp;"-Q"&amp;ROUNDUP(MONTH(B1039)/3,0)</f>
        <v>2026-Q2</v>
      </c>
      <c r="T1039" s="87" t="n">
        <f aca="false">IF(O1039&gt;0,Q1039/O1039,"")</f>
        <v>0.25207756232687</v>
      </c>
      <c r="U1039" s="84" t="n">
        <f aca="false">IF(O1039&gt;0,O1039,"")</f>
        <v>1805</v>
      </c>
    </row>
    <row r="1040" customFormat="false" ht="15" hidden="false" customHeight="false" outlineLevel="0" collapsed="false">
      <c r="A1040" s="81" t="s">
        <v>1683</v>
      </c>
      <c r="B1040" s="82" t="n">
        <v>46175</v>
      </c>
      <c r="C1040" s="81" t="s">
        <v>275</v>
      </c>
      <c r="D1040" s="83" t="str">
        <f aca="false">IFERROR(INDEX(c_Name,MATCH($C1040,c_ID,0)),"غير معرّف")</f>
        <v>طارق البلوي</v>
      </c>
      <c r="E1040" s="83" t="str">
        <f aca="false">IFERROR(INDEX(c_Region,MATCH($C1040,c_ID,0)),"غير معرّف")</f>
        <v>الشرقية</v>
      </c>
      <c r="F1040" s="81" t="s">
        <v>184</v>
      </c>
      <c r="G1040" s="83" t="str">
        <f aca="false">IFERROR(INDEX(p_Name,MATCH($F1040,p_ID,0)),"غير معرّف")</f>
        <v>عطر فاخر</v>
      </c>
      <c r="H1040" s="83" t="str">
        <f aca="false">IFERROR(INDEX(p_Cat,MATCH($F1040,p_ID,0)),"غير معرّف")</f>
        <v>عناية شخصية</v>
      </c>
      <c r="I1040" s="81" t="s">
        <v>463</v>
      </c>
      <c r="J1040" s="81" t="s">
        <v>93</v>
      </c>
      <c r="K1040" s="81" t="n">
        <v>1</v>
      </c>
      <c r="L1040" s="84" t="n">
        <f aca="false">IFERROR(INDEX(p_Price,MATCH($F1040,p_ID,0)),0)</f>
        <v>520</v>
      </c>
      <c r="M1040" s="85" t="n">
        <v>0.15</v>
      </c>
      <c r="N1040" s="81" t="s">
        <v>644</v>
      </c>
      <c r="O1040" s="84" t="n">
        <f aca="false">IF($N1040="مرتجع",0,K1040*L1040*(1-M1040))</f>
        <v>442</v>
      </c>
      <c r="P1040" s="84" t="n">
        <f aca="false">IF($N1040="مرتجع",0,K1040*IFERROR(INDEX(p_Cost,MATCH($F1040,p_ID,0)),0))</f>
        <v>210</v>
      </c>
      <c r="Q1040" s="84" t="n">
        <f aca="false">O1040-P1040</f>
        <v>232</v>
      </c>
      <c r="R1040" s="86" t="n">
        <f aca="false">DATE(YEAR(B1040),MONTH(B1040),1)</f>
        <v>46174</v>
      </c>
      <c r="S1040" s="83" t="str">
        <f aca="false">YEAR(B1040)&amp;"-Q"&amp;ROUNDUP(MONTH(B1040)/3,0)</f>
        <v>2026-Q2</v>
      </c>
      <c r="T1040" s="87" t="n">
        <f aca="false">IF(O1040&gt;0,Q1040/O1040,"")</f>
        <v>0.524886877828054</v>
      </c>
      <c r="U1040" s="84" t="n">
        <f aca="false">IF(O1040&gt;0,O1040,"")</f>
        <v>442</v>
      </c>
    </row>
    <row r="1041" customFormat="false" ht="15" hidden="false" customHeight="false" outlineLevel="0" collapsed="false">
      <c r="A1041" s="81" t="s">
        <v>1684</v>
      </c>
      <c r="B1041" s="82" t="n">
        <v>46175</v>
      </c>
      <c r="C1041" s="81" t="s">
        <v>380</v>
      </c>
      <c r="D1041" s="83" t="str">
        <f aca="false">IFERROR(INDEX(c_Name,MATCH($C1041,c_ID,0)),"غير معرّف")</f>
        <v>عبدالله الغامدي</v>
      </c>
      <c r="E1041" s="83" t="str">
        <f aca="false">IFERROR(INDEX(c_Region,MATCH($C1041,c_ID,0)),"غير معرّف")</f>
        <v>الوسطى</v>
      </c>
      <c r="F1041" s="81" t="s">
        <v>186</v>
      </c>
      <c r="G1041" s="83" t="str">
        <f aca="false">IFERROR(INDEX(p_Name,MATCH($F1041,p_ID,0)),"غير معرّف")</f>
        <v>مجفف شعر</v>
      </c>
      <c r="H1041" s="83" t="str">
        <f aca="false">IFERROR(INDEX(p_Cat,MATCH($F1041,p_ID,0)),"غير معرّف")</f>
        <v>عناية شخصية</v>
      </c>
      <c r="I1041" s="81" t="s">
        <v>446</v>
      </c>
      <c r="J1041" s="81" t="s">
        <v>91</v>
      </c>
      <c r="K1041" s="81" t="n">
        <v>1</v>
      </c>
      <c r="L1041" s="84" t="n">
        <f aca="false">IFERROR(INDEX(p_Price,MATCH($F1041,p_ID,0)),0)</f>
        <v>280</v>
      </c>
      <c r="M1041" s="85" t="n">
        <v>0</v>
      </c>
      <c r="N1041" s="81" t="s">
        <v>644</v>
      </c>
      <c r="O1041" s="84" t="n">
        <f aca="false">IF($N1041="مرتجع",0,K1041*L1041*(1-M1041))</f>
        <v>280</v>
      </c>
      <c r="P1041" s="84" t="n">
        <f aca="false">IF($N1041="مرتجع",0,K1041*IFERROR(INDEX(p_Cost,MATCH($F1041,p_ID,0)),0))</f>
        <v>140</v>
      </c>
      <c r="Q1041" s="84" t="n">
        <f aca="false">O1041-P1041</f>
        <v>140</v>
      </c>
      <c r="R1041" s="86" t="n">
        <f aca="false">DATE(YEAR(B1041),MONTH(B1041),1)</f>
        <v>46174</v>
      </c>
      <c r="S1041" s="83" t="str">
        <f aca="false">YEAR(B1041)&amp;"-Q"&amp;ROUNDUP(MONTH(B1041)/3,0)</f>
        <v>2026-Q2</v>
      </c>
      <c r="T1041" s="87" t="n">
        <f aca="false">IF(O1041&gt;0,Q1041/O1041,"")</f>
        <v>0.5</v>
      </c>
      <c r="U1041" s="84" t="n">
        <f aca="false">IF(O1041&gt;0,O1041,"")</f>
        <v>280</v>
      </c>
    </row>
    <row r="1042" customFormat="false" ht="15" hidden="false" customHeight="false" outlineLevel="0" collapsed="false">
      <c r="A1042" s="81" t="s">
        <v>1685</v>
      </c>
      <c r="B1042" s="82" t="n">
        <v>46175</v>
      </c>
      <c r="C1042" s="81" t="s">
        <v>282</v>
      </c>
      <c r="D1042" s="83" t="str">
        <f aca="false">IFERROR(INDEX(c_Name,MATCH($C1042,c_ID,0)),"غير معرّف")</f>
        <v>لمى المطيري</v>
      </c>
      <c r="E1042" s="83" t="str">
        <f aca="false">IFERROR(INDEX(c_Region,MATCH($C1042,c_ID,0)),"غير معرّف")</f>
        <v>الوسطى</v>
      </c>
      <c r="F1042" s="81" t="s">
        <v>171</v>
      </c>
      <c r="G1042" s="83" t="str">
        <f aca="false">IFERROR(INDEX(p_Name,MATCH($F1042,p_ID,0)),"غير معرّف")</f>
        <v>قلاية هوائية</v>
      </c>
      <c r="H1042" s="83" t="str">
        <f aca="false">IFERROR(INDEX(p_Cat,MATCH($F1042,p_ID,0)),"غير معرّف")</f>
        <v>أجهزة منزلية</v>
      </c>
      <c r="I1042" s="81" t="s">
        <v>449</v>
      </c>
      <c r="J1042" s="81" t="s">
        <v>91</v>
      </c>
      <c r="K1042" s="81" t="n">
        <v>8</v>
      </c>
      <c r="L1042" s="84" t="n">
        <f aca="false">IFERROR(INDEX(p_Price,MATCH($F1042,p_ID,0)),0)</f>
        <v>520</v>
      </c>
      <c r="M1042" s="85" t="n">
        <v>0.1</v>
      </c>
      <c r="N1042" s="81" t="s">
        <v>644</v>
      </c>
      <c r="O1042" s="84" t="n">
        <f aca="false">IF($N1042="مرتجع",0,K1042*L1042*(1-M1042))</f>
        <v>3744</v>
      </c>
      <c r="P1042" s="84" t="n">
        <f aca="false">IF($N1042="مرتجع",0,K1042*IFERROR(INDEX(p_Cost,MATCH($F1042,p_ID,0)),0))</f>
        <v>2400</v>
      </c>
      <c r="Q1042" s="84" t="n">
        <f aca="false">O1042-P1042</f>
        <v>1344</v>
      </c>
      <c r="R1042" s="86" t="n">
        <f aca="false">DATE(YEAR(B1042),MONTH(B1042),1)</f>
        <v>46174</v>
      </c>
      <c r="S1042" s="83" t="str">
        <f aca="false">YEAR(B1042)&amp;"-Q"&amp;ROUNDUP(MONTH(B1042)/3,0)</f>
        <v>2026-Q2</v>
      </c>
      <c r="T1042" s="87" t="n">
        <f aca="false">IF(O1042&gt;0,Q1042/O1042,"")</f>
        <v>0.358974358974359</v>
      </c>
      <c r="U1042" s="84" t="n">
        <f aca="false">IF(O1042&gt;0,O1042,"")</f>
        <v>3744</v>
      </c>
    </row>
    <row r="1043" customFormat="false" ht="15" hidden="false" customHeight="false" outlineLevel="0" collapsed="false">
      <c r="A1043" s="81" t="s">
        <v>1686</v>
      </c>
      <c r="B1043" s="82" t="n">
        <v>46175</v>
      </c>
      <c r="C1043" s="81" t="s">
        <v>397</v>
      </c>
      <c r="D1043" s="83" t="str">
        <f aca="false">IFERROR(INDEX(c_Name,MATCH($C1043,c_ID,0)),"غير معرّف")</f>
        <v>عبير الخالدي</v>
      </c>
      <c r="E1043" s="83" t="str">
        <f aca="false">IFERROR(INDEX(c_Region,MATCH($C1043,c_ID,0)),"غير معرّف")</f>
        <v>الشرقية</v>
      </c>
      <c r="F1043" s="81" t="s">
        <v>177</v>
      </c>
      <c r="G1043" s="83" t="str">
        <f aca="false">IFERROR(INDEX(p_Name,MATCH($F1043,p_ID,0)),"غير معرّف")</f>
        <v>ورق A4 (صندوق)</v>
      </c>
      <c r="H1043" s="83" t="str">
        <f aca="false">IFERROR(INDEX(p_Cat,MATCH($F1043,p_ID,0)),"غير معرّف")</f>
        <v>مستلزمات مكتبية</v>
      </c>
      <c r="I1043" s="81" t="s">
        <v>463</v>
      </c>
      <c r="J1043" s="81" t="s">
        <v>93</v>
      </c>
      <c r="K1043" s="81" t="n">
        <v>8</v>
      </c>
      <c r="L1043" s="84" t="n">
        <f aca="false">IFERROR(INDEX(p_Price,MATCH($F1043,p_ID,0)),0)</f>
        <v>140</v>
      </c>
      <c r="M1043" s="85" t="n">
        <v>0.1</v>
      </c>
      <c r="N1043" s="81" t="s">
        <v>650</v>
      </c>
      <c r="O1043" s="84" t="n">
        <f aca="false">IF($N1043="مرتجع",0,K1043*L1043*(1-M1043))</f>
        <v>0</v>
      </c>
      <c r="P1043" s="84" t="n">
        <f aca="false">IF($N1043="مرتجع",0,K1043*IFERROR(INDEX(p_Cost,MATCH($F1043,p_ID,0)),0))</f>
        <v>0</v>
      </c>
      <c r="Q1043" s="84" t="n">
        <f aca="false">O1043-P1043</f>
        <v>0</v>
      </c>
      <c r="R1043" s="86" t="n">
        <f aca="false">DATE(YEAR(B1043),MONTH(B1043),1)</f>
        <v>46174</v>
      </c>
      <c r="S1043" s="83" t="str">
        <f aca="false">YEAR(B1043)&amp;"-Q"&amp;ROUNDUP(MONTH(B1043)/3,0)</f>
        <v>2026-Q2</v>
      </c>
      <c r="T1043" s="87" t="str">
        <f aca="false">IF(O1043&gt;0,Q1043/O1043,"")</f>
        <v/>
      </c>
      <c r="U1043" s="84" t="str">
        <f aca="false">IF(O1043&gt;0,O1043,"")</f>
        <v/>
      </c>
    </row>
    <row r="1044" customFormat="false" ht="15" hidden="false" customHeight="false" outlineLevel="0" collapsed="false">
      <c r="A1044" s="81" t="s">
        <v>1687</v>
      </c>
      <c r="B1044" s="82" t="n">
        <v>46175</v>
      </c>
      <c r="C1044" s="81" t="s">
        <v>260</v>
      </c>
      <c r="D1044" s="83" t="str">
        <f aca="false">IFERROR(INDEX(c_Name,MATCH($C1044,c_ID,0)),"غير معرّف")</f>
        <v>منى العتيبي</v>
      </c>
      <c r="E1044" s="83" t="str">
        <f aca="false">IFERROR(INDEX(c_Region,MATCH($C1044,c_ID,0)),"غير معرّف")</f>
        <v>الشرقية</v>
      </c>
      <c r="F1044" s="81" t="s">
        <v>168</v>
      </c>
      <c r="G1044" s="83" t="str">
        <f aca="false">IFERROR(INDEX(p_Name,MATCH($F1044,p_ID,0)),"غير معرّف")</f>
        <v>مكنسة كهربائية</v>
      </c>
      <c r="H1044" s="83" t="str">
        <f aca="false">IFERROR(INDEX(p_Cat,MATCH($F1044,p_ID,0)),"غير معرّف")</f>
        <v>أجهزة منزلية</v>
      </c>
      <c r="I1044" s="81" t="s">
        <v>461</v>
      </c>
      <c r="J1044" s="81" t="s">
        <v>91</v>
      </c>
      <c r="K1044" s="81" t="n">
        <v>5</v>
      </c>
      <c r="L1044" s="84" t="n">
        <f aca="false">IFERROR(INDEX(p_Price,MATCH($F1044,p_ID,0)),0)</f>
        <v>650</v>
      </c>
      <c r="M1044" s="85" t="n">
        <v>0</v>
      </c>
      <c r="N1044" s="81" t="s">
        <v>644</v>
      </c>
      <c r="O1044" s="84" t="n">
        <f aca="false">IF($N1044="مرتجع",0,K1044*L1044*(1-M1044))</f>
        <v>3250</v>
      </c>
      <c r="P1044" s="84" t="n">
        <f aca="false">IF($N1044="مرتجع",0,K1044*IFERROR(INDEX(p_Cost,MATCH($F1044,p_ID,0)),0))</f>
        <v>2100</v>
      </c>
      <c r="Q1044" s="84" t="n">
        <f aca="false">O1044-P1044</f>
        <v>1150</v>
      </c>
      <c r="R1044" s="86" t="n">
        <f aca="false">DATE(YEAR(B1044),MONTH(B1044),1)</f>
        <v>46174</v>
      </c>
      <c r="S1044" s="83" t="str">
        <f aca="false">YEAR(B1044)&amp;"-Q"&amp;ROUNDUP(MONTH(B1044)/3,0)</f>
        <v>2026-Q2</v>
      </c>
      <c r="T1044" s="87" t="n">
        <f aca="false">IF(O1044&gt;0,Q1044/O1044,"")</f>
        <v>0.353846153846154</v>
      </c>
      <c r="U1044" s="84" t="n">
        <f aca="false">IF(O1044&gt;0,O1044,"")</f>
        <v>3250</v>
      </c>
    </row>
    <row r="1045" customFormat="false" ht="15" hidden="false" customHeight="false" outlineLevel="0" collapsed="false">
      <c r="A1045" s="81" t="s">
        <v>1688</v>
      </c>
      <c r="B1045" s="82" t="n">
        <v>46176</v>
      </c>
      <c r="C1045" s="81" t="s">
        <v>394</v>
      </c>
      <c r="D1045" s="83" t="str">
        <f aca="false">IFERROR(INDEX(c_Name,MATCH($C1045,c_ID,0)),"غير معرّف")</f>
        <v>طارق الغامدي</v>
      </c>
      <c r="E1045" s="83" t="str">
        <f aca="false">IFERROR(INDEX(c_Region,MATCH($C1045,c_ID,0)),"غير معرّف")</f>
        <v>الشرقية</v>
      </c>
      <c r="F1045" s="81" t="s">
        <v>178</v>
      </c>
      <c r="G1045" s="83" t="str">
        <f aca="false">IFERROR(INDEX(p_Name,MATCH($F1045,p_ID,0)),"غير معرّف")</f>
        <v>حقيبة لابتوب</v>
      </c>
      <c r="H1045" s="83" t="str">
        <f aca="false">IFERROR(INDEX(p_Cat,MATCH($F1045,p_ID,0)),"غير معرّف")</f>
        <v>مستلزمات مكتبية</v>
      </c>
      <c r="I1045" s="81" t="s">
        <v>461</v>
      </c>
      <c r="J1045" s="81" t="s">
        <v>91</v>
      </c>
      <c r="K1045" s="81" t="n">
        <v>2</v>
      </c>
      <c r="L1045" s="84" t="n">
        <f aca="false">IFERROR(INDEX(p_Price,MATCH($F1045,p_ID,0)),0)</f>
        <v>260</v>
      </c>
      <c r="M1045" s="85" t="n">
        <v>0.1</v>
      </c>
      <c r="N1045" s="81" t="s">
        <v>644</v>
      </c>
      <c r="O1045" s="84" t="n">
        <f aca="false">IF($N1045="مرتجع",0,K1045*L1045*(1-M1045))</f>
        <v>468</v>
      </c>
      <c r="P1045" s="84" t="n">
        <f aca="false">IF($N1045="مرتجع",0,K1045*IFERROR(INDEX(p_Cost,MATCH($F1045,p_ID,0)),0))</f>
        <v>240</v>
      </c>
      <c r="Q1045" s="84" t="n">
        <f aca="false">O1045-P1045</f>
        <v>228</v>
      </c>
      <c r="R1045" s="86" t="n">
        <f aca="false">DATE(YEAR(B1045),MONTH(B1045),1)</f>
        <v>46174</v>
      </c>
      <c r="S1045" s="83" t="str">
        <f aca="false">YEAR(B1045)&amp;"-Q"&amp;ROUNDUP(MONTH(B1045)/3,0)</f>
        <v>2026-Q2</v>
      </c>
      <c r="T1045" s="87" t="n">
        <f aca="false">IF(O1045&gt;0,Q1045/O1045,"")</f>
        <v>0.487179487179487</v>
      </c>
      <c r="U1045" s="84" t="n">
        <f aca="false">IF(O1045&gt;0,O1045,"")</f>
        <v>468</v>
      </c>
    </row>
    <row r="1046" customFormat="false" ht="15" hidden="false" customHeight="false" outlineLevel="0" collapsed="false">
      <c r="A1046" s="81" t="s">
        <v>1689</v>
      </c>
      <c r="B1046" s="82" t="n">
        <v>46176</v>
      </c>
      <c r="C1046" s="81" t="s">
        <v>312</v>
      </c>
      <c r="D1046" s="83" t="str">
        <f aca="false">IFERROR(INDEX(c_Name,MATCH($C1046,c_ID,0)),"غير معرّف")</f>
        <v>دانة الدوسري</v>
      </c>
      <c r="E1046" s="83" t="str">
        <f aca="false">IFERROR(INDEX(c_Region,MATCH($C1046,c_ID,0)),"غير معرّف")</f>
        <v>الشرقية</v>
      </c>
      <c r="F1046" s="81" t="s">
        <v>184</v>
      </c>
      <c r="G1046" s="83" t="str">
        <f aca="false">IFERROR(INDEX(p_Name,MATCH($F1046,p_ID,0)),"غير معرّف")</f>
        <v>عطر فاخر</v>
      </c>
      <c r="H1046" s="83" t="str">
        <f aca="false">IFERROR(INDEX(p_Cat,MATCH($F1046,p_ID,0)),"غير معرّف")</f>
        <v>عناية شخصية</v>
      </c>
      <c r="I1046" s="81" t="s">
        <v>463</v>
      </c>
      <c r="J1046" s="81" t="s">
        <v>91</v>
      </c>
      <c r="K1046" s="81" t="n">
        <v>3</v>
      </c>
      <c r="L1046" s="84" t="n">
        <f aca="false">IFERROR(INDEX(p_Price,MATCH($F1046,p_ID,0)),0)</f>
        <v>520</v>
      </c>
      <c r="M1046" s="85" t="n">
        <v>0.1</v>
      </c>
      <c r="N1046" s="81" t="s">
        <v>644</v>
      </c>
      <c r="O1046" s="84" t="n">
        <f aca="false">IF($N1046="مرتجع",0,K1046*L1046*(1-M1046))</f>
        <v>1404</v>
      </c>
      <c r="P1046" s="84" t="n">
        <f aca="false">IF($N1046="مرتجع",0,K1046*IFERROR(INDEX(p_Cost,MATCH($F1046,p_ID,0)),0))</f>
        <v>630</v>
      </c>
      <c r="Q1046" s="84" t="n">
        <f aca="false">O1046-P1046</f>
        <v>774</v>
      </c>
      <c r="R1046" s="86" t="n">
        <f aca="false">DATE(YEAR(B1046),MONTH(B1046),1)</f>
        <v>46174</v>
      </c>
      <c r="S1046" s="83" t="str">
        <f aca="false">YEAR(B1046)&amp;"-Q"&amp;ROUNDUP(MONTH(B1046)/3,0)</f>
        <v>2026-Q2</v>
      </c>
      <c r="T1046" s="87" t="n">
        <f aca="false">IF(O1046&gt;0,Q1046/O1046,"")</f>
        <v>0.551282051282051</v>
      </c>
      <c r="U1046" s="84" t="n">
        <f aca="false">IF(O1046&gt;0,O1046,"")</f>
        <v>1404</v>
      </c>
    </row>
    <row r="1047" customFormat="false" ht="15" hidden="false" customHeight="false" outlineLevel="0" collapsed="false">
      <c r="A1047" s="81" t="s">
        <v>1690</v>
      </c>
      <c r="B1047" s="82" t="n">
        <v>46176</v>
      </c>
      <c r="C1047" s="81" t="s">
        <v>235</v>
      </c>
      <c r="D1047" s="83" t="str">
        <f aca="false">IFERROR(INDEX(c_Name,MATCH($C1047,c_ID,0)),"غير معرّف")</f>
        <v>ليلى الزهراني</v>
      </c>
      <c r="E1047" s="83" t="str">
        <f aca="false">IFERROR(INDEX(c_Region,MATCH($C1047,c_ID,0)),"غير معرّف")</f>
        <v>الشرقية</v>
      </c>
      <c r="F1047" s="81" t="s">
        <v>167</v>
      </c>
      <c r="G1047" s="83" t="str">
        <f aca="false">IFERROR(INDEX(p_Name,MATCH($F1047,p_ID,0)),"غير معرّف")</f>
        <v>شاشة 27 بوصة</v>
      </c>
      <c r="H1047" s="83" t="str">
        <f aca="false">IFERROR(INDEX(p_Cat,MATCH($F1047,p_ID,0)),"غير معرّف")</f>
        <v>إلكترونيات</v>
      </c>
      <c r="I1047" s="81" t="s">
        <v>461</v>
      </c>
      <c r="J1047" s="81" t="s">
        <v>93</v>
      </c>
      <c r="K1047" s="81" t="n">
        <v>3</v>
      </c>
      <c r="L1047" s="84" t="n">
        <f aca="false">IFERROR(INDEX(p_Price,MATCH($F1047,p_ID,0)),0)</f>
        <v>1100</v>
      </c>
      <c r="M1047" s="85" t="n">
        <v>0.1</v>
      </c>
      <c r="N1047" s="81" t="s">
        <v>644</v>
      </c>
      <c r="O1047" s="84" t="n">
        <f aca="false">IF($N1047="مرتجع",0,K1047*L1047*(1-M1047))</f>
        <v>2970</v>
      </c>
      <c r="P1047" s="84" t="n">
        <f aca="false">IF($N1047="مرتجع",0,K1047*IFERROR(INDEX(p_Cost,MATCH($F1047,p_ID,0)),0))</f>
        <v>2340</v>
      </c>
      <c r="Q1047" s="84" t="n">
        <f aca="false">O1047-P1047</f>
        <v>630</v>
      </c>
      <c r="R1047" s="86" t="n">
        <f aca="false">DATE(YEAR(B1047),MONTH(B1047),1)</f>
        <v>46174</v>
      </c>
      <c r="S1047" s="83" t="str">
        <f aca="false">YEAR(B1047)&amp;"-Q"&amp;ROUNDUP(MONTH(B1047)/3,0)</f>
        <v>2026-Q2</v>
      </c>
      <c r="T1047" s="87" t="n">
        <f aca="false">IF(O1047&gt;0,Q1047/O1047,"")</f>
        <v>0.212121212121212</v>
      </c>
      <c r="U1047" s="84" t="n">
        <f aca="false">IF(O1047&gt;0,O1047,"")</f>
        <v>2970</v>
      </c>
    </row>
    <row r="1048" customFormat="false" ht="15" hidden="false" customHeight="false" outlineLevel="0" collapsed="false">
      <c r="A1048" s="81" t="s">
        <v>1691</v>
      </c>
      <c r="B1048" s="82" t="n">
        <v>46176</v>
      </c>
      <c r="C1048" s="81" t="s">
        <v>234</v>
      </c>
      <c r="D1048" s="83" t="str">
        <f aca="false">IFERROR(INDEX(c_Name,MATCH($C1048,c_ID,0)),"غير معرّف")</f>
        <v>هند الخالدي</v>
      </c>
      <c r="E1048" s="83" t="str">
        <f aca="false">IFERROR(INDEX(c_Region,MATCH($C1048,c_ID,0)),"غير معرّف")</f>
        <v>الوسطى</v>
      </c>
      <c r="F1048" s="81" t="s">
        <v>168</v>
      </c>
      <c r="G1048" s="83" t="str">
        <f aca="false">IFERROR(INDEX(p_Name,MATCH($F1048,p_ID,0)),"غير معرّف")</f>
        <v>مكنسة كهربائية</v>
      </c>
      <c r="H1048" s="83" t="str">
        <f aca="false">IFERROR(INDEX(p_Cat,MATCH($F1048,p_ID,0)),"غير معرّف")</f>
        <v>أجهزة منزلية</v>
      </c>
      <c r="I1048" s="81" t="s">
        <v>443</v>
      </c>
      <c r="J1048" s="81" t="s">
        <v>93</v>
      </c>
      <c r="K1048" s="81" t="n">
        <v>2</v>
      </c>
      <c r="L1048" s="84" t="n">
        <f aca="false">IFERROR(INDEX(p_Price,MATCH($F1048,p_ID,0)),0)</f>
        <v>650</v>
      </c>
      <c r="M1048" s="85" t="n">
        <v>0</v>
      </c>
      <c r="N1048" s="81" t="s">
        <v>644</v>
      </c>
      <c r="O1048" s="84" t="n">
        <f aca="false">IF($N1048="مرتجع",0,K1048*L1048*(1-M1048))</f>
        <v>1300</v>
      </c>
      <c r="P1048" s="84" t="n">
        <f aca="false">IF($N1048="مرتجع",0,K1048*IFERROR(INDEX(p_Cost,MATCH($F1048,p_ID,0)),0))</f>
        <v>840</v>
      </c>
      <c r="Q1048" s="84" t="n">
        <f aca="false">O1048-P1048</f>
        <v>460</v>
      </c>
      <c r="R1048" s="86" t="n">
        <f aca="false">DATE(YEAR(B1048),MONTH(B1048),1)</f>
        <v>46174</v>
      </c>
      <c r="S1048" s="83" t="str">
        <f aca="false">YEAR(B1048)&amp;"-Q"&amp;ROUNDUP(MONTH(B1048)/3,0)</f>
        <v>2026-Q2</v>
      </c>
      <c r="T1048" s="87" t="n">
        <f aca="false">IF(O1048&gt;0,Q1048/O1048,"")</f>
        <v>0.353846153846154</v>
      </c>
      <c r="U1048" s="84" t="n">
        <f aca="false">IF(O1048&gt;0,O1048,"")</f>
        <v>1300</v>
      </c>
    </row>
    <row r="1049" customFormat="false" ht="15" hidden="false" customHeight="false" outlineLevel="0" collapsed="false">
      <c r="A1049" s="81" t="s">
        <v>1692</v>
      </c>
      <c r="B1049" s="82" t="n">
        <v>46177</v>
      </c>
      <c r="C1049" s="81" t="s">
        <v>369</v>
      </c>
      <c r="D1049" s="83" t="str">
        <f aca="false">IFERROR(INDEX(c_Name,MATCH($C1049,c_ID,0)),"غير معرّف")</f>
        <v>منى الغامدي</v>
      </c>
      <c r="E1049" s="83" t="str">
        <f aca="false">IFERROR(INDEX(c_Region,MATCH($C1049,c_ID,0)),"غير معرّف")</f>
        <v>الوسطى</v>
      </c>
      <c r="F1049" s="81" t="s">
        <v>177</v>
      </c>
      <c r="G1049" s="83" t="str">
        <f aca="false">IFERROR(INDEX(p_Name,MATCH($F1049,p_ID,0)),"غير معرّف")</f>
        <v>ورق A4 (صندوق)</v>
      </c>
      <c r="H1049" s="83" t="str">
        <f aca="false">IFERROR(INDEX(p_Cat,MATCH($F1049,p_ID,0)),"غير معرّف")</f>
        <v>مستلزمات مكتبية</v>
      </c>
      <c r="I1049" s="81" t="s">
        <v>443</v>
      </c>
      <c r="J1049" s="81" t="s">
        <v>93</v>
      </c>
      <c r="K1049" s="81" t="n">
        <v>1</v>
      </c>
      <c r="L1049" s="84" t="n">
        <f aca="false">IFERROR(INDEX(p_Price,MATCH($F1049,p_ID,0)),0)</f>
        <v>140</v>
      </c>
      <c r="M1049" s="85" t="n">
        <v>0</v>
      </c>
      <c r="N1049" s="81" t="s">
        <v>644</v>
      </c>
      <c r="O1049" s="84" t="n">
        <f aca="false">IF($N1049="مرتجع",0,K1049*L1049*(1-M1049))</f>
        <v>140</v>
      </c>
      <c r="P1049" s="84" t="n">
        <f aca="false">IF($N1049="مرتجع",0,K1049*IFERROR(INDEX(p_Cost,MATCH($F1049,p_ID,0)),0))</f>
        <v>95</v>
      </c>
      <c r="Q1049" s="84" t="n">
        <f aca="false">O1049-P1049</f>
        <v>45</v>
      </c>
      <c r="R1049" s="86" t="n">
        <f aca="false">DATE(YEAR(B1049),MONTH(B1049),1)</f>
        <v>46174</v>
      </c>
      <c r="S1049" s="83" t="str">
        <f aca="false">YEAR(B1049)&amp;"-Q"&amp;ROUNDUP(MONTH(B1049)/3,0)</f>
        <v>2026-Q2</v>
      </c>
      <c r="T1049" s="87" t="n">
        <f aca="false">IF(O1049&gt;0,Q1049/O1049,"")</f>
        <v>0.321428571428571</v>
      </c>
      <c r="U1049" s="84" t="n">
        <f aca="false">IF(O1049&gt;0,O1049,"")</f>
        <v>140</v>
      </c>
    </row>
    <row r="1050" customFormat="false" ht="15" hidden="false" customHeight="false" outlineLevel="0" collapsed="false">
      <c r="A1050" s="81" t="s">
        <v>1693</v>
      </c>
      <c r="B1050" s="82" t="n">
        <v>46177</v>
      </c>
      <c r="C1050" s="81" t="s">
        <v>291</v>
      </c>
      <c r="D1050" s="83" t="str">
        <f aca="false">IFERROR(INDEX(c_Name,MATCH($C1050,c_ID,0)),"غير معرّف")</f>
        <v>ياسر الشمري</v>
      </c>
      <c r="E1050" s="83" t="str">
        <f aca="false">IFERROR(INDEX(c_Region,MATCH($C1050,c_ID,0)),"غير معرّف")</f>
        <v>الوسطى</v>
      </c>
      <c r="F1050" s="81" t="s">
        <v>177</v>
      </c>
      <c r="G1050" s="83" t="str">
        <f aca="false">IFERROR(INDEX(p_Name,MATCH($F1050,p_ID,0)),"غير معرّف")</f>
        <v>ورق A4 (صندوق)</v>
      </c>
      <c r="H1050" s="83" t="str">
        <f aca="false">IFERROR(INDEX(p_Cat,MATCH($F1050,p_ID,0)),"غير معرّف")</f>
        <v>مستلزمات مكتبية</v>
      </c>
      <c r="I1050" s="81" t="s">
        <v>446</v>
      </c>
      <c r="J1050" s="81" t="s">
        <v>91</v>
      </c>
      <c r="K1050" s="81" t="n">
        <v>1</v>
      </c>
      <c r="L1050" s="84" t="n">
        <f aca="false">IFERROR(INDEX(p_Price,MATCH($F1050,p_ID,0)),0)</f>
        <v>140</v>
      </c>
      <c r="M1050" s="85" t="n">
        <v>0.05</v>
      </c>
      <c r="N1050" s="81" t="s">
        <v>644</v>
      </c>
      <c r="O1050" s="84" t="n">
        <f aca="false">IF($N1050="مرتجع",0,K1050*L1050*(1-M1050))</f>
        <v>133</v>
      </c>
      <c r="P1050" s="84" t="n">
        <f aca="false">IF($N1050="مرتجع",0,K1050*IFERROR(INDEX(p_Cost,MATCH($F1050,p_ID,0)),0))</f>
        <v>95</v>
      </c>
      <c r="Q1050" s="84" t="n">
        <f aca="false">O1050-P1050</f>
        <v>38</v>
      </c>
      <c r="R1050" s="86" t="n">
        <f aca="false">DATE(YEAR(B1050),MONTH(B1050),1)</f>
        <v>46174</v>
      </c>
      <c r="S1050" s="83" t="str">
        <f aca="false">YEAR(B1050)&amp;"-Q"&amp;ROUNDUP(MONTH(B1050)/3,0)</f>
        <v>2026-Q2</v>
      </c>
      <c r="T1050" s="87" t="n">
        <f aca="false">IF(O1050&gt;0,Q1050/O1050,"")</f>
        <v>0.285714285714286</v>
      </c>
      <c r="U1050" s="84" t="n">
        <f aca="false">IF(O1050&gt;0,O1050,"")</f>
        <v>133</v>
      </c>
    </row>
    <row r="1051" customFormat="false" ht="15" hidden="false" customHeight="false" outlineLevel="0" collapsed="false">
      <c r="A1051" s="81" t="s">
        <v>1694</v>
      </c>
      <c r="B1051" s="82" t="n">
        <v>46177</v>
      </c>
      <c r="C1051" s="81" t="s">
        <v>319</v>
      </c>
      <c r="D1051" s="83" t="str">
        <f aca="false">IFERROR(INDEX(c_Name,MATCH($C1051,c_ID,0)),"غير معرّف")</f>
        <v>سعد التميمي</v>
      </c>
      <c r="E1051" s="83" t="str">
        <f aca="false">IFERROR(INDEX(c_Region,MATCH($C1051,c_ID,0)),"غير معرّف")</f>
        <v>الغربية</v>
      </c>
      <c r="F1051" s="81" t="s">
        <v>176</v>
      </c>
      <c r="G1051" s="83" t="str">
        <f aca="false">IFERROR(INDEX(p_Name,MATCH($F1051,p_ID,0)),"غير معرّف")</f>
        <v>طابعة ليزر</v>
      </c>
      <c r="H1051" s="83" t="str">
        <f aca="false">IFERROR(INDEX(p_Cat,MATCH($F1051,p_ID,0)),"غير معرّف")</f>
        <v>مستلزمات مكتبية</v>
      </c>
      <c r="I1051" s="81" t="s">
        <v>455</v>
      </c>
      <c r="J1051" s="81" t="s">
        <v>95</v>
      </c>
      <c r="K1051" s="81" t="n">
        <v>23</v>
      </c>
      <c r="L1051" s="84" t="n">
        <f aca="false">IFERROR(INDEX(p_Price,MATCH($F1051,p_ID,0)),0)</f>
        <v>1300</v>
      </c>
      <c r="M1051" s="85" t="n">
        <v>0</v>
      </c>
      <c r="N1051" s="81" t="s">
        <v>650</v>
      </c>
      <c r="O1051" s="84" t="n">
        <f aca="false">IF($N1051="مرتجع",0,K1051*L1051*(1-M1051))</f>
        <v>0</v>
      </c>
      <c r="P1051" s="84" t="n">
        <f aca="false">IF($N1051="مرتجع",0,K1051*IFERROR(INDEX(p_Cost,MATCH($F1051,p_ID,0)),0))</f>
        <v>0</v>
      </c>
      <c r="Q1051" s="84" t="n">
        <f aca="false">O1051-P1051</f>
        <v>0</v>
      </c>
      <c r="R1051" s="86" t="n">
        <f aca="false">DATE(YEAR(B1051),MONTH(B1051),1)</f>
        <v>46174</v>
      </c>
      <c r="S1051" s="83" t="str">
        <f aca="false">YEAR(B1051)&amp;"-Q"&amp;ROUNDUP(MONTH(B1051)/3,0)</f>
        <v>2026-Q2</v>
      </c>
      <c r="T1051" s="87" t="str">
        <f aca="false">IF(O1051&gt;0,Q1051/O1051,"")</f>
        <v/>
      </c>
      <c r="U1051" s="84" t="str">
        <f aca="false">IF(O1051&gt;0,O1051,"")</f>
        <v/>
      </c>
    </row>
    <row r="1052" customFormat="false" ht="15" hidden="false" customHeight="false" outlineLevel="0" collapsed="false">
      <c r="A1052" s="81" t="s">
        <v>1695</v>
      </c>
      <c r="B1052" s="82" t="n">
        <v>46177</v>
      </c>
      <c r="C1052" s="81" t="s">
        <v>423</v>
      </c>
      <c r="D1052" s="83" t="str">
        <f aca="false">IFERROR(INDEX(c_Name,MATCH($C1052,c_ID,0)),"غير معرّف")</f>
        <v>ناصر المطيري</v>
      </c>
      <c r="E1052" s="83" t="str">
        <f aca="false">IFERROR(INDEX(c_Region,MATCH($C1052,c_ID,0)),"غير معرّف")</f>
        <v>الغربية</v>
      </c>
      <c r="F1052" s="81" t="s">
        <v>187</v>
      </c>
      <c r="G1052" s="83" t="str">
        <f aca="false">IFERROR(INDEX(p_Name,MATCH($F1052,p_ID,0)),"غير معرّف")</f>
        <v>جهاز تدليك</v>
      </c>
      <c r="H1052" s="83" t="str">
        <f aca="false">IFERROR(INDEX(p_Cat,MATCH($F1052,p_ID,0)),"غير معرّف")</f>
        <v>عناية شخصية</v>
      </c>
      <c r="I1052" s="81" t="s">
        <v>452</v>
      </c>
      <c r="J1052" s="81" t="s">
        <v>93</v>
      </c>
      <c r="K1052" s="81" t="n">
        <v>4</v>
      </c>
      <c r="L1052" s="84" t="n">
        <f aca="false">IFERROR(INDEX(p_Price,MATCH($F1052,p_ID,0)),0)</f>
        <v>600</v>
      </c>
      <c r="M1052" s="85" t="n">
        <v>0.1</v>
      </c>
      <c r="N1052" s="81" t="s">
        <v>644</v>
      </c>
      <c r="O1052" s="84" t="n">
        <f aca="false">IF($N1052="مرتجع",0,K1052*L1052*(1-M1052))</f>
        <v>2160</v>
      </c>
      <c r="P1052" s="84" t="n">
        <f aca="false">IF($N1052="مرتجع",0,K1052*IFERROR(INDEX(p_Cost,MATCH($F1052,p_ID,0)),0))</f>
        <v>1320</v>
      </c>
      <c r="Q1052" s="84" t="n">
        <f aca="false">O1052-P1052</f>
        <v>840</v>
      </c>
      <c r="R1052" s="86" t="n">
        <f aca="false">DATE(YEAR(B1052),MONTH(B1052),1)</f>
        <v>46174</v>
      </c>
      <c r="S1052" s="83" t="str">
        <f aca="false">YEAR(B1052)&amp;"-Q"&amp;ROUNDUP(MONTH(B1052)/3,0)</f>
        <v>2026-Q2</v>
      </c>
      <c r="T1052" s="87" t="n">
        <f aca="false">IF(O1052&gt;0,Q1052/O1052,"")</f>
        <v>0.388888888888889</v>
      </c>
      <c r="U1052" s="84" t="n">
        <f aca="false">IF(O1052&gt;0,O1052,"")</f>
        <v>2160</v>
      </c>
    </row>
    <row r="1053" customFormat="false" ht="15" hidden="false" customHeight="false" outlineLevel="0" collapsed="false">
      <c r="A1053" s="81" t="s">
        <v>1696</v>
      </c>
      <c r="B1053" s="82" t="n">
        <v>46177</v>
      </c>
      <c r="C1053" s="81" t="s">
        <v>300</v>
      </c>
      <c r="D1053" s="83" t="str">
        <f aca="false">IFERROR(INDEX(c_Name,MATCH($C1053,c_ID,0)),"غير معرّف")</f>
        <v>فهد التميمي</v>
      </c>
      <c r="E1053" s="83" t="str">
        <f aca="false">IFERROR(INDEX(c_Region,MATCH($C1053,c_ID,0)),"غير معرّف")</f>
        <v>الوسطى</v>
      </c>
      <c r="F1053" s="81" t="s">
        <v>177</v>
      </c>
      <c r="G1053" s="83" t="str">
        <f aca="false">IFERROR(INDEX(p_Name,MATCH($F1053,p_ID,0)),"غير معرّف")</f>
        <v>ورق A4 (صندوق)</v>
      </c>
      <c r="H1053" s="83" t="str">
        <f aca="false">IFERROR(INDEX(p_Cat,MATCH($F1053,p_ID,0)),"غير معرّف")</f>
        <v>مستلزمات مكتبية</v>
      </c>
      <c r="I1053" s="81" t="s">
        <v>449</v>
      </c>
      <c r="J1053" s="81" t="s">
        <v>91</v>
      </c>
      <c r="K1053" s="81" t="n">
        <v>2</v>
      </c>
      <c r="L1053" s="84" t="n">
        <f aca="false">IFERROR(INDEX(p_Price,MATCH($F1053,p_ID,0)),0)</f>
        <v>140</v>
      </c>
      <c r="M1053" s="85" t="n">
        <v>0</v>
      </c>
      <c r="N1053" s="81" t="s">
        <v>644</v>
      </c>
      <c r="O1053" s="84" t="n">
        <f aca="false">IF($N1053="مرتجع",0,K1053*L1053*(1-M1053))</f>
        <v>280</v>
      </c>
      <c r="P1053" s="84" t="n">
        <f aca="false">IF($N1053="مرتجع",0,K1053*IFERROR(INDEX(p_Cost,MATCH($F1053,p_ID,0)),0))</f>
        <v>190</v>
      </c>
      <c r="Q1053" s="84" t="n">
        <f aca="false">O1053-P1053</f>
        <v>90</v>
      </c>
      <c r="R1053" s="86" t="n">
        <f aca="false">DATE(YEAR(B1053),MONTH(B1053),1)</f>
        <v>46174</v>
      </c>
      <c r="S1053" s="83" t="str">
        <f aca="false">YEAR(B1053)&amp;"-Q"&amp;ROUNDUP(MONTH(B1053)/3,0)</f>
        <v>2026-Q2</v>
      </c>
      <c r="T1053" s="87" t="n">
        <f aca="false">IF(O1053&gt;0,Q1053/O1053,"")</f>
        <v>0.321428571428571</v>
      </c>
      <c r="U1053" s="84" t="n">
        <f aca="false">IF(O1053&gt;0,O1053,"")</f>
        <v>280</v>
      </c>
    </row>
    <row r="1054" customFormat="false" ht="15" hidden="false" customHeight="false" outlineLevel="0" collapsed="false">
      <c r="A1054" s="81" t="s">
        <v>1697</v>
      </c>
      <c r="B1054" s="82" t="n">
        <v>46177</v>
      </c>
      <c r="C1054" s="81" t="s">
        <v>355</v>
      </c>
      <c r="D1054" s="83" t="str">
        <f aca="false">IFERROR(INDEX(c_Name,MATCH($C1054,c_ID,0)),"غير معرّف")</f>
        <v>جود القحطاني</v>
      </c>
      <c r="E1054" s="83" t="str">
        <f aca="false">IFERROR(INDEX(c_Region,MATCH($C1054,c_ID,0)),"غير معرّف")</f>
        <v>الجنوبية</v>
      </c>
      <c r="F1054" s="81" t="s">
        <v>165</v>
      </c>
      <c r="G1054" s="83" t="str">
        <f aca="false">IFERROR(INDEX(p_Name,MATCH($F1054,p_ID,0)),"غير معرّف")</f>
        <v>حاسوب محمول</v>
      </c>
      <c r="H1054" s="83" t="str">
        <f aca="false">IFERROR(INDEX(p_Cat,MATCH($F1054,p_ID,0)),"غير معرّف")</f>
        <v>إلكترونيات</v>
      </c>
      <c r="I1054" s="81" t="s">
        <v>465</v>
      </c>
      <c r="J1054" s="81" t="s">
        <v>93</v>
      </c>
      <c r="K1054" s="81" t="n">
        <v>1</v>
      </c>
      <c r="L1054" s="84" t="n">
        <f aca="false">IFERROR(INDEX(p_Price,MATCH($F1054,p_ID,0)),0)</f>
        <v>3800</v>
      </c>
      <c r="M1054" s="85" t="n">
        <v>0.05</v>
      </c>
      <c r="N1054" s="81" t="s">
        <v>644</v>
      </c>
      <c r="O1054" s="84" t="n">
        <f aca="false">IF($N1054="مرتجع",0,K1054*L1054*(1-M1054))</f>
        <v>3610</v>
      </c>
      <c r="P1054" s="84" t="n">
        <f aca="false">IF($N1054="مرتجع",0,K1054*IFERROR(INDEX(p_Cost,MATCH($F1054,p_ID,0)),0))</f>
        <v>2900</v>
      </c>
      <c r="Q1054" s="84" t="n">
        <f aca="false">O1054-P1054</f>
        <v>710</v>
      </c>
      <c r="R1054" s="86" t="n">
        <f aca="false">DATE(YEAR(B1054),MONTH(B1054),1)</f>
        <v>46174</v>
      </c>
      <c r="S1054" s="83" t="str">
        <f aca="false">YEAR(B1054)&amp;"-Q"&amp;ROUNDUP(MONTH(B1054)/3,0)</f>
        <v>2026-Q2</v>
      </c>
      <c r="T1054" s="87" t="n">
        <f aca="false">IF(O1054&gt;0,Q1054/O1054,"")</f>
        <v>0.196675900277008</v>
      </c>
      <c r="U1054" s="84" t="n">
        <f aca="false">IF(O1054&gt;0,O1054,"")</f>
        <v>3610</v>
      </c>
    </row>
    <row r="1055" customFormat="false" ht="15" hidden="false" customHeight="false" outlineLevel="0" collapsed="false">
      <c r="A1055" s="81" t="s">
        <v>1698</v>
      </c>
      <c r="B1055" s="82" t="n">
        <v>46177</v>
      </c>
      <c r="C1055" s="81" t="s">
        <v>323</v>
      </c>
      <c r="D1055" s="83" t="str">
        <f aca="false">IFERROR(INDEX(c_Name,MATCH($C1055,c_ID,0)),"غير معرّف")</f>
        <v>ليلى الدوسري</v>
      </c>
      <c r="E1055" s="83" t="str">
        <f aca="false">IFERROR(INDEX(c_Region,MATCH($C1055,c_ID,0)),"غير معرّف")</f>
        <v>الشرقية</v>
      </c>
      <c r="F1055" s="81" t="s">
        <v>184</v>
      </c>
      <c r="G1055" s="83" t="str">
        <f aca="false">IFERROR(INDEX(p_Name,MATCH($F1055,p_ID,0)),"غير معرّف")</f>
        <v>عطر فاخر</v>
      </c>
      <c r="H1055" s="83" t="str">
        <f aca="false">IFERROR(INDEX(p_Cat,MATCH($F1055,p_ID,0)),"غير معرّف")</f>
        <v>عناية شخصية</v>
      </c>
      <c r="I1055" s="81" t="s">
        <v>461</v>
      </c>
      <c r="J1055" s="81" t="s">
        <v>93</v>
      </c>
      <c r="K1055" s="81" t="n">
        <v>1</v>
      </c>
      <c r="L1055" s="84" t="n">
        <f aca="false">IFERROR(INDEX(p_Price,MATCH($F1055,p_ID,0)),0)</f>
        <v>520</v>
      </c>
      <c r="M1055" s="85" t="n">
        <v>0</v>
      </c>
      <c r="N1055" s="81" t="s">
        <v>644</v>
      </c>
      <c r="O1055" s="84" t="n">
        <f aca="false">IF($N1055="مرتجع",0,K1055*L1055*(1-M1055))</f>
        <v>520</v>
      </c>
      <c r="P1055" s="84" t="n">
        <f aca="false">IF($N1055="مرتجع",0,K1055*IFERROR(INDEX(p_Cost,MATCH($F1055,p_ID,0)),0))</f>
        <v>210</v>
      </c>
      <c r="Q1055" s="84" t="n">
        <f aca="false">O1055-P1055</f>
        <v>310</v>
      </c>
      <c r="R1055" s="86" t="n">
        <f aca="false">DATE(YEAR(B1055),MONTH(B1055),1)</f>
        <v>46174</v>
      </c>
      <c r="S1055" s="83" t="str">
        <f aca="false">YEAR(B1055)&amp;"-Q"&amp;ROUNDUP(MONTH(B1055)/3,0)</f>
        <v>2026-Q2</v>
      </c>
      <c r="T1055" s="87" t="n">
        <f aca="false">IF(O1055&gt;0,Q1055/O1055,"")</f>
        <v>0.596153846153846</v>
      </c>
      <c r="U1055" s="84" t="n">
        <f aca="false">IF(O1055&gt;0,O1055,"")</f>
        <v>520</v>
      </c>
    </row>
    <row r="1056" customFormat="false" ht="15" hidden="false" customHeight="false" outlineLevel="0" collapsed="false">
      <c r="A1056" s="81" t="s">
        <v>1699</v>
      </c>
      <c r="B1056" s="82" t="n">
        <v>46178</v>
      </c>
      <c r="C1056" s="81" t="s">
        <v>266</v>
      </c>
      <c r="D1056" s="83" t="str">
        <f aca="false">IFERROR(INDEX(c_Name,MATCH($C1056,c_ID,0)),"غير معرّف")</f>
        <v>ياسر الشهري</v>
      </c>
      <c r="E1056" s="83" t="str">
        <f aca="false">IFERROR(INDEX(c_Region,MATCH($C1056,c_ID,0)),"غير معرّف")</f>
        <v>الوسطى</v>
      </c>
      <c r="F1056" s="81" t="s">
        <v>187</v>
      </c>
      <c r="G1056" s="83" t="str">
        <f aca="false">IFERROR(INDEX(p_Name,MATCH($F1056,p_ID,0)),"غير معرّف")</f>
        <v>جهاز تدليك</v>
      </c>
      <c r="H1056" s="83" t="str">
        <f aca="false">IFERROR(INDEX(p_Cat,MATCH($F1056,p_ID,0)),"غير معرّف")</f>
        <v>عناية شخصية</v>
      </c>
      <c r="I1056" s="81" t="s">
        <v>446</v>
      </c>
      <c r="J1056" s="81" t="s">
        <v>93</v>
      </c>
      <c r="K1056" s="81" t="n">
        <v>1</v>
      </c>
      <c r="L1056" s="84" t="n">
        <f aca="false">IFERROR(INDEX(p_Price,MATCH($F1056,p_ID,0)),0)</f>
        <v>600</v>
      </c>
      <c r="M1056" s="85" t="n">
        <v>0.05</v>
      </c>
      <c r="N1056" s="81" t="s">
        <v>644</v>
      </c>
      <c r="O1056" s="84" t="n">
        <f aca="false">IF($N1056="مرتجع",0,K1056*L1056*(1-M1056))</f>
        <v>570</v>
      </c>
      <c r="P1056" s="84" t="n">
        <f aca="false">IF($N1056="مرتجع",0,K1056*IFERROR(INDEX(p_Cost,MATCH($F1056,p_ID,0)),0))</f>
        <v>330</v>
      </c>
      <c r="Q1056" s="84" t="n">
        <f aca="false">O1056-P1056</f>
        <v>240</v>
      </c>
      <c r="R1056" s="86" t="n">
        <f aca="false">DATE(YEAR(B1056),MONTH(B1056),1)</f>
        <v>46174</v>
      </c>
      <c r="S1056" s="83" t="str">
        <f aca="false">YEAR(B1056)&amp;"-Q"&amp;ROUNDUP(MONTH(B1056)/3,0)</f>
        <v>2026-Q2</v>
      </c>
      <c r="T1056" s="87" t="n">
        <f aca="false">IF(O1056&gt;0,Q1056/O1056,"")</f>
        <v>0.421052631578947</v>
      </c>
      <c r="U1056" s="84" t="n">
        <f aca="false">IF(O1056&gt;0,O1056,"")</f>
        <v>570</v>
      </c>
    </row>
    <row r="1057" customFormat="false" ht="15" hidden="false" customHeight="false" outlineLevel="0" collapsed="false">
      <c r="A1057" s="81" t="s">
        <v>1700</v>
      </c>
      <c r="B1057" s="82" t="n">
        <v>46178</v>
      </c>
      <c r="C1057" s="81" t="s">
        <v>282</v>
      </c>
      <c r="D1057" s="83" t="str">
        <f aca="false">IFERROR(INDEX(c_Name,MATCH($C1057,c_ID,0)),"غير معرّف")</f>
        <v>لمى المطيري</v>
      </c>
      <c r="E1057" s="83" t="str">
        <f aca="false">IFERROR(INDEX(c_Region,MATCH($C1057,c_ID,0)),"غير معرّف")</f>
        <v>الوسطى</v>
      </c>
      <c r="F1057" s="81" t="s">
        <v>185</v>
      </c>
      <c r="G1057" s="83" t="str">
        <f aca="false">IFERROR(INDEX(p_Name,MATCH($F1057,p_ID,0)),"غير معرّف")</f>
        <v>ماكينة حلاقة</v>
      </c>
      <c r="H1057" s="83" t="str">
        <f aca="false">IFERROR(INDEX(p_Cat,MATCH($F1057,p_ID,0)),"غير معرّف")</f>
        <v>عناية شخصية</v>
      </c>
      <c r="I1057" s="81" t="s">
        <v>446</v>
      </c>
      <c r="J1057" s="81" t="s">
        <v>91</v>
      </c>
      <c r="K1057" s="81" t="n">
        <v>3</v>
      </c>
      <c r="L1057" s="84" t="n">
        <f aca="false">IFERROR(INDEX(p_Price,MATCH($F1057,p_ID,0)),0)</f>
        <v>340</v>
      </c>
      <c r="M1057" s="85" t="n">
        <v>0.15</v>
      </c>
      <c r="N1057" s="81" t="s">
        <v>644</v>
      </c>
      <c r="O1057" s="84" t="n">
        <f aca="false">IF($N1057="مرتجع",0,K1057*L1057*(1-M1057))</f>
        <v>867</v>
      </c>
      <c r="P1057" s="84" t="n">
        <f aca="false">IF($N1057="مرتجع",0,K1057*IFERROR(INDEX(p_Cost,MATCH($F1057,p_ID,0)),0))</f>
        <v>510</v>
      </c>
      <c r="Q1057" s="84" t="n">
        <f aca="false">O1057-P1057</f>
        <v>357</v>
      </c>
      <c r="R1057" s="86" t="n">
        <f aca="false">DATE(YEAR(B1057),MONTH(B1057),1)</f>
        <v>46174</v>
      </c>
      <c r="S1057" s="83" t="str">
        <f aca="false">YEAR(B1057)&amp;"-Q"&amp;ROUNDUP(MONTH(B1057)/3,0)</f>
        <v>2026-Q2</v>
      </c>
      <c r="T1057" s="87" t="n">
        <f aca="false">IF(O1057&gt;0,Q1057/O1057,"")</f>
        <v>0.411764705882353</v>
      </c>
      <c r="U1057" s="84" t="n">
        <f aca="false">IF(O1057&gt;0,O1057,"")</f>
        <v>867</v>
      </c>
    </row>
    <row r="1058" customFormat="false" ht="15" hidden="false" customHeight="false" outlineLevel="0" collapsed="false">
      <c r="A1058" s="81" t="s">
        <v>1701</v>
      </c>
      <c r="B1058" s="82" t="n">
        <v>46178</v>
      </c>
      <c r="C1058" s="81" t="s">
        <v>264</v>
      </c>
      <c r="D1058" s="83" t="str">
        <f aca="false">IFERROR(INDEX(c_Name,MATCH($C1058,c_ID,0)),"غير معرّف")</f>
        <v>عبدالله التميمي</v>
      </c>
      <c r="E1058" s="83" t="str">
        <f aca="false">IFERROR(INDEX(c_Region,MATCH($C1058,c_ID,0)),"غير معرّف")</f>
        <v>الوسطى</v>
      </c>
      <c r="F1058" s="81" t="s">
        <v>183</v>
      </c>
      <c r="G1058" s="83" t="str">
        <f aca="false">IFERROR(INDEX(p_Name,MATCH($F1058,p_ID,0)),"غير معرّف")</f>
        <v>سجادة يوغا</v>
      </c>
      <c r="H1058" s="83" t="str">
        <f aca="false">IFERROR(INDEX(p_Cat,MATCH($F1058,p_ID,0)),"غير معرّف")</f>
        <v>رياضة</v>
      </c>
      <c r="I1058" s="81" t="s">
        <v>449</v>
      </c>
      <c r="J1058" s="81" t="s">
        <v>91</v>
      </c>
      <c r="K1058" s="81" t="n">
        <v>3</v>
      </c>
      <c r="L1058" s="84" t="n">
        <f aca="false">IFERROR(INDEX(p_Price,MATCH($F1058,p_ID,0)),0)</f>
        <v>120</v>
      </c>
      <c r="M1058" s="85" t="n">
        <v>0.1</v>
      </c>
      <c r="N1058" s="81" t="s">
        <v>644</v>
      </c>
      <c r="O1058" s="84" t="n">
        <f aca="false">IF($N1058="مرتجع",0,K1058*L1058*(1-M1058))</f>
        <v>324</v>
      </c>
      <c r="P1058" s="84" t="n">
        <f aca="false">IF($N1058="مرتجع",0,K1058*IFERROR(INDEX(p_Cost,MATCH($F1058,p_ID,0)),0))</f>
        <v>150</v>
      </c>
      <c r="Q1058" s="84" t="n">
        <f aca="false">O1058-P1058</f>
        <v>174</v>
      </c>
      <c r="R1058" s="86" t="n">
        <f aca="false">DATE(YEAR(B1058),MONTH(B1058),1)</f>
        <v>46174</v>
      </c>
      <c r="S1058" s="83" t="str">
        <f aca="false">YEAR(B1058)&amp;"-Q"&amp;ROUNDUP(MONTH(B1058)/3,0)</f>
        <v>2026-Q2</v>
      </c>
      <c r="T1058" s="87" t="n">
        <f aca="false">IF(O1058&gt;0,Q1058/O1058,"")</f>
        <v>0.537037037037037</v>
      </c>
      <c r="U1058" s="84" t="n">
        <f aca="false">IF(O1058&gt;0,O1058,"")</f>
        <v>324</v>
      </c>
    </row>
    <row r="1059" customFormat="false" ht="15" hidden="false" customHeight="false" outlineLevel="0" collapsed="false">
      <c r="A1059" s="81" t="s">
        <v>1702</v>
      </c>
      <c r="B1059" s="82" t="n">
        <v>46178</v>
      </c>
      <c r="C1059" s="81" t="s">
        <v>392</v>
      </c>
      <c r="D1059" s="83" t="str">
        <f aca="false">IFERROR(INDEX(c_Name,MATCH($C1059,c_ID,0)),"غير معرّف")</f>
        <v>ريم الزهراني</v>
      </c>
      <c r="E1059" s="83" t="str">
        <f aca="false">IFERROR(INDEX(c_Region,MATCH($C1059,c_ID,0)),"غير معرّف")</f>
        <v>الوسطى</v>
      </c>
      <c r="F1059" s="81" t="s">
        <v>178</v>
      </c>
      <c r="G1059" s="83" t="str">
        <f aca="false">IFERROR(INDEX(p_Name,MATCH($F1059,p_ID,0)),"غير معرّف")</f>
        <v>حقيبة لابتوب</v>
      </c>
      <c r="H1059" s="83" t="str">
        <f aca="false">IFERROR(INDEX(p_Cat,MATCH($F1059,p_ID,0)),"غير معرّف")</f>
        <v>مستلزمات مكتبية</v>
      </c>
      <c r="I1059" s="81" t="s">
        <v>449</v>
      </c>
      <c r="J1059" s="81" t="s">
        <v>91</v>
      </c>
      <c r="K1059" s="81" t="n">
        <v>1</v>
      </c>
      <c r="L1059" s="84" t="n">
        <f aca="false">IFERROR(INDEX(p_Price,MATCH($F1059,p_ID,0)),0)</f>
        <v>260</v>
      </c>
      <c r="M1059" s="85" t="n">
        <v>0</v>
      </c>
      <c r="N1059" s="81" t="s">
        <v>644</v>
      </c>
      <c r="O1059" s="84" t="n">
        <f aca="false">IF($N1059="مرتجع",0,K1059*L1059*(1-M1059))</f>
        <v>260</v>
      </c>
      <c r="P1059" s="84" t="n">
        <f aca="false">IF($N1059="مرتجع",0,K1059*IFERROR(INDEX(p_Cost,MATCH($F1059,p_ID,0)),0))</f>
        <v>120</v>
      </c>
      <c r="Q1059" s="84" t="n">
        <f aca="false">O1059-P1059</f>
        <v>140</v>
      </c>
      <c r="R1059" s="86" t="n">
        <f aca="false">DATE(YEAR(B1059),MONTH(B1059),1)</f>
        <v>46174</v>
      </c>
      <c r="S1059" s="83" t="str">
        <f aca="false">YEAR(B1059)&amp;"-Q"&amp;ROUNDUP(MONTH(B1059)/3,0)</f>
        <v>2026-Q2</v>
      </c>
      <c r="T1059" s="87" t="n">
        <f aca="false">IF(O1059&gt;0,Q1059/O1059,"")</f>
        <v>0.538461538461538</v>
      </c>
      <c r="U1059" s="84" t="n">
        <f aca="false">IF(O1059&gt;0,O1059,"")</f>
        <v>260</v>
      </c>
    </row>
    <row r="1060" customFormat="false" ht="15" hidden="false" customHeight="false" outlineLevel="0" collapsed="false">
      <c r="A1060" s="81" t="s">
        <v>1703</v>
      </c>
      <c r="B1060" s="82" t="n">
        <v>46179</v>
      </c>
      <c r="C1060" s="81" t="s">
        <v>234</v>
      </c>
      <c r="D1060" s="83" t="str">
        <f aca="false">IFERROR(INDEX(c_Name,MATCH($C1060,c_ID,0)),"غير معرّف")</f>
        <v>هند الخالدي</v>
      </c>
      <c r="E1060" s="83" t="str">
        <f aca="false">IFERROR(INDEX(c_Region,MATCH($C1060,c_ID,0)),"غير معرّف")</f>
        <v>الوسطى</v>
      </c>
      <c r="F1060" s="81" t="s">
        <v>185</v>
      </c>
      <c r="G1060" s="83" t="str">
        <f aca="false">IFERROR(INDEX(p_Name,MATCH($F1060,p_ID,0)),"غير معرّف")</f>
        <v>ماكينة حلاقة</v>
      </c>
      <c r="H1060" s="83" t="str">
        <f aca="false">IFERROR(INDEX(p_Cat,MATCH($F1060,p_ID,0)),"غير معرّف")</f>
        <v>عناية شخصية</v>
      </c>
      <c r="I1060" s="81" t="s">
        <v>443</v>
      </c>
      <c r="J1060" s="81" t="s">
        <v>93</v>
      </c>
      <c r="K1060" s="81" t="n">
        <v>4</v>
      </c>
      <c r="L1060" s="84" t="n">
        <f aca="false">IFERROR(INDEX(p_Price,MATCH($F1060,p_ID,0)),0)</f>
        <v>340</v>
      </c>
      <c r="M1060" s="85" t="n">
        <v>0.2</v>
      </c>
      <c r="N1060" s="81" t="s">
        <v>644</v>
      </c>
      <c r="O1060" s="84" t="n">
        <f aca="false">IF($N1060="مرتجع",0,K1060*L1060*(1-M1060))</f>
        <v>1088</v>
      </c>
      <c r="P1060" s="84" t="n">
        <f aca="false">IF($N1060="مرتجع",0,K1060*IFERROR(INDEX(p_Cost,MATCH($F1060,p_ID,0)),0))</f>
        <v>680</v>
      </c>
      <c r="Q1060" s="84" t="n">
        <f aca="false">O1060-P1060</f>
        <v>408</v>
      </c>
      <c r="R1060" s="86" t="n">
        <f aca="false">DATE(YEAR(B1060),MONTH(B1060),1)</f>
        <v>46174</v>
      </c>
      <c r="S1060" s="83" t="str">
        <f aca="false">YEAR(B1060)&amp;"-Q"&amp;ROUNDUP(MONTH(B1060)/3,0)</f>
        <v>2026-Q2</v>
      </c>
      <c r="T1060" s="87" t="n">
        <f aca="false">IF(O1060&gt;0,Q1060/O1060,"")</f>
        <v>0.375</v>
      </c>
      <c r="U1060" s="84" t="n">
        <f aca="false">IF(O1060&gt;0,O1060,"")</f>
        <v>1088</v>
      </c>
    </row>
    <row r="1061" customFormat="false" ht="15" hidden="false" customHeight="false" outlineLevel="0" collapsed="false">
      <c r="A1061" s="81" t="s">
        <v>1704</v>
      </c>
      <c r="B1061" s="82" t="n">
        <v>46180</v>
      </c>
      <c r="C1061" s="81" t="s">
        <v>404</v>
      </c>
      <c r="D1061" s="83" t="str">
        <f aca="false">IFERROR(INDEX(c_Name,MATCH($C1061,c_ID,0)),"غير معرّف")</f>
        <v>عبدالله الحسيني</v>
      </c>
      <c r="E1061" s="83" t="str">
        <f aca="false">IFERROR(INDEX(c_Region,MATCH($C1061,c_ID,0)),"غير معرّف")</f>
        <v>الشرقية</v>
      </c>
      <c r="F1061" s="81" t="s">
        <v>182</v>
      </c>
      <c r="G1061" s="83" t="str">
        <f aca="false">IFERROR(INDEX(p_Name,MATCH($F1061,p_ID,0)),"غير معرّف")</f>
        <v>طقم أوزان</v>
      </c>
      <c r="H1061" s="83" t="str">
        <f aca="false">IFERROR(INDEX(p_Cat,MATCH($F1061,p_ID,0)),"غير معرّف")</f>
        <v>رياضة</v>
      </c>
      <c r="I1061" s="81" t="s">
        <v>463</v>
      </c>
      <c r="J1061" s="81" t="s">
        <v>91</v>
      </c>
      <c r="K1061" s="81" t="n">
        <v>1</v>
      </c>
      <c r="L1061" s="84" t="n">
        <f aca="false">IFERROR(INDEX(p_Price,MATCH($F1061,p_ID,0)),0)</f>
        <v>380</v>
      </c>
      <c r="M1061" s="85" t="n">
        <v>0</v>
      </c>
      <c r="N1061" s="81" t="s">
        <v>644</v>
      </c>
      <c r="O1061" s="84" t="n">
        <f aca="false">IF($N1061="مرتجع",0,K1061*L1061*(1-M1061))</f>
        <v>380</v>
      </c>
      <c r="P1061" s="84" t="n">
        <f aca="false">IF($N1061="مرتجع",0,K1061*IFERROR(INDEX(p_Cost,MATCH($F1061,p_ID,0)),0))</f>
        <v>210</v>
      </c>
      <c r="Q1061" s="84" t="n">
        <f aca="false">O1061-P1061</f>
        <v>170</v>
      </c>
      <c r="R1061" s="86" t="n">
        <f aca="false">DATE(YEAR(B1061),MONTH(B1061),1)</f>
        <v>46174</v>
      </c>
      <c r="S1061" s="83" t="str">
        <f aca="false">YEAR(B1061)&amp;"-Q"&amp;ROUNDUP(MONTH(B1061)/3,0)</f>
        <v>2026-Q2</v>
      </c>
      <c r="T1061" s="87" t="n">
        <f aca="false">IF(O1061&gt;0,Q1061/O1061,"")</f>
        <v>0.447368421052632</v>
      </c>
      <c r="U1061" s="84" t="n">
        <f aca="false">IF(O1061&gt;0,O1061,"")</f>
        <v>380</v>
      </c>
    </row>
    <row r="1062" customFormat="false" ht="15" hidden="false" customHeight="false" outlineLevel="0" collapsed="false">
      <c r="A1062" s="81" t="s">
        <v>1705</v>
      </c>
      <c r="B1062" s="82" t="n">
        <v>46180</v>
      </c>
      <c r="C1062" s="81" t="s">
        <v>410</v>
      </c>
      <c r="D1062" s="83" t="str">
        <f aca="false">IFERROR(INDEX(c_Name,MATCH($C1062,c_ID,0)),"غير معرّف")</f>
        <v>لمى الحربي</v>
      </c>
      <c r="E1062" s="83" t="str">
        <f aca="false">IFERROR(INDEX(c_Region,MATCH($C1062,c_ID,0)),"غير معرّف")</f>
        <v>الوسطى</v>
      </c>
      <c r="F1062" s="81" t="s">
        <v>184</v>
      </c>
      <c r="G1062" s="83" t="str">
        <f aca="false">IFERROR(INDEX(p_Name,MATCH($F1062,p_ID,0)),"غير معرّف")</f>
        <v>عطر فاخر</v>
      </c>
      <c r="H1062" s="83" t="str">
        <f aca="false">IFERROR(INDEX(p_Cat,MATCH($F1062,p_ID,0)),"غير معرّف")</f>
        <v>عناية شخصية</v>
      </c>
      <c r="I1062" s="81" t="s">
        <v>449</v>
      </c>
      <c r="J1062" s="81" t="s">
        <v>93</v>
      </c>
      <c r="K1062" s="81" t="n">
        <v>2</v>
      </c>
      <c r="L1062" s="84" t="n">
        <f aca="false">IFERROR(INDEX(p_Price,MATCH($F1062,p_ID,0)),0)</f>
        <v>520</v>
      </c>
      <c r="M1062" s="85" t="n">
        <v>0</v>
      </c>
      <c r="N1062" s="81" t="s">
        <v>644</v>
      </c>
      <c r="O1062" s="84" t="n">
        <f aca="false">IF($N1062="مرتجع",0,K1062*L1062*(1-M1062))</f>
        <v>1040</v>
      </c>
      <c r="P1062" s="84" t="n">
        <f aca="false">IF($N1062="مرتجع",0,K1062*IFERROR(INDEX(p_Cost,MATCH($F1062,p_ID,0)),0))</f>
        <v>420</v>
      </c>
      <c r="Q1062" s="84" t="n">
        <f aca="false">O1062-P1062</f>
        <v>620</v>
      </c>
      <c r="R1062" s="86" t="n">
        <f aca="false">DATE(YEAR(B1062),MONTH(B1062),1)</f>
        <v>46174</v>
      </c>
      <c r="S1062" s="83" t="str">
        <f aca="false">YEAR(B1062)&amp;"-Q"&amp;ROUNDUP(MONTH(B1062)/3,0)</f>
        <v>2026-Q2</v>
      </c>
      <c r="T1062" s="87" t="n">
        <f aca="false">IF(O1062&gt;0,Q1062/O1062,"")</f>
        <v>0.596153846153846</v>
      </c>
      <c r="U1062" s="84" t="n">
        <f aca="false">IF(O1062&gt;0,O1062,"")</f>
        <v>1040</v>
      </c>
    </row>
    <row r="1063" customFormat="false" ht="15" hidden="false" customHeight="false" outlineLevel="0" collapsed="false">
      <c r="A1063" s="81" t="s">
        <v>1706</v>
      </c>
      <c r="B1063" s="82" t="n">
        <v>46181</v>
      </c>
      <c r="C1063" s="81" t="s">
        <v>266</v>
      </c>
      <c r="D1063" s="83" t="str">
        <f aca="false">IFERROR(INDEX(c_Name,MATCH($C1063,c_ID,0)),"غير معرّف")</f>
        <v>ياسر الشهري</v>
      </c>
      <c r="E1063" s="83" t="str">
        <f aca="false">IFERROR(INDEX(c_Region,MATCH($C1063,c_ID,0)),"غير معرّف")</f>
        <v>الوسطى</v>
      </c>
      <c r="F1063" s="81" t="s">
        <v>165</v>
      </c>
      <c r="G1063" s="83" t="str">
        <f aca="false">IFERROR(INDEX(p_Name,MATCH($F1063,p_ID,0)),"غير معرّف")</f>
        <v>حاسوب محمول</v>
      </c>
      <c r="H1063" s="83" t="str">
        <f aca="false">IFERROR(INDEX(p_Cat,MATCH($F1063,p_ID,0)),"غير معرّف")</f>
        <v>إلكترونيات</v>
      </c>
      <c r="I1063" s="81" t="s">
        <v>446</v>
      </c>
      <c r="J1063" s="81" t="s">
        <v>91</v>
      </c>
      <c r="K1063" s="81" t="n">
        <v>1</v>
      </c>
      <c r="L1063" s="84" t="n">
        <f aca="false">IFERROR(INDEX(p_Price,MATCH($F1063,p_ID,0)),0)</f>
        <v>3800</v>
      </c>
      <c r="M1063" s="85" t="n">
        <v>0</v>
      </c>
      <c r="N1063" s="81" t="s">
        <v>644</v>
      </c>
      <c r="O1063" s="84" t="n">
        <f aca="false">IF($N1063="مرتجع",0,K1063*L1063*(1-M1063))</f>
        <v>3800</v>
      </c>
      <c r="P1063" s="84" t="n">
        <f aca="false">IF($N1063="مرتجع",0,K1063*IFERROR(INDEX(p_Cost,MATCH($F1063,p_ID,0)),0))</f>
        <v>2900</v>
      </c>
      <c r="Q1063" s="84" t="n">
        <f aca="false">O1063-P1063</f>
        <v>900</v>
      </c>
      <c r="R1063" s="86" t="n">
        <f aca="false">DATE(YEAR(B1063),MONTH(B1063),1)</f>
        <v>46174</v>
      </c>
      <c r="S1063" s="83" t="str">
        <f aca="false">YEAR(B1063)&amp;"-Q"&amp;ROUNDUP(MONTH(B1063)/3,0)</f>
        <v>2026-Q2</v>
      </c>
      <c r="T1063" s="87" t="n">
        <f aca="false">IF(O1063&gt;0,Q1063/O1063,"")</f>
        <v>0.236842105263158</v>
      </c>
      <c r="U1063" s="84" t="n">
        <f aca="false">IF(O1063&gt;0,O1063,"")</f>
        <v>3800</v>
      </c>
    </row>
    <row r="1064" customFormat="false" ht="15" hidden="false" customHeight="false" outlineLevel="0" collapsed="false">
      <c r="A1064" s="81" t="s">
        <v>1707</v>
      </c>
      <c r="B1064" s="82" t="n">
        <v>46181</v>
      </c>
      <c r="C1064" s="81" t="s">
        <v>369</v>
      </c>
      <c r="D1064" s="83" t="str">
        <f aca="false">IFERROR(INDEX(c_Name,MATCH($C1064,c_ID,0)),"غير معرّف")</f>
        <v>منى الغامدي</v>
      </c>
      <c r="E1064" s="83" t="str">
        <f aca="false">IFERROR(INDEX(c_Region,MATCH($C1064,c_ID,0)),"غير معرّف")</f>
        <v>الوسطى</v>
      </c>
      <c r="F1064" s="81" t="s">
        <v>166</v>
      </c>
      <c r="G1064" s="83" t="str">
        <f aca="false">IFERROR(INDEX(p_Name,MATCH($F1064,p_ID,0)),"غير معرّف")</f>
        <v>سماعات لاسلكية</v>
      </c>
      <c r="H1064" s="83" t="str">
        <f aca="false">IFERROR(INDEX(p_Cat,MATCH($F1064,p_ID,0)),"غير معرّف")</f>
        <v>إلكترونيات</v>
      </c>
      <c r="I1064" s="81" t="s">
        <v>449</v>
      </c>
      <c r="J1064" s="81" t="s">
        <v>93</v>
      </c>
      <c r="K1064" s="81" t="n">
        <v>3</v>
      </c>
      <c r="L1064" s="84" t="n">
        <f aca="false">IFERROR(INDEX(p_Price,MATCH($F1064,p_ID,0)),0)</f>
        <v>450</v>
      </c>
      <c r="M1064" s="85" t="n">
        <v>0</v>
      </c>
      <c r="N1064" s="81" t="s">
        <v>644</v>
      </c>
      <c r="O1064" s="84" t="n">
        <f aca="false">IF($N1064="مرتجع",0,K1064*L1064*(1-M1064))</f>
        <v>1350</v>
      </c>
      <c r="P1064" s="84" t="n">
        <f aca="false">IF($N1064="مرتجع",0,K1064*IFERROR(INDEX(p_Cost,MATCH($F1064,p_ID,0)),0))</f>
        <v>780</v>
      </c>
      <c r="Q1064" s="84" t="n">
        <f aca="false">O1064-P1064</f>
        <v>570</v>
      </c>
      <c r="R1064" s="86" t="n">
        <f aca="false">DATE(YEAR(B1064),MONTH(B1064),1)</f>
        <v>46174</v>
      </c>
      <c r="S1064" s="83" t="str">
        <f aca="false">YEAR(B1064)&amp;"-Q"&amp;ROUNDUP(MONTH(B1064)/3,0)</f>
        <v>2026-Q2</v>
      </c>
      <c r="T1064" s="87" t="n">
        <f aca="false">IF(O1064&gt;0,Q1064/O1064,"")</f>
        <v>0.422222222222222</v>
      </c>
      <c r="U1064" s="84" t="n">
        <f aca="false">IF(O1064&gt;0,O1064,"")</f>
        <v>1350</v>
      </c>
    </row>
    <row r="1065" customFormat="false" ht="15" hidden="false" customHeight="false" outlineLevel="0" collapsed="false">
      <c r="A1065" s="81" t="s">
        <v>1708</v>
      </c>
      <c r="B1065" s="82" t="n">
        <v>46182</v>
      </c>
      <c r="C1065" s="81" t="s">
        <v>351</v>
      </c>
      <c r="D1065" s="83" t="str">
        <f aca="false">IFERROR(INDEX(c_Name,MATCH($C1065,c_ID,0)),"غير معرّف")</f>
        <v>منى البلوي</v>
      </c>
      <c r="E1065" s="83" t="str">
        <f aca="false">IFERROR(INDEX(c_Region,MATCH($C1065,c_ID,0)),"غير معرّف")</f>
        <v>الوسطى</v>
      </c>
      <c r="F1065" s="81" t="s">
        <v>185</v>
      </c>
      <c r="G1065" s="83" t="str">
        <f aca="false">IFERROR(INDEX(p_Name,MATCH($F1065,p_ID,0)),"غير معرّف")</f>
        <v>ماكينة حلاقة</v>
      </c>
      <c r="H1065" s="83" t="str">
        <f aca="false">IFERROR(INDEX(p_Cat,MATCH($F1065,p_ID,0)),"غير معرّف")</f>
        <v>عناية شخصية</v>
      </c>
      <c r="I1065" s="81" t="s">
        <v>446</v>
      </c>
      <c r="J1065" s="81" t="s">
        <v>91</v>
      </c>
      <c r="K1065" s="81" t="n">
        <v>1</v>
      </c>
      <c r="L1065" s="84" t="n">
        <f aca="false">IFERROR(INDEX(p_Price,MATCH($F1065,p_ID,0)),0)</f>
        <v>340</v>
      </c>
      <c r="M1065" s="85" t="n">
        <v>0.05</v>
      </c>
      <c r="N1065" s="81" t="s">
        <v>644</v>
      </c>
      <c r="O1065" s="84" t="n">
        <f aca="false">IF($N1065="مرتجع",0,K1065*L1065*(1-M1065))</f>
        <v>323</v>
      </c>
      <c r="P1065" s="84" t="n">
        <f aca="false">IF($N1065="مرتجع",0,K1065*IFERROR(INDEX(p_Cost,MATCH($F1065,p_ID,0)),0))</f>
        <v>170</v>
      </c>
      <c r="Q1065" s="84" t="n">
        <f aca="false">O1065-P1065</f>
        <v>153</v>
      </c>
      <c r="R1065" s="86" t="n">
        <f aca="false">DATE(YEAR(B1065),MONTH(B1065),1)</f>
        <v>46174</v>
      </c>
      <c r="S1065" s="83" t="str">
        <f aca="false">YEAR(B1065)&amp;"-Q"&amp;ROUNDUP(MONTH(B1065)/3,0)</f>
        <v>2026-Q2</v>
      </c>
      <c r="T1065" s="87" t="n">
        <f aca="false">IF(O1065&gt;0,Q1065/O1065,"")</f>
        <v>0.473684210526316</v>
      </c>
      <c r="U1065" s="84" t="n">
        <f aca="false">IF(O1065&gt;0,O1065,"")</f>
        <v>323</v>
      </c>
    </row>
    <row r="1066" customFormat="false" ht="15" hidden="false" customHeight="false" outlineLevel="0" collapsed="false">
      <c r="A1066" s="81" t="s">
        <v>1709</v>
      </c>
      <c r="B1066" s="82" t="n">
        <v>46182</v>
      </c>
      <c r="C1066" s="81" t="s">
        <v>413</v>
      </c>
      <c r="D1066" s="83" t="str">
        <f aca="false">IFERROR(INDEX(c_Name,MATCH($C1066,c_ID,0)),"غير معرّف")</f>
        <v>نورة الحسيني</v>
      </c>
      <c r="E1066" s="83" t="str">
        <f aca="false">IFERROR(INDEX(c_Region,MATCH($C1066,c_ID,0)),"غير معرّف")</f>
        <v>الوسطى</v>
      </c>
      <c r="F1066" s="81" t="s">
        <v>169</v>
      </c>
      <c r="G1066" s="83" t="str">
        <f aca="false">IFERROR(INDEX(p_Name,MATCH($F1066,p_ID,0)),"غير معرّف")</f>
        <v>خلاط</v>
      </c>
      <c r="H1066" s="83" t="str">
        <f aca="false">IFERROR(INDEX(p_Cat,MATCH($F1066,p_ID,0)),"غير معرّف")</f>
        <v>أجهزة منزلية</v>
      </c>
      <c r="I1066" s="81" t="s">
        <v>449</v>
      </c>
      <c r="J1066" s="81" t="s">
        <v>93</v>
      </c>
      <c r="K1066" s="81" t="n">
        <v>2</v>
      </c>
      <c r="L1066" s="84" t="n">
        <f aca="false">IFERROR(INDEX(p_Price,MATCH($F1066,p_ID,0)),0)</f>
        <v>300</v>
      </c>
      <c r="M1066" s="85" t="n">
        <v>0</v>
      </c>
      <c r="N1066" s="81" t="s">
        <v>644</v>
      </c>
      <c r="O1066" s="84" t="n">
        <f aca="false">IF($N1066="مرتجع",0,K1066*L1066*(1-M1066))</f>
        <v>600</v>
      </c>
      <c r="P1066" s="84" t="n">
        <f aca="false">IF($N1066="مرتجع",0,K1066*IFERROR(INDEX(p_Cost,MATCH($F1066,p_ID,0)),0))</f>
        <v>350</v>
      </c>
      <c r="Q1066" s="84" t="n">
        <f aca="false">O1066-P1066</f>
        <v>250</v>
      </c>
      <c r="R1066" s="86" t="n">
        <f aca="false">DATE(YEAR(B1066),MONTH(B1066),1)</f>
        <v>46174</v>
      </c>
      <c r="S1066" s="83" t="str">
        <f aca="false">YEAR(B1066)&amp;"-Q"&amp;ROUNDUP(MONTH(B1066)/3,0)</f>
        <v>2026-Q2</v>
      </c>
      <c r="T1066" s="87" t="n">
        <f aca="false">IF(O1066&gt;0,Q1066/O1066,"")</f>
        <v>0.416666666666667</v>
      </c>
      <c r="U1066" s="84" t="n">
        <f aca="false">IF(O1066&gt;0,O1066,"")</f>
        <v>600</v>
      </c>
    </row>
    <row r="1067" customFormat="false" ht="15" hidden="false" customHeight="false" outlineLevel="0" collapsed="false">
      <c r="A1067" s="81" t="s">
        <v>1710</v>
      </c>
      <c r="B1067" s="82" t="n">
        <v>46182</v>
      </c>
      <c r="C1067" s="81" t="s">
        <v>234</v>
      </c>
      <c r="D1067" s="83" t="str">
        <f aca="false">IFERROR(INDEX(c_Name,MATCH($C1067,c_ID,0)),"غير معرّف")</f>
        <v>هند الخالدي</v>
      </c>
      <c r="E1067" s="83" t="str">
        <f aca="false">IFERROR(INDEX(c_Region,MATCH($C1067,c_ID,0)),"غير معرّف")</f>
        <v>الوسطى</v>
      </c>
      <c r="F1067" s="81" t="s">
        <v>186</v>
      </c>
      <c r="G1067" s="83" t="str">
        <f aca="false">IFERROR(INDEX(p_Name,MATCH($F1067,p_ID,0)),"غير معرّف")</f>
        <v>مجفف شعر</v>
      </c>
      <c r="H1067" s="83" t="str">
        <f aca="false">IFERROR(INDEX(p_Cat,MATCH($F1067,p_ID,0)),"غير معرّف")</f>
        <v>عناية شخصية</v>
      </c>
      <c r="I1067" s="81" t="s">
        <v>449</v>
      </c>
      <c r="J1067" s="81" t="s">
        <v>93</v>
      </c>
      <c r="K1067" s="81" t="n">
        <v>1</v>
      </c>
      <c r="L1067" s="84" t="n">
        <f aca="false">IFERROR(INDEX(p_Price,MATCH($F1067,p_ID,0)),0)</f>
        <v>280</v>
      </c>
      <c r="M1067" s="85" t="n">
        <v>0.2</v>
      </c>
      <c r="N1067" s="81" t="s">
        <v>650</v>
      </c>
      <c r="O1067" s="84" t="n">
        <f aca="false">IF($N1067="مرتجع",0,K1067*L1067*(1-M1067))</f>
        <v>0</v>
      </c>
      <c r="P1067" s="84" t="n">
        <f aca="false">IF($N1067="مرتجع",0,K1067*IFERROR(INDEX(p_Cost,MATCH($F1067,p_ID,0)),0))</f>
        <v>0</v>
      </c>
      <c r="Q1067" s="84" t="n">
        <f aca="false">O1067-P1067</f>
        <v>0</v>
      </c>
      <c r="R1067" s="86" t="n">
        <f aca="false">DATE(YEAR(B1067),MONTH(B1067),1)</f>
        <v>46174</v>
      </c>
      <c r="S1067" s="83" t="str">
        <f aca="false">YEAR(B1067)&amp;"-Q"&amp;ROUNDUP(MONTH(B1067)/3,0)</f>
        <v>2026-Q2</v>
      </c>
      <c r="T1067" s="87" t="str">
        <f aca="false">IF(O1067&gt;0,Q1067/O1067,"")</f>
        <v/>
      </c>
      <c r="U1067" s="84" t="str">
        <f aca="false">IF(O1067&gt;0,O1067,"")</f>
        <v/>
      </c>
    </row>
    <row r="1068" customFormat="false" ht="15" hidden="false" customHeight="false" outlineLevel="0" collapsed="false">
      <c r="A1068" s="81" t="s">
        <v>1711</v>
      </c>
      <c r="B1068" s="82" t="n">
        <v>46182</v>
      </c>
      <c r="C1068" s="81" t="s">
        <v>330</v>
      </c>
      <c r="D1068" s="83" t="str">
        <f aca="false">IFERROR(INDEX(c_Name,MATCH($C1068,c_ID,0)),"غير معرّف")</f>
        <v>سارة السبيعي</v>
      </c>
      <c r="E1068" s="83" t="str">
        <f aca="false">IFERROR(INDEX(c_Region,MATCH($C1068,c_ID,0)),"غير معرّف")</f>
        <v>الشرقية</v>
      </c>
      <c r="F1068" s="81" t="s">
        <v>187</v>
      </c>
      <c r="G1068" s="83" t="str">
        <f aca="false">IFERROR(INDEX(p_Name,MATCH($F1068,p_ID,0)),"غير معرّف")</f>
        <v>جهاز تدليك</v>
      </c>
      <c r="H1068" s="83" t="str">
        <f aca="false">IFERROR(INDEX(p_Cat,MATCH($F1068,p_ID,0)),"غير معرّف")</f>
        <v>عناية شخصية</v>
      </c>
      <c r="I1068" s="81" t="s">
        <v>461</v>
      </c>
      <c r="J1068" s="81" t="s">
        <v>95</v>
      </c>
      <c r="K1068" s="81" t="n">
        <v>6</v>
      </c>
      <c r="L1068" s="84" t="n">
        <f aca="false">IFERROR(INDEX(p_Price,MATCH($F1068,p_ID,0)),0)</f>
        <v>600</v>
      </c>
      <c r="M1068" s="85" t="n">
        <v>0.1</v>
      </c>
      <c r="N1068" s="81" t="s">
        <v>644</v>
      </c>
      <c r="O1068" s="84" t="n">
        <f aca="false">IF($N1068="مرتجع",0,K1068*L1068*(1-M1068))</f>
        <v>3240</v>
      </c>
      <c r="P1068" s="84" t="n">
        <f aca="false">IF($N1068="مرتجع",0,K1068*IFERROR(INDEX(p_Cost,MATCH($F1068,p_ID,0)),0))</f>
        <v>1980</v>
      </c>
      <c r="Q1068" s="84" t="n">
        <f aca="false">O1068-P1068</f>
        <v>1260</v>
      </c>
      <c r="R1068" s="86" t="n">
        <f aca="false">DATE(YEAR(B1068),MONTH(B1068),1)</f>
        <v>46174</v>
      </c>
      <c r="S1068" s="83" t="str">
        <f aca="false">YEAR(B1068)&amp;"-Q"&amp;ROUNDUP(MONTH(B1068)/3,0)</f>
        <v>2026-Q2</v>
      </c>
      <c r="T1068" s="87" t="n">
        <f aca="false">IF(O1068&gt;0,Q1068/O1068,"")</f>
        <v>0.388888888888889</v>
      </c>
      <c r="U1068" s="84" t="n">
        <f aca="false">IF(O1068&gt;0,O1068,"")</f>
        <v>3240</v>
      </c>
    </row>
    <row r="1069" customFormat="false" ht="15" hidden="false" customHeight="false" outlineLevel="0" collapsed="false">
      <c r="A1069" s="81" t="s">
        <v>1712</v>
      </c>
      <c r="B1069" s="82" t="n">
        <v>46182</v>
      </c>
      <c r="C1069" s="81" t="s">
        <v>401</v>
      </c>
      <c r="D1069" s="83" t="str">
        <f aca="false">IFERROR(INDEX(c_Name,MATCH($C1069,c_ID,0)),"غير معرّف")</f>
        <v>فهد المطيري</v>
      </c>
      <c r="E1069" s="83" t="str">
        <f aca="false">IFERROR(INDEX(c_Region,MATCH($C1069,c_ID,0)),"غير معرّف")</f>
        <v>الغربية</v>
      </c>
      <c r="F1069" s="81" t="s">
        <v>176</v>
      </c>
      <c r="G1069" s="83" t="str">
        <f aca="false">IFERROR(INDEX(p_Name,MATCH($F1069,p_ID,0)),"غير معرّف")</f>
        <v>طابعة ليزر</v>
      </c>
      <c r="H1069" s="83" t="str">
        <f aca="false">IFERROR(INDEX(p_Cat,MATCH($F1069,p_ID,0)),"غير معرّف")</f>
        <v>مستلزمات مكتبية</v>
      </c>
      <c r="I1069" s="81" t="s">
        <v>458</v>
      </c>
      <c r="J1069" s="81" t="s">
        <v>93</v>
      </c>
      <c r="K1069" s="81" t="n">
        <v>1</v>
      </c>
      <c r="L1069" s="84" t="n">
        <f aca="false">IFERROR(INDEX(p_Price,MATCH($F1069,p_ID,0)),0)</f>
        <v>1300</v>
      </c>
      <c r="M1069" s="85" t="n">
        <v>0.1</v>
      </c>
      <c r="N1069" s="81" t="s">
        <v>644</v>
      </c>
      <c r="O1069" s="84" t="n">
        <f aca="false">IF($N1069="مرتجع",0,K1069*L1069*(1-M1069))</f>
        <v>1170</v>
      </c>
      <c r="P1069" s="84" t="n">
        <f aca="false">IF($N1069="مرتجع",0,K1069*IFERROR(INDEX(p_Cost,MATCH($F1069,p_ID,0)),0))</f>
        <v>950</v>
      </c>
      <c r="Q1069" s="84" t="n">
        <f aca="false">O1069-P1069</f>
        <v>220</v>
      </c>
      <c r="R1069" s="86" t="n">
        <f aca="false">DATE(YEAR(B1069),MONTH(B1069),1)</f>
        <v>46174</v>
      </c>
      <c r="S1069" s="83" t="str">
        <f aca="false">YEAR(B1069)&amp;"-Q"&amp;ROUNDUP(MONTH(B1069)/3,0)</f>
        <v>2026-Q2</v>
      </c>
      <c r="T1069" s="87" t="n">
        <f aca="false">IF(O1069&gt;0,Q1069/O1069,"")</f>
        <v>0.188034188034188</v>
      </c>
      <c r="U1069" s="84" t="n">
        <f aca="false">IF(O1069&gt;0,O1069,"")</f>
        <v>1170</v>
      </c>
    </row>
    <row r="1070" customFormat="false" ht="15" hidden="false" customHeight="false" outlineLevel="0" collapsed="false">
      <c r="A1070" s="81" t="s">
        <v>1713</v>
      </c>
      <c r="B1070" s="82" t="n">
        <v>46182</v>
      </c>
      <c r="C1070" s="81" t="s">
        <v>334</v>
      </c>
      <c r="D1070" s="83" t="str">
        <f aca="false">IFERROR(INDEX(c_Name,MATCH($C1070,c_ID,0)),"غير معرّف")</f>
        <v>ناصر الغامدي</v>
      </c>
      <c r="E1070" s="83" t="str">
        <f aca="false">IFERROR(INDEX(c_Region,MATCH($C1070,c_ID,0)),"غير معرّف")</f>
        <v>الغربية</v>
      </c>
      <c r="F1070" s="81" t="s">
        <v>164</v>
      </c>
      <c r="G1070" s="83" t="str">
        <f aca="false">IFERROR(INDEX(p_Name,MATCH($F1070,p_ID,0)),"غير معرّف")</f>
        <v>هاتف ذكي</v>
      </c>
      <c r="H1070" s="83" t="str">
        <f aca="false">IFERROR(INDEX(p_Cat,MATCH($F1070,p_ID,0)),"غير معرّف")</f>
        <v>إلكترونيات</v>
      </c>
      <c r="I1070" s="81" t="s">
        <v>458</v>
      </c>
      <c r="J1070" s="81" t="s">
        <v>93</v>
      </c>
      <c r="K1070" s="81" t="n">
        <v>1</v>
      </c>
      <c r="L1070" s="84" t="n">
        <f aca="false">IFERROR(INDEX(p_Price,MATCH($F1070,p_ID,0)),0)</f>
        <v>2400</v>
      </c>
      <c r="M1070" s="85" t="n">
        <v>0</v>
      </c>
      <c r="N1070" s="81" t="s">
        <v>644</v>
      </c>
      <c r="O1070" s="84" t="n">
        <f aca="false">IF($N1070="مرتجع",0,K1070*L1070*(1-M1070))</f>
        <v>2400</v>
      </c>
      <c r="P1070" s="84" t="n">
        <f aca="false">IF($N1070="مرتجع",0,K1070*IFERROR(INDEX(p_Cost,MATCH($F1070,p_ID,0)),0))</f>
        <v>1750</v>
      </c>
      <c r="Q1070" s="84" t="n">
        <f aca="false">O1070-P1070</f>
        <v>650</v>
      </c>
      <c r="R1070" s="86" t="n">
        <f aca="false">DATE(YEAR(B1070),MONTH(B1070),1)</f>
        <v>46174</v>
      </c>
      <c r="S1070" s="83" t="str">
        <f aca="false">YEAR(B1070)&amp;"-Q"&amp;ROUNDUP(MONTH(B1070)/3,0)</f>
        <v>2026-Q2</v>
      </c>
      <c r="T1070" s="87" t="n">
        <f aca="false">IF(O1070&gt;0,Q1070/O1070,"")</f>
        <v>0.270833333333333</v>
      </c>
      <c r="U1070" s="84" t="n">
        <f aca="false">IF(O1070&gt;0,O1070,"")</f>
        <v>2400</v>
      </c>
    </row>
    <row r="1071" customFormat="false" ht="15" hidden="false" customHeight="false" outlineLevel="0" collapsed="false">
      <c r="A1071" s="81" t="s">
        <v>1714</v>
      </c>
      <c r="B1071" s="82" t="n">
        <v>46182</v>
      </c>
      <c r="C1071" s="81" t="s">
        <v>404</v>
      </c>
      <c r="D1071" s="83" t="str">
        <f aca="false">IFERROR(INDEX(c_Name,MATCH($C1071,c_ID,0)),"غير معرّف")</f>
        <v>عبدالله الحسيني</v>
      </c>
      <c r="E1071" s="83" t="str">
        <f aca="false">IFERROR(INDEX(c_Region,MATCH($C1071,c_ID,0)),"غير معرّف")</f>
        <v>الشرقية</v>
      </c>
      <c r="F1071" s="81" t="s">
        <v>180</v>
      </c>
      <c r="G1071" s="83" t="str">
        <f aca="false">IFERROR(INDEX(p_Name,MATCH($F1071,p_ID,0)),"غير معرّف")</f>
        <v>جهاز مشي</v>
      </c>
      <c r="H1071" s="83" t="str">
        <f aca="false">IFERROR(INDEX(p_Cat,MATCH($F1071,p_ID,0)),"غير معرّف")</f>
        <v>رياضة</v>
      </c>
      <c r="I1071" s="81" t="s">
        <v>463</v>
      </c>
      <c r="J1071" s="81" t="s">
        <v>93</v>
      </c>
      <c r="K1071" s="81" t="n">
        <v>1</v>
      </c>
      <c r="L1071" s="84" t="n">
        <f aca="false">IFERROR(INDEX(p_Price,MATCH($F1071,p_ID,0)),0)</f>
        <v>3200</v>
      </c>
      <c r="M1071" s="85" t="n">
        <v>0</v>
      </c>
      <c r="N1071" s="81" t="s">
        <v>644</v>
      </c>
      <c r="O1071" s="84" t="n">
        <f aca="false">IF($N1071="مرتجع",0,K1071*L1071*(1-M1071))</f>
        <v>3200</v>
      </c>
      <c r="P1071" s="84" t="n">
        <f aca="false">IF($N1071="مرتجع",0,K1071*IFERROR(INDEX(p_Cost,MATCH($F1071,p_ID,0)),0))</f>
        <v>2200</v>
      </c>
      <c r="Q1071" s="84" t="n">
        <f aca="false">O1071-P1071</f>
        <v>1000</v>
      </c>
      <c r="R1071" s="86" t="n">
        <f aca="false">DATE(YEAR(B1071),MONTH(B1071),1)</f>
        <v>46174</v>
      </c>
      <c r="S1071" s="83" t="str">
        <f aca="false">YEAR(B1071)&amp;"-Q"&amp;ROUNDUP(MONTH(B1071)/3,0)</f>
        <v>2026-Q2</v>
      </c>
      <c r="T1071" s="87" t="n">
        <f aca="false">IF(O1071&gt;0,Q1071/O1071,"")</f>
        <v>0.3125</v>
      </c>
      <c r="U1071" s="84" t="n">
        <f aca="false">IF(O1071&gt;0,O1071,"")</f>
        <v>3200</v>
      </c>
    </row>
    <row r="1072" customFormat="false" ht="15" hidden="false" customHeight="false" outlineLevel="0" collapsed="false">
      <c r="A1072" s="81" t="s">
        <v>1715</v>
      </c>
      <c r="B1072" s="82" t="n">
        <v>46183</v>
      </c>
      <c r="C1072" s="81" t="s">
        <v>410</v>
      </c>
      <c r="D1072" s="83" t="str">
        <f aca="false">IFERROR(INDEX(c_Name,MATCH($C1072,c_ID,0)),"غير معرّف")</f>
        <v>لمى الحربي</v>
      </c>
      <c r="E1072" s="83" t="str">
        <f aca="false">IFERROR(INDEX(c_Region,MATCH($C1072,c_ID,0)),"غير معرّف")</f>
        <v>الوسطى</v>
      </c>
      <c r="F1072" s="81" t="s">
        <v>186</v>
      </c>
      <c r="G1072" s="83" t="str">
        <f aca="false">IFERROR(INDEX(p_Name,MATCH($F1072,p_ID,0)),"غير معرّف")</f>
        <v>مجفف شعر</v>
      </c>
      <c r="H1072" s="83" t="str">
        <f aca="false">IFERROR(INDEX(p_Cat,MATCH($F1072,p_ID,0)),"غير معرّف")</f>
        <v>عناية شخصية</v>
      </c>
      <c r="I1072" s="81" t="s">
        <v>443</v>
      </c>
      <c r="J1072" s="81" t="s">
        <v>91</v>
      </c>
      <c r="K1072" s="81" t="n">
        <v>2</v>
      </c>
      <c r="L1072" s="84" t="n">
        <f aca="false">IFERROR(INDEX(p_Price,MATCH($F1072,p_ID,0)),0)</f>
        <v>280</v>
      </c>
      <c r="M1072" s="85" t="n">
        <v>0</v>
      </c>
      <c r="N1072" s="81" t="s">
        <v>644</v>
      </c>
      <c r="O1072" s="84" t="n">
        <f aca="false">IF($N1072="مرتجع",0,K1072*L1072*(1-M1072))</f>
        <v>560</v>
      </c>
      <c r="P1072" s="84" t="n">
        <f aca="false">IF($N1072="مرتجع",0,K1072*IFERROR(INDEX(p_Cost,MATCH($F1072,p_ID,0)),0))</f>
        <v>280</v>
      </c>
      <c r="Q1072" s="84" t="n">
        <f aca="false">O1072-P1072</f>
        <v>280</v>
      </c>
      <c r="R1072" s="86" t="n">
        <f aca="false">DATE(YEAR(B1072),MONTH(B1072),1)</f>
        <v>46174</v>
      </c>
      <c r="S1072" s="83" t="str">
        <f aca="false">YEAR(B1072)&amp;"-Q"&amp;ROUNDUP(MONTH(B1072)/3,0)</f>
        <v>2026-Q2</v>
      </c>
      <c r="T1072" s="87" t="n">
        <f aca="false">IF(O1072&gt;0,Q1072/O1072,"")</f>
        <v>0.5</v>
      </c>
      <c r="U1072" s="84" t="n">
        <f aca="false">IF(O1072&gt;0,O1072,"")</f>
        <v>560</v>
      </c>
    </row>
    <row r="1073" customFormat="false" ht="15" hidden="false" customHeight="false" outlineLevel="0" collapsed="false">
      <c r="A1073" s="81" t="s">
        <v>1716</v>
      </c>
      <c r="B1073" s="82" t="n">
        <v>46183</v>
      </c>
      <c r="C1073" s="81" t="s">
        <v>296</v>
      </c>
      <c r="D1073" s="83" t="str">
        <f aca="false">IFERROR(INDEX(c_Name,MATCH($C1073,c_ID,0)),"غير معرّف")</f>
        <v>محمد الزهراني</v>
      </c>
      <c r="E1073" s="83" t="str">
        <f aca="false">IFERROR(INDEX(c_Region,MATCH($C1073,c_ID,0)),"غير معرّف")</f>
        <v>الغربية</v>
      </c>
      <c r="F1073" s="81" t="s">
        <v>180</v>
      </c>
      <c r="G1073" s="83" t="str">
        <f aca="false">IFERROR(INDEX(p_Name,MATCH($F1073,p_ID,0)),"غير معرّف")</f>
        <v>جهاز مشي</v>
      </c>
      <c r="H1073" s="83" t="str">
        <f aca="false">IFERROR(INDEX(p_Cat,MATCH($F1073,p_ID,0)),"غير معرّف")</f>
        <v>رياضة</v>
      </c>
      <c r="I1073" s="81" t="s">
        <v>452</v>
      </c>
      <c r="J1073" s="81" t="s">
        <v>93</v>
      </c>
      <c r="K1073" s="81" t="n">
        <v>1</v>
      </c>
      <c r="L1073" s="84" t="n">
        <f aca="false">IFERROR(INDEX(p_Price,MATCH($F1073,p_ID,0)),0)</f>
        <v>3200</v>
      </c>
      <c r="M1073" s="85" t="n">
        <v>0</v>
      </c>
      <c r="N1073" s="81" t="s">
        <v>644</v>
      </c>
      <c r="O1073" s="84" t="n">
        <f aca="false">IF($N1073="مرتجع",0,K1073*L1073*(1-M1073))</f>
        <v>3200</v>
      </c>
      <c r="P1073" s="84" t="n">
        <f aca="false">IF($N1073="مرتجع",0,K1073*IFERROR(INDEX(p_Cost,MATCH($F1073,p_ID,0)),0))</f>
        <v>2200</v>
      </c>
      <c r="Q1073" s="84" t="n">
        <f aca="false">O1073-P1073</f>
        <v>1000</v>
      </c>
      <c r="R1073" s="86" t="n">
        <f aca="false">DATE(YEAR(B1073),MONTH(B1073),1)</f>
        <v>46174</v>
      </c>
      <c r="S1073" s="83" t="str">
        <f aca="false">YEAR(B1073)&amp;"-Q"&amp;ROUNDUP(MONTH(B1073)/3,0)</f>
        <v>2026-Q2</v>
      </c>
      <c r="T1073" s="87" t="n">
        <f aca="false">IF(O1073&gt;0,Q1073/O1073,"")</f>
        <v>0.3125</v>
      </c>
      <c r="U1073" s="84" t="n">
        <f aca="false">IF(O1073&gt;0,O1073,"")</f>
        <v>3200</v>
      </c>
    </row>
    <row r="1074" customFormat="false" ht="15" hidden="false" customHeight="false" outlineLevel="0" collapsed="false">
      <c r="A1074" s="81" t="s">
        <v>1717</v>
      </c>
      <c r="B1074" s="82" t="n">
        <v>46183</v>
      </c>
      <c r="C1074" s="81" t="s">
        <v>271</v>
      </c>
      <c r="D1074" s="83" t="str">
        <f aca="false">IFERROR(INDEX(c_Name,MATCH($C1074,c_ID,0)),"غير معرّف")</f>
        <v>أحمد الزهراني</v>
      </c>
      <c r="E1074" s="83" t="str">
        <f aca="false">IFERROR(INDEX(c_Region,MATCH($C1074,c_ID,0)),"غير معرّف")</f>
        <v>الغربية</v>
      </c>
      <c r="F1074" s="81" t="s">
        <v>187</v>
      </c>
      <c r="G1074" s="83" t="str">
        <f aca="false">IFERROR(INDEX(p_Name,MATCH($F1074,p_ID,0)),"غير معرّف")</f>
        <v>جهاز تدليك</v>
      </c>
      <c r="H1074" s="83" t="str">
        <f aca="false">IFERROR(INDEX(p_Cat,MATCH($F1074,p_ID,0)),"غير معرّف")</f>
        <v>عناية شخصية</v>
      </c>
      <c r="I1074" s="81" t="s">
        <v>458</v>
      </c>
      <c r="J1074" s="81" t="s">
        <v>91</v>
      </c>
      <c r="K1074" s="81" t="n">
        <v>1</v>
      </c>
      <c r="L1074" s="84" t="n">
        <f aca="false">IFERROR(INDEX(p_Price,MATCH($F1074,p_ID,0)),0)</f>
        <v>600</v>
      </c>
      <c r="M1074" s="85" t="n">
        <v>0</v>
      </c>
      <c r="N1074" s="81" t="s">
        <v>644</v>
      </c>
      <c r="O1074" s="84" t="n">
        <f aca="false">IF($N1074="مرتجع",0,K1074*L1074*(1-M1074))</f>
        <v>600</v>
      </c>
      <c r="P1074" s="84" t="n">
        <f aca="false">IF($N1074="مرتجع",0,K1074*IFERROR(INDEX(p_Cost,MATCH($F1074,p_ID,0)),0))</f>
        <v>330</v>
      </c>
      <c r="Q1074" s="84" t="n">
        <f aca="false">O1074-P1074</f>
        <v>270</v>
      </c>
      <c r="R1074" s="86" t="n">
        <f aca="false">DATE(YEAR(B1074),MONTH(B1074),1)</f>
        <v>46174</v>
      </c>
      <c r="S1074" s="83" t="str">
        <f aca="false">YEAR(B1074)&amp;"-Q"&amp;ROUNDUP(MONTH(B1074)/3,0)</f>
        <v>2026-Q2</v>
      </c>
      <c r="T1074" s="87" t="n">
        <f aca="false">IF(O1074&gt;0,Q1074/O1074,"")</f>
        <v>0.45</v>
      </c>
      <c r="U1074" s="84" t="n">
        <f aca="false">IF(O1074&gt;0,O1074,"")</f>
        <v>600</v>
      </c>
    </row>
    <row r="1075" customFormat="false" ht="15" hidden="false" customHeight="false" outlineLevel="0" collapsed="false">
      <c r="A1075" s="81" t="s">
        <v>1718</v>
      </c>
      <c r="B1075" s="82" t="n">
        <v>46183</v>
      </c>
      <c r="C1075" s="81" t="s">
        <v>264</v>
      </c>
      <c r="D1075" s="83" t="str">
        <f aca="false">IFERROR(INDEX(c_Name,MATCH($C1075,c_ID,0)),"غير معرّف")</f>
        <v>عبدالله التميمي</v>
      </c>
      <c r="E1075" s="83" t="str">
        <f aca="false">IFERROR(INDEX(c_Region,MATCH($C1075,c_ID,0)),"غير معرّف")</f>
        <v>الوسطى</v>
      </c>
      <c r="F1075" s="81" t="s">
        <v>182</v>
      </c>
      <c r="G1075" s="83" t="str">
        <f aca="false">IFERROR(INDEX(p_Name,MATCH($F1075,p_ID,0)),"غير معرّف")</f>
        <v>طقم أوزان</v>
      </c>
      <c r="H1075" s="83" t="str">
        <f aca="false">IFERROR(INDEX(p_Cat,MATCH($F1075,p_ID,0)),"غير معرّف")</f>
        <v>رياضة</v>
      </c>
      <c r="I1075" s="81" t="s">
        <v>443</v>
      </c>
      <c r="J1075" s="81" t="s">
        <v>91</v>
      </c>
      <c r="K1075" s="81" t="n">
        <v>3</v>
      </c>
      <c r="L1075" s="84" t="n">
        <f aca="false">IFERROR(INDEX(p_Price,MATCH($F1075,p_ID,0)),0)</f>
        <v>380</v>
      </c>
      <c r="M1075" s="85" t="n">
        <v>0</v>
      </c>
      <c r="N1075" s="81" t="s">
        <v>644</v>
      </c>
      <c r="O1075" s="84" t="n">
        <f aca="false">IF($N1075="مرتجع",0,K1075*L1075*(1-M1075))</f>
        <v>1140</v>
      </c>
      <c r="P1075" s="84" t="n">
        <f aca="false">IF($N1075="مرتجع",0,K1075*IFERROR(INDEX(p_Cost,MATCH($F1075,p_ID,0)),0))</f>
        <v>630</v>
      </c>
      <c r="Q1075" s="84" t="n">
        <f aca="false">O1075-P1075</f>
        <v>510</v>
      </c>
      <c r="R1075" s="86" t="n">
        <f aca="false">DATE(YEAR(B1075),MONTH(B1075),1)</f>
        <v>46174</v>
      </c>
      <c r="S1075" s="83" t="str">
        <f aca="false">YEAR(B1075)&amp;"-Q"&amp;ROUNDUP(MONTH(B1075)/3,0)</f>
        <v>2026-Q2</v>
      </c>
      <c r="T1075" s="87" t="n">
        <f aca="false">IF(O1075&gt;0,Q1075/O1075,"")</f>
        <v>0.447368421052632</v>
      </c>
      <c r="U1075" s="84" t="n">
        <f aca="false">IF(O1075&gt;0,O1075,"")</f>
        <v>1140</v>
      </c>
    </row>
    <row r="1076" customFormat="false" ht="15" hidden="false" customHeight="false" outlineLevel="0" collapsed="false">
      <c r="A1076" s="81" t="s">
        <v>1719</v>
      </c>
      <c r="B1076" s="82" t="n">
        <v>46183</v>
      </c>
      <c r="C1076" s="81" t="s">
        <v>383</v>
      </c>
      <c r="D1076" s="83" t="str">
        <f aca="false">IFERROR(INDEX(c_Name,MATCH($C1076,c_ID,0)),"غير معرّف")</f>
        <v>منى الشمري</v>
      </c>
      <c r="E1076" s="83" t="str">
        <f aca="false">IFERROR(INDEX(c_Region,MATCH($C1076,c_ID,0)),"غير معرّف")</f>
        <v>الغربية</v>
      </c>
      <c r="F1076" s="81" t="s">
        <v>173</v>
      </c>
      <c r="G1076" s="83" t="str">
        <f aca="false">IFERROR(INDEX(p_Name,MATCH($F1076,p_ID,0)),"غير معرّف")</f>
        <v>كرسي مريح</v>
      </c>
      <c r="H1076" s="83" t="str">
        <f aca="false">IFERROR(INDEX(p_Cat,MATCH($F1076,p_ID,0)),"غير معرّف")</f>
        <v>أثاث</v>
      </c>
      <c r="I1076" s="81" t="s">
        <v>452</v>
      </c>
      <c r="J1076" s="81" t="s">
        <v>91</v>
      </c>
      <c r="K1076" s="81" t="n">
        <v>7</v>
      </c>
      <c r="L1076" s="84" t="n">
        <f aca="false">IFERROR(INDEX(p_Price,MATCH($F1076,p_ID,0)),0)</f>
        <v>850</v>
      </c>
      <c r="M1076" s="85" t="n">
        <v>0.2</v>
      </c>
      <c r="N1076" s="81" t="s">
        <v>644</v>
      </c>
      <c r="O1076" s="84" t="n">
        <f aca="false">IF($N1076="مرتجع",0,K1076*L1076*(1-M1076))</f>
        <v>4760</v>
      </c>
      <c r="P1076" s="84" t="n">
        <f aca="false">IF($N1076="مرتجع",0,K1076*IFERROR(INDEX(p_Cost,MATCH($F1076,p_ID,0)),0))</f>
        <v>3360</v>
      </c>
      <c r="Q1076" s="84" t="n">
        <f aca="false">O1076-P1076</f>
        <v>1400</v>
      </c>
      <c r="R1076" s="86" t="n">
        <f aca="false">DATE(YEAR(B1076),MONTH(B1076),1)</f>
        <v>46174</v>
      </c>
      <c r="S1076" s="83" t="str">
        <f aca="false">YEAR(B1076)&amp;"-Q"&amp;ROUNDUP(MONTH(B1076)/3,0)</f>
        <v>2026-Q2</v>
      </c>
      <c r="T1076" s="87" t="n">
        <f aca="false">IF(O1076&gt;0,Q1076/O1076,"")</f>
        <v>0.294117647058824</v>
      </c>
      <c r="U1076" s="84" t="n">
        <f aca="false">IF(O1076&gt;0,O1076,"")</f>
        <v>4760</v>
      </c>
    </row>
    <row r="1077" customFormat="false" ht="15" hidden="false" customHeight="false" outlineLevel="0" collapsed="false">
      <c r="A1077" s="81" t="s">
        <v>1720</v>
      </c>
      <c r="B1077" s="82" t="n">
        <v>46183</v>
      </c>
      <c r="C1077" s="81" t="s">
        <v>406</v>
      </c>
      <c r="D1077" s="83" t="str">
        <f aca="false">IFERROR(INDEX(c_Name,MATCH($C1077,c_ID,0)),"غير معرّف")</f>
        <v>نورة الشهري</v>
      </c>
      <c r="E1077" s="83" t="str">
        <f aca="false">IFERROR(INDEX(c_Region,MATCH($C1077,c_ID,0)),"غير معرّف")</f>
        <v>الجنوبية</v>
      </c>
      <c r="F1077" s="81" t="s">
        <v>167</v>
      </c>
      <c r="G1077" s="83" t="str">
        <f aca="false">IFERROR(INDEX(p_Name,MATCH($F1077,p_ID,0)),"غير معرّف")</f>
        <v>شاشة 27 بوصة</v>
      </c>
      <c r="H1077" s="83" t="str">
        <f aca="false">IFERROR(INDEX(p_Cat,MATCH($F1077,p_ID,0)),"غير معرّف")</f>
        <v>إلكترونيات</v>
      </c>
      <c r="I1077" s="81" t="s">
        <v>465</v>
      </c>
      <c r="J1077" s="81" t="s">
        <v>93</v>
      </c>
      <c r="K1077" s="81" t="n">
        <v>12</v>
      </c>
      <c r="L1077" s="84" t="n">
        <f aca="false">IFERROR(INDEX(p_Price,MATCH($F1077,p_ID,0)),0)</f>
        <v>1100</v>
      </c>
      <c r="M1077" s="85" t="n">
        <v>0.15</v>
      </c>
      <c r="N1077" s="81" t="s">
        <v>644</v>
      </c>
      <c r="O1077" s="84" t="n">
        <f aca="false">IF($N1077="مرتجع",0,K1077*L1077*(1-M1077))</f>
        <v>11220</v>
      </c>
      <c r="P1077" s="84" t="n">
        <f aca="false">IF($N1077="مرتجع",0,K1077*IFERROR(INDEX(p_Cost,MATCH($F1077,p_ID,0)),0))</f>
        <v>9360</v>
      </c>
      <c r="Q1077" s="84" t="n">
        <f aca="false">O1077-P1077</f>
        <v>1860</v>
      </c>
      <c r="R1077" s="86" t="n">
        <f aca="false">DATE(YEAR(B1077),MONTH(B1077),1)</f>
        <v>46174</v>
      </c>
      <c r="S1077" s="83" t="str">
        <f aca="false">YEAR(B1077)&amp;"-Q"&amp;ROUNDUP(MONTH(B1077)/3,0)</f>
        <v>2026-Q2</v>
      </c>
      <c r="T1077" s="87" t="n">
        <f aca="false">IF(O1077&gt;0,Q1077/O1077,"")</f>
        <v>0.165775401069519</v>
      </c>
      <c r="U1077" s="84" t="n">
        <f aca="false">IF(O1077&gt;0,O1077,"")</f>
        <v>11220</v>
      </c>
    </row>
    <row r="1078" customFormat="false" ht="15" hidden="false" customHeight="false" outlineLevel="0" collapsed="false">
      <c r="A1078" s="81" t="s">
        <v>1721</v>
      </c>
      <c r="B1078" s="82" t="n">
        <v>46183</v>
      </c>
      <c r="C1078" s="81" t="s">
        <v>415</v>
      </c>
      <c r="D1078" s="83" t="str">
        <f aca="false">IFERROR(INDEX(c_Name,MATCH($C1078,c_ID,0)),"غير معرّف")</f>
        <v>سارة القحطاني</v>
      </c>
      <c r="E1078" s="83" t="str">
        <f aca="false">IFERROR(INDEX(c_Region,MATCH($C1078,c_ID,0)),"غير معرّف")</f>
        <v>الشرقية</v>
      </c>
      <c r="F1078" s="81" t="s">
        <v>184</v>
      </c>
      <c r="G1078" s="83" t="str">
        <f aca="false">IFERROR(INDEX(p_Name,MATCH($F1078,p_ID,0)),"غير معرّف")</f>
        <v>عطر فاخر</v>
      </c>
      <c r="H1078" s="83" t="str">
        <f aca="false">IFERROR(INDEX(p_Cat,MATCH($F1078,p_ID,0)),"غير معرّف")</f>
        <v>عناية شخصية</v>
      </c>
      <c r="I1078" s="81" t="s">
        <v>461</v>
      </c>
      <c r="J1078" s="81" t="s">
        <v>93</v>
      </c>
      <c r="K1078" s="81" t="n">
        <v>1</v>
      </c>
      <c r="L1078" s="84" t="n">
        <f aca="false">IFERROR(INDEX(p_Price,MATCH($F1078,p_ID,0)),0)</f>
        <v>520</v>
      </c>
      <c r="M1078" s="85" t="n">
        <v>0.15</v>
      </c>
      <c r="N1078" s="81" t="s">
        <v>650</v>
      </c>
      <c r="O1078" s="84" t="n">
        <f aca="false">IF($N1078="مرتجع",0,K1078*L1078*(1-M1078))</f>
        <v>0</v>
      </c>
      <c r="P1078" s="84" t="n">
        <f aca="false">IF($N1078="مرتجع",0,K1078*IFERROR(INDEX(p_Cost,MATCH($F1078,p_ID,0)),0))</f>
        <v>0</v>
      </c>
      <c r="Q1078" s="84" t="n">
        <f aca="false">O1078-P1078</f>
        <v>0</v>
      </c>
      <c r="R1078" s="86" t="n">
        <f aca="false">DATE(YEAR(B1078),MONTH(B1078),1)</f>
        <v>46174</v>
      </c>
      <c r="S1078" s="83" t="str">
        <f aca="false">YEAR(B1078)&amp;"-Q"&amp;ROUNDUP(MONTH(B1078)/3,0)</f>
        <v>2026-Q2</v>
      </c>
      <c r="T1078" s="87" t="str">
        <f aca="false">IF(O1078&gt;0,Q1078/O1078,"")</f>
        <v/>
      </c>
      <c r="U1078" s="84" t="str">
        <f aca="false">IF(O1078&gt;0,O1078,"")</f>
        <v/>
      </c>
    </row>
    <row r="1079" customFormat="false" ht="15" hidden="false" customHeight="false" outlineLevel="0" collapsed="false">
      <c r="A1079" s="81" t="s">
        <v>1722</v>
      </c>
      <c r="B1079" s="82" t="n">
        <v>46183</v>
      </c>
      <c r="C1079" s="81" t="s">
        <v>291</v>
      </c>
      <c r="D1079" s="83" t="str">
        <f aca="false">IFERROR(INDEX(c_Name,MATCH($C1079,c_ID,0)),"غير معرّف")</f>
        <v>ياسر الشمري</v>
      </c>
      <c r="E1079" s="83" t="str">
        <f aca="false">IFERROR(INDEX(c_Region,MATCH($C1079,c_ID,0)),"غير معرّف")</f>
        <v>الوسطى</v>
      </c>
      <c r="F1079" s="81" t="s">
        <v>171</v>
      </c>
      <c r="G1079" s="83" t="str">
        <f aca="false">IFERROR(INDEX(p_Name,MATCH($F1079,p_ID,0)),"غير معرّف")</f>
        <v>قلاية هوائية</v>
      </c>
      <c r="H1079" s="83" t="str">
        <f aca="false">IFERROR(INDEX(p_Cat,MATCH($F1079,p_ID,0)),"غير معرّف")</f>
        <v>أجهزة منزلية</v>
      </c>
      <c r="I1079" s="81" t="s">
        <v>443</v>
      </c>
      <c r="J1079" s="81" t="s">
        <v>93</v>
      </c>
      <c r="K1079" s="81" t="n">
        <v>1</v>
      </c>
      <c r="L1079" s="84" t="n">
        <f aca="false">IFERROR(INDEX(p_Price,MATCH($F1079,p_ID,0)),0)</f>
        <v>520</v>
      </c>
      <c r="M1079" s="85" t="n">
        <v>0.05</v>
      </c>
      <c r="N1079" s="81" t="s">
        <v>644</v>
      </c>
      <c r="O1079" s="84" t="n">
        <f aca="false">IF($N1079="مرتجع",0,K1079*L1079*(1-M1079))</f>
        <v>494</v>
      </c>
      <c r="P1079" s="84" t="n">
        <f aca="false">IF($N1079="مرتجع",0,K1079*IFERROR(INDEX(p_Cost,MATCH($F1079,p_ID,0)),0))</f>
        <v>300</v>
      </c>
      <c r="Q1079" s="84" t="n">
        <f aca="false">O1079-P1079</f>
        <v>194</v>
      </c>
      <c r="R1079" s="86" t="n">
        <f aca="false">DATE(YEAR(B1079),MONTH(B1079),1)</f>
        <v>46174</v>
      </c>
      <c r="S1079" s="83" t="str">
        <f aca="false">YEAR(B1079)&amp;"-Q"&amp;ROUNDUP(MONTH(B1079)/3,0)</f>
        <v>2026-Q2</v>
      </c>
      <c r="T1079" s="87" t="n">
        <f aca="false">IF(O1079&gt;0,Q1079/O1079,"")</f>
        <v>0.392712550607287</v>
      </c>
      <c r="U1079" s="84" t="n">
        <f aca="false">IF(O1079&gt;0,O1079,"")</f>
        <v>494</v>
      </c>
    </row>
    <row r="1080" customFormat="false" ht="15" hidden="false" customHeight="false" outlineLevel="0" collapsed="false">
      <c r="A1080" s="81" t="s">
        <v>1723</v>
      </c>
      <c r="B1080" s="82" t="n">
        <v>46184</v>
      </c>
      <c r="C1080" s="81" t="s">
        <v>426</v>
      </c>
      <c r="D1080" s="83" t="str">
        <f aca="false">IFERROR(INDEX(c_Name,MATCH($C1080,c_ID,0)),"غير معرّف")</f>
        <v>لمى البلوي</v>
      </c>
      <c r="E1080" s="83" t="str">
        <f aca="false">IFERROR(INDEX(c_Region,MATCH($C1080,c_ID,0)),"غير معرّف")</f>
        <v>الشرقية</v>
      </c>
      <c r="F1080" s="81" t="s">
        <v>183</v>
      </c>
      <c r="G1080" s="83" t="str">
        <f aca="false">IFERROR(INDEX(p_Name,MATCH($F1080,p_ID,0)),"غير معرّف")</f>
        <v>سجادة يوغا</v>
      </c>
      <c r="H1080" s="83" t="str">
        <f aca="false">IFERROR(INDEX(p_Cat,MATCH($F1080,p_ID,0)),"غير معرّف")</f>
        <v>رياضة</v>
      </c>
      <c r="I1080" s="81" t="s">
        <v>461</v>
      </c>
      <c r="J1080" s="81" t="s">
        <v>91</v>
      </c>
      <c r="K1080" s="81" t="n">
        <v>2</v>
      </c>
      <c r="L1080" s="84" t="n">
        <f aca="false">IFERROR(INDEX(p_Price,MATCH($F1080,p_ID,0)),0)</f>
        <v>120</v>
      </c>
      <c r="M1080" s="85" t="n">
        <v>0</v>
      </c>
      <c r="N1080" s="81" t="s">
        <v>644</v>
      </c>
      <c r="O1080" s="84" t="n">
        <f aca="false">IF($N1080="مرتجع",0,K1080*L1080*(1-M1080))</f>
        <v>240</v>
      </c>
      <c r="P1080" s="84" t="n">
        <f aca="false">IF($N1080="مرتجع",0,K1080*IFERROR(INDEX(p_Cost,MATCH($F1080,p_ID,0)),0))</f>
        <v>100</v>
      </c>
      <c r="Q1080" s="84" t="n">
        <f aca="false">O1080-P1080</f>
        <v>140</v>
      </c>
      <c r="R1080" s="86" t="n">
        <f aca="false">DATE(YEAR(B1080),MONTH(B1080),1)</f>
        <v>46174</v>
      </c>
      <c r="S1080" s="83" t="str">
        <f aca="false">YEAR(B1080)&amp;"-Q"&amp;ROUNDUP(MONTH(B1080)/3,0)</f>
        <v>2026-Q2</v>
      </c>
      <c r="T1080" s="87" t="n">
        <f aca="false">IF(O1080&gt;0,Q1080/O1080,"")</f>
        <v>0.583333333333333</v>
      </c>
      <c r="U1080" s="84" t="n">
        <f aca="false">IF(O1080&gt;0,O1080,"")</f>
        <v>240</v>
      </c>
    </row>
    <row r="1081" customFormat="false" ht="15" hidden="false" customHeight="false" outlineLevel="0" collapsed="false">
      <c r="A1081" s="81" t="s">
        <v>1724</v>
      </c>
      <c r="B1081" s="82" t="n">
        <v>46184</v>
      </c>
      <c r="C1081" s="81" t="s">
        <v>313</v>
      </c>
      <c r="D1081" s="83" t="str">
        <f aca="false">IFERROR(INDEX(c_Name,MATCH($C1081,c_ID,0)),"غير معرّف")</f>
        <v>نورة الدوسري</v>
      </c>
      <c r="E1081" s="83" t="str">
        <f aca="false">IFERROR(INDEX(c_Region,MATCH($C1081,c_ID,0)),"غير معرّف")</f>
        <v>الغربية</v>
      </c>
      <c r="F1081" s="81" t="s">
        <v>187</v>
      </c>
      <c r="G1081" s="83" t="str">
        <f aca="false">IFERROR(INDEX(p_Name,MATCH($F1081,p_ID,0)),"غير معرّف")</f>
        <v>جهاز تدليك</v>
      </c>
      <c r="H1081" s="83" t="str">
        <f aca="false">IFERROR(INDEX(p_Cat,MATCH($F1081,p_ID,0)),"غير معرّف")</f>
        <v>عناية شخصية</v>
      </c>
      <c r="I1081" s="81" t="s">
        <v>458</v>
      </c>
      <c r="J1081" s="81" t="s">
        <v>93</v>
      </c>
      <c r="K1081" s="81" t="n">
        <v>1</v>
      </c>
      <c r="L1081" s="84" t="n">
        <f aca="false">IFERROR(INDEX(p_Price,MATCH($F1081,p_ID,0)),0)</f>
        <v>600</v>
      </c>
      <c r="M1081" s="85" t="n">
        <v>0.05</v>
      </c>
      <c r="N1081" s="81" t="s">
        <v>644</v>
      </c>
      <c r="O1081" s="84" t="n">
        <f aca="false">IF($N1081="مرتجع",0,K1081*L1081*(1-M1081))</f>
        <v>570</v>
      </c>
      <c r="P1081" s="84" t="n">
        <f aca="false">IF($N1081="مرتجع",0,K1081*IFERROR(INDEX(p_Cost,MATCH($F1081,p_ID,0)),0))</f>
        <v>330</v>
      </c>
      <c r="Q1081" s="84" t="n">
        <f aca="false">O1081-P1081</f>
        <v>240</v>
      </c>
      <c r="R1081" s="86" t="n">
        <f aca="false">DATE(YEAR(B1081),MONTH(B1081),1)</f>
        <v>46174</v>
      </c>
      <c r="S1081" s="83" t="str">
        <f aca="false">YEAR(B1081)&amp;"-Q"&amp;ROUNDUP(MONTH(B1081)/3,0)</f>
        <v>2026-Q2</v>
      </c>
      <c r="T1081" s="87" t="n">
        <f aca="false">IF(O1081&gt;0,Q1081/O1081,"")</f>
        <v>0.421052631578947</v>
      </c>
      <c r="U1081" s="84" t="n">
        <f aca="false">IF(O1081&gt;0,O1081,"")</f>
        <v>570</v>
      </c>
    </row>
    <row r="1082" customFormat="false" ht="15" hidden="false" customHeight="false" outlineLevel="0" collapsed="false">
      <c r="A1082" s="81" t="s">
        <v>1725</v>
      </c>
      <c r="B1082" s="82" t="n">
        <v>46184</v>
      </c>
      <c r="C1082" s="81" t="s">
        <v>404</v>
      </c>
      <c r="D1082" s="83" t="str">
        <f aca="false">IFERROR(INDEX(c_Name,MATCH($C1082,c_ID,0)),"غير معرّف")</f>
        <v>عبدالله الحسيني</v>
      </c>
      <c r="E1082" s="83" t="str">
        <f aca="false">IFERROR(INDEX(c_Region,MATCH($C1082,c_ID,0)),"غير معرّف")</f>
        <v>الشرقية</v>
      </c>
      <c r="F1082" s="81" t="s">
        <v>182</v>
      </c>
      <c r="G1082" s="83" t="str">
        <f aca="false">IFERROR(INDEX(p_Name,MATCH($F1082,p_ID,0)),"غير معرّف")</f>
        <v>طقم أوزان</v>
      </c>
      <c r="H1082" s="83" t="str">
        <f aca="false">IFERROR(INDEX(p_Cat,MATCH($F1082,p_ID,0)),"غير معرّف")</f>
        <v>رياضة</v>
      </c>
      <c r="I1082" s="81" t="s">
        <v>461</v>
      </c>
      <c r="J1082" s="81" t="s">
        <v>91</v>
      </c>
      <c r="K1082" s="81" t="n">
        <v>1</v>
      </c>
      <c r="L1082" s="84" t="n">
        <f aca="false">IFERROR(INDEX(p_Price,MATCH($F1082,p_ID,0)),0)</f>
        <v>380</v>
      </c>
      <c r="M1082" s="85" t="n">
        <v>0.15</v>
      </c>
      <c r="N1082" s="81" t="s">
        <v>644</v>
      </c>
      <c r="O1082" s="84" t="n">
        <f aca="false">IF($N1082="مرتجع",0,K1082*L1082*(1-M1082))</f>
        <v>323</v>
      </c>
      <c r="P1082" s="84" t="n">
        <f aca="false">IF($N1082="مرتجع",0,K1082*IFERROR(INDEX(p_Cost,MATCH($F1082,p_ID,0)),0))</f>
        <v>210</v>
      </c>
      <c r="Q1082" s="84" t="n">
        <f aca="false">O1082-P1082</f>
        <v>113</v>
      </c>
      <c r="R1082" s="86" t="n">
        <f aca="false">DATE(YEAR(B1082),MONTH(B1082),1)</f>
        <v>46174</v>
      </c>
      <c r="S1082" s="83" t="str">
        <f aca="false">YEAR(B1082)&amp;"-Q"&amp;ROUNDUP(MONTH(B1082)/3,0)</f>
        <v>2026-Q2</v>
      </c>
      <c r="T1082" s="87" t="n">
        <f aca="false">IF(O1082&gt;0,Q1082/O1082,"")</f>
        <v>0.34984520123839</v>
      </c>
      <c r="U1082" s="84" t="n">
        <f aca="false">IF(O1082&gt;0,O1082,"")</f>
        <v>323</v>
      </c>
    </row>
    <row r="1083" customFormat="false" ht="15" hidden="false" customHeight="false" outlineLevel="0" collapsed="false">
      <c r="A1083" s="81" t="s">
        <v>1726</v>
      </c>
      <c r="B1083" s="82" t="n">
        <v>46184</v>
      </c>
      <c r="C1083" s="81" t="s">
        <v>351</v>
      </c>
      <c r="D1083" s="83" t="str">
        <f aca="false">IFERROR(INDEX(c_Name,MATCH($C1083,c_ID,0)),"غير معرّف")</f>
        <v>منى البلوي</v>
      </c>
      <c r="E1083" s="83" t="str">
        <f aca="false">IFERROR(INDEX(c_Region,MATCH($C1083,c_ID,0)),"غير معرّف")</f>
        <v>الوسطى</v>
      </c>
      <c r="F1083" s="81" t="s">
        <v>174</v>
      </c>
      <c r="G1083" s="83" t="str">
        <f aca="false">IFERROR(INDEX(p_Name,MATCH($F1083,p_ID,0)),"غير معرّف")</f>
        <v>خزانة ملفات</v>
      </c>
      <c r="H1083" s="83" t="str">
        <f aca="false">IFERROR(INDEX(p_Cat,MATCH($F1083,p_ID,0)),"غير معرّف")</f>
        <v>أثاث</v>
      </c>
      <c r="I1083" s="81" t="s">
        <v>443</v>
      </c>
      <c r="J1083" s="81" t="s">
        <v>93</v>
      </c>
      <c r="K1083" s="81" t="n">
        <v>1</v>
      </c>
      <c r="L1083" s="84" t="n">
        <f aca="false">IFERROR(INDEX(p_Price,MATCH($F1083,p_ID,0)),0)</f>
        <v>700</v>
      </c>
      <c r="M1083" s="85" t="n">
        <v>0.15</v>
      </c>
      <c r="N1083" s="81" t="s">
        <v>644</v>
      </c>
      <c r="O1083" s="84" t="n">
        <f aca="false">IF($N1083="مرتجع",0,K1083*L1083*(1-M1083))</f>
        <v>595</v>
      </c>
      <c r="P1083" s="84" t="n">
        <f aca="false">IF($N1083="مرتجع",0,K1083*IFERROR(INDEX(p_Cost,MATCH($F1083,p_ID,0)),0))</f>
        <v>410</v>
      </c>
      <c r="Q1083" s="84" t="n">
        <f aca="false">O1083-P1083</f>
        <v>185</v>
      </c>
      <c r="R1083" s="86" t="n">
        <f aca="false">DATE(YEAR(B1083),MONTH(B1083),1)</f>
        <v>46174</v>
      </c>
      <c r="S1083" s="83" t="str">
        <f aca="false">YEAR(B1083)&amp;"-Q"&amp;ROUNDUP(MONTH(B1083)/3,0)</f>
        <v>2026-Q2</v>
      </c>
      <c r="T1083" s="87" t="n">
        <f aca="false">IF(O1083&gt;0,Q1083/O1083,"")</f>
        <v>0.310924369747899</v>
      </c>
      <c r="U1083" s="84" t="n">
        <f aca="false">IF(O1083&gt;0,O1083,"")</f>
        <v>595</v>
      </c>
    </row>
    <row r="1084" customFormat="false" ht="15" hidden="false" customHeight="false" outlineLevel="0" collapsed="false">
      <c r="A1084" s="81" t="s">
        <v>1727</v>
      </c>
      <c r="B1084" s="82" t="n">
        <v>46184</v>
      </c>
      <c r="C1084" s="81" t="s">
        <v>270</v>
      </c>
      <c r="D1084" s="83" t="str">
        <f aca="false">IFERROR(INDEX(c_Name,MATCH($C1084,c_ID,0)),"غير معرّف")</f>
        <v>ريم التميمي</v>
      </c>
      <c r="E1084" s="83" t="str">
        <f aca="false">IFERROR(INDEX(c_Region,MATCH($C1084,c_ID,0)),"غير معرّف")</f>
        <v>الشرقية</v>
      </c>
      <c r="F1084" s="81" t="s">
        <v>185</v>
      </c>
      <c r="G1084" s="83" t="str">
        <f aca="false">IFERROR(INDEX(p_Name,MATCH($F1084,p_ID,0)),"غير معرّف")</f>
        <v>ماكينة حلاقة</v>
      </c>
      <c r="H1084" s="83" t="str">
        <f aca="false">IFERROR(INDEX(p_Cat,MATCH($F1084,p_ID,0)),"غير معرّف")</f>
        <v>عناية شخصية</v>
      </c>
      <c r="I1084" s="81" t="s">
        <v>463</v>
      </c>
      <c r="J1084" s="81" t="s">
        <v>91</v>
      </c>
      <c r="K1084" s="81" t="n">
        <v>1</v>
      </c>
      <c r="L1084" s="84" t="n">
        <f aca="false">IFERROR(INDEX(p_Price,MATCH($F1084,p_ID,0)),0)</f>
        <v>340</v>
      </c>
      <c r="M1084" s="85" t="n">
        <v>0.1</v>
      </c>
      <c r="N1084" s="81" t="s">
        <v>644</v>
      </c>
      <c r="O1084" s="84" t="n">
        <f aca="false">IF($N1084="مرتجع",0,K1084*L1084*(1-M1084))</f>
        <v>306</v>
      </c>
      <c r="P1084" s="84" t="n">
        <f aca="false">IF($N1084="مرتجع",0,K1084*IFERROR(INDEX(p_Cost,MATCH($F1084,p_ID,0)),0))</f>
        <v>170</v>
      </c>
      <c r="Q1084" s="84" t="n">
        <f aca="false">O1084-P1084</f>
        <v>136</v>
      </c>
      <c r="R1084" s="86" t="n">
        <f aca="false">DATE(YEAR(B1084),MONTH(B1084),1)</f>
        <v>46174</v>
      </c>
      <c r="S1084" s="83" t="str">
        <f aca="false">YEAR(B1084)&amp;"-Q"&amp;ROUNDUP(MONTH(B1084)/3,0)</f>
        <v>2026-Q2</v>
      </c>
      <c r="T1084" s="87" t="n">
        <f aca="false">IF(O1084&gt;0,Q1084/O1084,"")</f>
        <v>0.444444444444444</v>
      </c>
      <c r="U1084" s="84" t="n">
        <f aca="false">IF(O1084&gt;0,O1084,"")</f>
        <v>306</v>
      </c>
    </row>
    <row r="1085" customFormat="false" ht="15" hidden="false" customHeight="false" outlineLevel="0" collapsed="false">
      <c r="A1085" s="81" t="s">
        <v>1728</v>
      </c>
      <c r="B1085" s="82" t="n">
        <v>46185</v>
      </c>
      <c r="C1085" s="81" t="s">
        <v>386</v>
      </c>
      <c r="D1085" s="83" t="str">
        <f aca="false">IFERROR(INDEX(c_Name,MATCH($C1085,c_ID,0)),"غير معرّف")</f>
        <v>نورة الشمري</v>
      </c>
      <c r="E1085" s="83" t="str">
        <f aca="false">IFERROR(INDEX(c_Region,MATCH($C1085,c_ID,0)),"غير معرّف")</f>
        <v>الغربية</v>
      </c>
      <c r="F1085" s="81" t="s">
        <v>181</v>
      </c>
      <c r="G1085" s="83" t="str">
        <f aca="false">IFERROR(INDEX(p_Name,MATCH($F1085,p_ID,0)),"غير معرّف")</f>
        <v>دراجة ثابتة</v>
      </c>
      <c r="H1085" s="83" t="str">
        <f aca="false">IFERROR(INDEX(p_Cat,MATCH($F1085,p_ID,0)),"غير معرّف")</f>
        <v>رياضة</v>
      </c>
      <c r="I1085" s="81" t="s">
        <v>458</v>
      </c>
      <c r="J1085" s="81" t="s">
        <v>91</v>
      </c>
      <c r="K1085" s="81" t="n">
        <v>1</v>
      </c>
      <c r="L1085" s="84" t="n">
        <f aca="false">IFERROR(INDEX(p_Price,MATCH($F1085,p_ID,0)),0)</f>
        <v>1800</v>
      </c>
      <c r="M1085" s="85" t="n">
        <v>0</v>
      </c>
      <c r="N1085" s="81" t="s">
        <v>644</v>
      </c>
      <c r="O1085" s="84" t="n">
        <f aca="false">IF($N1085="مرتجع",0,K1085*L1085*(1-M1085))</f>
        <v>1800</v>
      </c>
      <c r="P1085" s="84" t="n">
        <f aca="false">IF($N1085="مرتجع",0,K1085*IFERROR(INDEX(p_Cost,MATCH($F1085,p_ID,0)),0))</f>
        <v>1200</v>
      </c>
      <c r="Q1085" s="84" t="n">
        <f aca="false">O1085-P1085</f>
        <v>600</v>
      </c>
      <c r="R1085" s="86" t="n">
        <f aca="false">DATE(YEAR(B1085),MONTH(B1085),1)</f>
        <v>46174</v>
      </c>
      <c r="S1085" s="83" t="str">
        <f aca="false">YEAR(B1085)&amp;"-Q"&amp;ROUNDUP(MONTH(B1085)/3,0)</f>
        <v>2026-Q2</v>
      </c>
      <c r="T1085" s="87" t="n">
        <f aca="false">IF(O1085&gt;0,Q1085/O1085,"")</f>
        <v>0.333333333333333</v>
      </c>
      <c r="U1085" s="84" t="n">
        <f aca="false">IF(O1085&gt;0,O1085,"")</f>
        <v>1800</v>
      </c>
    </row>
    <row r="1086" customFormat="false" ht="15" hidden="false" customHeight="false" outlineLevel="0" collapsed="false">
      <c r="A1086" s="81" t="s">
        <v>1729</v>
      </c>
      <c r="B1086" s="82" t="n">
        <v>46185</v>
      </c>
      <c r="C1086" s="81" t="s">
        <v>261</v>
      </c>
      <c r="D1086" s="83" t="str">
        <f aca="false">IFERROR(INDEX(c_Name,MATCH($C1086,c_ID,0)),"غير معرّف")</f>
        <v>ياسر الدوسري</v>
      </c>
      <c r="E1086" s="83" t="str">
        <f aca="false">IFERROR(INDEX(c_Region,MATCH($C1086,c_ID,0)),"غير معرّف")</f>
        <v>الجنوبية</v>
      </c>
      <c r="F1086" s="81" t="s">
        <v>185</v>
      </c>
      <c r="G1086" s="83" t="str">
        <f aca="false">IFERROR(INDEX(p_Name,MATCH($F1086,p_ID,0)),"غير معرّف")</f>
        <v>ماكينة حلاقة</v>
      </c>
      <c r="H1086" s="83" t="str">
        <f aca="false">IFERROR(INDEX(p_Cat,MATCH($F1086,p_ID,0)),"غير معرّف")</f>
        <v>عناية شخصية</v>
      </c>
      <c r="I1086" s="81" t="s">
        <v>465</v>
      </c>
      <c r="J1086" s="81" t="s">
        <v>93</v>
      </c>
      <c r="K1086" s="81" t="n">
        <v>2</v>
      </c>
      <c r="L1086" s="84" t="n">
        <f aca="false">IFERROR(INDEX(p_Price,MATCH($F1086,p_ID,0)),0)</f>
        <v>340</v>
      </c>
      <c r="M1086" s="85" t="n">
        <v>0</v>
      </c>
      <c r="N1086" s="81" t="s">
        <v>644</v>
      </c>
      <c r="O1086" s="84" t="n">
        <f aca="false">IF($N1086="مرتجع",0,K1086*L1086*(1-M1086))</f>
        <v>680</v>
      </c>
      <c r="P1086" s="84" t="n">
        <f aca="false">IF($N1086="مرتجع",0,K1086*IFERROR(INDEX(p_Cost,MATCH($F1086,p_ID,0)),0))</f>
        <v>340</v>
      </c>
      <c r="Q1086" s="84" t="n">
        <f aca="false">O1086-P1086</f>
        <v>340</v>
      </c>
      <c r="R1086" s="86" t="n">
        <f aca="false">DATE(YEAR(B1086),MONTH(B1086),1)</f>
        <v>46174</v>
      </c>
      <c r="S1086" s="83" t="str">
        <f aca="false">YEAR(B1086)&amp;"-Q"&amp;ROUNDUP(MONTH(B1086)/3,0)</f>
        <v>2026-Q2</v>
      </c>
      <c r="T1086" s="87" t="n">
        <f aca="false">IF(O1086&gt;0,Q1086/O1086,"")</f>
        <v>0.5</v>
      </c>
      <c r="U1086" s="84" t="n">
        <f aca="false">IF(O1086&gt;0,O1086,"")</f>
        <v>680</v>
      </c>
    </row>
    <row r="1087" customFormat="false" ht="15" hidden="false" customHeight="false" outlineLevel="0" collapsed="false">
      <c r="A1087" s="81" t="s">
        <v>1730</v>
      </c>
      <c r="B1087" s="82" t="n">
        <v>46185</v>
      </c>
      <c r="C1087" s="81" t="s">
        <v>242</v>
      </c>
      <c r="D1087" s="83" t="str">
        <f aca="false">IFERROR(INDEX(c_Name,MATCH($C1087,c_ID,0)),"غير معرّف")</f>
        <v>ياسر الغامدي</v>
      </c>
      <c r="E1087" s="83" t="str">
        <f aca="false">IFERROR(INDEX(c_Region,MATCH($C1087,c_ID,0)),"غير معرّف")</f>
        <v>الوسطى</v>
      </c>
      <c r="F1087" s="81" t="s">
        <v>166</v>
      </c>
      <c r="G1087" s="83" t="str">
        <f aca="false">IFERROR(INDEX(p_Name,MATCH($F1087,p_ID,0)),"غير معرّف")</f>
        <v>سماعات لاسلكية</v>
      </c>
      <c r="H1087" s="83" t="str">
        <f aca="false">IFERROR(INDEX(p_Cat,MATCH($F1087,p_ID,0)),"غير معرّف")</f>
        <v>إلكترونيات</v>
      </c>
      <c r="I1087" s="81" t="s">
        <v>446</v>
      </c>
      <c r="J1087" s="81" t="s">
        <v>93</v>
      </c>
      <c r="K1087" s="81" t="n">
        <v>1</v>
      </c>
      <c r="L1087" s="84" t="n">
        <f aca="false">IFERROR(INDEX(p_Price,MATCH($F1087,p_ID,0)),0)</f>
        <v>450</v>
      </c>
      <c r="M1087" s="85" t="n">
        <v>0.05</v>
      </c>
      <c r="N1087" s="81" t="s">
        <v>644</v>
      </c>
      <c r="O1087" s="84" t="n">
        <f aca="false">IF($N1087="مرتجع",0,K1087*L1087*(1-M1087))</f>
        <v>427.5</v>
      </c>
      <c r="P1087" s="84" t="n">
        <f aca="false">IF($N1087="مرتجع",0,K1087*IFERROR(INDEX(p_Cost,MATCH($F1087,p_ID,0)),0))</f>
        <v>260</v>
      </c>
      <c r="Q1087" s="84" t="n">
        <f aca="false">O1087-P1087</f>
        <v>167.5</v>
      </c>
      <c r="R1087" s="86" t="n">
        <f aca="false">DATE(YEAR(B1087),MONTH(B1087),1)</f>
        <v>46174</v>
      </c>
      <c r="S1087" s="83" t="str">
        <f aca="false">YEAR(B1087)&amp;"-Q"&amp;ROUNDUP(MONTH(B1087)/3,0)</f>
        <v>2026-Q2</v>
      </c>
      <c r="T1087" s="87" t="n">
        <f aca="false">IF(O1087&gt;0,Q1087/O1087,"")</f>
        <v>0.391812865497076</v>
      </c>
      <c r="U1087" s="84" t="n">
        <f aca="false">IF(O1087&gt;0,O1087,"")</f>
        <v>427.5</v>
      </c>
    </row>
    <row r="1088" customFormat="false" ht="15" hidden="false" customHeight="false" outlineLevel="0" collapsed="false">
      <c r="A1088" s="81" t="s">
        <v>1731</v>
      </c>
      <c r="B1088" s="82" t="n">
        <v>46185</v>
      </c>
      <c r="C1088" s="81" t="s">
        <v>423</v>
      </c>
      <c r="D1088" s="83" t="str">
        <f aca="false">IFERROR(INDEX(c_Name,MATCH($C1088,c_ID,0)),"غير معرّف")</f>
        <v>ناصر المطيري</v>
      </c>
      <c r="E1088" s="83" t="str">
        <f aca="false">IFERROR(INDEX(c_Region,MATCH($C1088,c_ID,0)),"غير معرّف")</f>
        <v>الغربية</v>
      </c>
      <c r="F1088" s="81" t="s">
        <v>167</v>
      </c>
      <c r="G1088" s="83" t="str">
        <f aca="false">IFERROR(INDEX(p_Name,MATCH($F1088,p_ID,0)),"غير معرّف")</f>
        <v>شاشة 27 بوصة</v>
      </c>
      <c r="H1088" s="83" t="str">
        <f aca="false">IFERROR(INDEX(p_Cat,MATCH($F1088,p_ID,0)),"غير معرّف")</f>
        <v>إلكترونيات</v>
      </c>
      <c r="I1088" s="81" t="s">
        <v>455</v>
      </c>
      <c r="J1088" s="81" t="s">
        <v>91</v>
      </c>
      <c r="K1088" s="81" t="n">
        <v>3</v>
      </c>
      <c r="L1088" s="84" t="n">
        <f aca="false">IFERROR(INDEX(p_Price,MATCH($F1088,p_ID,0)),0)</f>
        <v>1100</v>
      </c>
      <c r="M1088" s="85" t="n">
        <v>0.1</v>
      </c>
      <c r="N1088" s="81" t="s">
        <v>644</v>
      </c>
      <c r="O1088" s="84" t="n">
        <f aca="false">IF($N1088="مرتجع",0,K1088*L1088*(1-M1088))</f>
        <v>2970</v>
      </c>
      <c r="P1088" s="84" t="n">
        <f aca="false">IF($N1088="مرتجع",0,K1088*IFERROR(INDEX(p_Cost,MATCH($F1088,p_ID,0)),0))</f>
        <v>2340</v>
      </c>
      <c r="Q1088" s="84" t="n">
        <f aca="false">O1088-P1088</f>
        <v>630</v>
      </c>
      <c r="R1088" s="86" t="n">
        <f aca="false">DATE(YEAR(B1088),MONTH(B1088),1)</f>
        <v>46174</v>
      </c>
      <c r="S1088" s="83" t="str">
        <f aca="false">YEAR(B1088)&amp;"-Q"&amp;ROUNDUP(MONTH(B1088)/3,0)</f>
        <v>2026-Q2</v>
      </c>
      <c r="T1088" s="87" t="n">
        <f aca="false">IF(O1088&gt;0,Q1088/O1088,"")</f>
        <v>0.212121212121212</v>
      </c>
      <c r="U1088" s="84" t="n">
        <f aca="false">IF(O1088&gt;0,O1088,"")</f>
        <v>2970</v>
      </c>
    </row>
    <row r="1089" customFormat="false" ht="15" hidden="false" customHeight="false" outlineLevel="0" collapsed="false">
      <c r="A1089" s="81" t="s">
        <v>1732</v>
      </c>
      <c r="B1089" s="82" t="n">
        <v>46185</v>
      </c>
      <c r="C1089" s="81" t="s">
        <v>414</v>
      </c>
      <c r="D1089" s="83" t="str">
        <f aca="false">IFERROR(INDEX(c_Name,MATCH($C1089,c_ID,0)),"غير معرّف")</f>
        <v>هند المطيري</v>
      </c>
      <c r="E1089" s="83" t="str">
        <f aca="false">IFERROR(INDEX(c_Region,MATCH($C1089,c_ID,0)),"غير معرّف")</f>
        <v>الشرقية</v>
      </c>
      <c r="F1089" s="81" t="s">
        <v>164</v>
      </c>
      <c r="G1089" s="83" t="str">
        <f aca="false">IFERROR(INDEX(p_Name,MATCH($F1089,p_ID,0)),"غير معرّف")</f>
        <v>هاتف ذكي</v>
      </c>
      <c r="H1089" s="83" t="str">
        <f aca="false">IFERROR(INDEX(p_Cat,MATCH($F1089,p_ID,0)),"غير معرّف")</f>
        <v>إلكترونيات</v>
      </c>
      <c r="I1089" s="81" t="s">
        <v>461</v>
      </c>
      <c r="J1089" s="81" t="s">
        <v>93</v>
      </c>
      <c r="K1089" s="81" t="n">
        <v>1</v>
      </c>
      <c r="L1089" s="84" t="n">
        <f aca="false">IFERROR(INDEX(p_Price,MATCH($F1089,p_ID,0)),0)</f>
        <v>2400</v>
      </c>
      <c r="M1089" s="85" t="n">
        <v>0</v>
      </c>
      <c r="N1089" s="81" t="s">
        <v>644</v>
      </c>
      <c r="O1089" s="84" t="n">
        <f aca="false">IF($N1089="مرتجع",0,K1089*L1089*(1-M1089))</f>
        <v>2400</v>
      </c>
      <c r="P1089" s="84" t="n">
        <f aca="false">IF($N1089="مرتجع",0,K1089*IFERROR(INDEX(p_Cost,MATCH($F1089,p_ID,0)),0))</f>
        <v>1750</v>
      </c>
      <c r="Q1089" s="84" t="n">
        <f aca="false">O1089-P1089</f>
        <v>650</v>
      </c>
      <c r="R1089" s="86" t="n">
        <f aca="false">DATE(YEAR(B1089),MONTH(B1089),1)</f>
        <v>46174</v>
      </c>
      <c r="S1089" s="83" t="str">
        <f aca="false">YEAR(B1089)&amp;"-Q"&amp;ROUNDUP(MONTH(B1089)/3,0)</f>
        <v>2026-Q2</v>
      </c>
      <c r="T1089" s="87" t="n">
        <f aca="false">IF(O1089&gt;0,Q1089/O1089,"")</f>
        <v>0.270833333333333</v>
      </c>
      <c r="U1089" s="84" t="n">
        <f aca="false">IF(O1089&gt;0,O1089,"")</f>
        <v>2400</v>
      </c>
    </row>
    <row r="1090" customFormat="false" ht="15" hidden="false" customHeight="false" outlineLevel="0" collapsed="false">
      <c r="A1090" s="81" t="s">
        <v>1733</v>
      </c>
      <c r="B1090" s="82" t="n">
        <v>46186</v>
      </c>
      <c r="C1090" s="81" t="s">
        <v>261</v>
      </c>
      <c r="D1090" s="83" t="str">
        <f aca="false">IFERROR(INDEX(c_Name,MATCH($C1090,c_ID,0)),"غير معرّف")</f>
        <v>ياسر الدوسري</v>
      </c>
      <c r="E1090" s="83" t="str">
        <f aca="false">IFERROR(INDEX(c_Region,MATCH($C1090,c_ID,0)),"غير معرّف")</f>
        <v>الجنوبية</v>
      </c>
      <c r="F1090" s="81" t="s">
        <v>178</v>
      </c>
      <c r="G1090" s="83" t="str">
        <f aca="false">IFERROR(INDEX(p_Name,MATCH($F1090,p_ID,0)),"غير معرّف")</f>
        <v>حقيبة لابتوب</v>
      </c>
      <c r="H1090" s="83" t="str">
        <f aca="false">IFERROR(INDEX(p_Cat,MATCH($F1090,p_ID,0)),"غير معرّف")</f>
        <v>مستلزمات مكتبية</v>
      </c>
      <c r="I1090" s="81" t="s">
        <v>465</v>
      </c>
      <c r="J1090" s="81" t="s">
        <v>93</v>
      </c>
      <c r="K1090" s="81" t="n">
        <v>2</v>
      </c>
      <c r="L1090" s="84" t="n">
        <f aca="false">IFERROR(INDEX(p_Price,MATCH($F1090,p_ID,0)),0)</f>
        <v>260</v>
      </c>
      <c r="M1090" s="85" t="n">
        <v>0</v>
      </c>
      <c r="N1090" s="81" t="s">
        <v>644</v>
      </c>
      <c r="O1090" s="84" t="n">
        <f aca="false">IF($N1090="مرتجع",0,K1090*L1090*(1-M1090))</f>
        <v>520</v>
      </c>
      <c r="P1090" s="84" t="n">
        <f aca="false">IF($N1090="مرتجع",0,K1090*IFERROR(INDEX(p_Cost,MATCH($F1090,p_ID,0)),0))</f>
        <v>240</v>
      </c>
      <c r="Q1090" s="84" t="n">
        <f aca="false">O1090-P1090</f>
        <v>280</v>
      </c>
      <c r="R1090" s="86" t="n">
        <f aca="false">DATE(YEAR(B1090),MONTH(B1090),1)</f>
        <v>46174</v>
      </c>
      <c r="S1090" s="83" t="str">
        <f aca="false">YEAR(B1090)&amp;"-Q"&amp;ROUNDUP(MONTH(B1090)/3,0)</f>
        <v>2026-Q2</v>
      </c>
      <c r="T1090" s="87" t="n">
        <f aca="false">IF(O1090&gt;0,Q1090/O1090,"")</f>
        <v>0.538461538461538</v>
      </c>
      <c r="U1090" s="84" t="n">
        <f aca="false">IF(O1090&gt;0,O1090,"")</f>
        <v>520</v>
      </c>
    </row>
    <row r="1091" customFormat="false" ht="15" hidden="false" customHeight="false" outlineLevel="0" collapsed="false">
      <c r="A1091" s="81" t="s">
        <v>1734</v>
      </c>
      <c r="B1091" s="82" t="n">
        <v>46186</v>
      </c>
      <c r="C1091" s="81" t="s">
        <v>335</v>
      </c>
      <c r="D1091" s="83" t="str">
        <f aca="false">IFERROR(INDEX(c_Name,MATCH($C1091,c_ID,0)),"غير معرّف")</f>
        <v>نورة الحربي</v>
      </c>
      <c r="E1091" s="83" t="str">
        <f aca="false">IFERROR(INDEX(c_Region,MATCH($C1091,c_ID,0)),"غير معرّف")</f>
        <v>الشرقية</v>
      </c>
      <c r="F1091" s="81" t="s">
        <v>180</v>
      </c>
      <c r="G1091" s="83" t="str">
        <f aca="false">IFERROR(INDEX(p_Name,MATCH($F1091,p_ID,0)),"غير معرّف")</f>
        <v>جهاز مشي</v>
      </c>
      <c r="H1091" s="83" t="str">
        <f aca="false">IFERROR(INDEX(p_Cat,MATCH($F1091,p_ID,0)),"غير معرّف")</f>
        <v>رياضة</v>
      </c>
      <c r="I1091" s="81" t="s">
        <v>463</v>
      </c>
      <c r="J1091" s="81" t="s">
        <v>91</v>
      </c>
      <c r="K1091" s="81" t="n">
        <v>1</v>
      </c>
      <c r="L1091" s="84" t="n">
        <f aca="false">IFERROR(INDEX(p_Price,MATCH($F1091,p_ID,0)),0)</f>
        <v>3200</v>
      </c>
      <c r="M1091" s="85" t="n">
        <v>0.1</v>
      </c>
      <c r="N1091" s="81" t="s">
        <v>644</v>
      </c>
      <c r="O1091" s="84" t="n">
        <f aca="false">IF($N1091="مرتجع",0,K1091*L1091*(1-M1091))</f>
        <v>2880</v>
      </c>
      <c r="P1091" s="84" t="n">
        <f aca="false">IF($N1091="مرتجع",0,K1091*IFERROR(INDEX(p_Cost,MATCH($F1091,p_ID,0)),0))</f>
        <v>2200</v>
      </c>
      <c r="Q1091" s="84" t="n">
        <f aca="false">O1091-P1091</f>
        <v>680</v>
      </c>
      <c r="R1091" s="86" t="n">
        <f aca="false">DATE(YEAR(B1091),MONTH(B1091),1)</f>
        <v>46174</v>
      </c>
      <c r="S1091" s="83" t="str">
        <f aca="false">YEAR(B1091)&amp;"-Q"&amp;ROUNDUP(MONTH(B1091)/3,0)</f>
        <v>2026-Q2</v>
      </c>
      <c r="T1091" s="87" t="n">
        <f aca="false">IF(O1091&gt;0,Q1091/O1091,"")</f>
        <v>0.236111111111111</v>
      </c>
      <c r="U1091" s="84" t="n">
        <f aca="false">IF(O1091&gt;0,O1091,"")</f>
        <v>2880</v>
      </c>
    </row>
    <row r="1092" customFormat="false" ht="15" hidden="false" customHeight="false" outlineLevel="0" collapsed="false">
      <c r="A1092" s="81" t="s">
        <v>1735</v>
      </c>
      <c r="B1092" s="82" t="n">
        <v>46186</v>
      </c>
      <c r="C1092" s="81" t="s">
        <v>296</v>
      </c>
      <c r="D1092" s="83" t="str">
        <f aca="false">IFERROR(INDEX(c_Name,MATCH($C1092,c_ID,0)),"غير معرّف")</f>
        <v>محمد الزهراني</v>
      </c>
      <c r="E1092" s="83" t="str">
        <f aca="false">IFERROR(INDEX(c_Region,MATCH($C1092,c_ID,0)),"غير معرّف")</f>
        <v>الغربية</v>
      </c>
      <c r="F1092" s="81" t="s">
        <v>183</v>
      </c>
      <c r="G1092" s="83" t="str">
        <f aca="false">IFERROR(INDEX(p_Name,MATCH($F1092,p_ID,0)),"غير معرّف")</f>
        <v>سجادة يوغا</v>
      </c>
      <c r="H1092" s="83" t="str">
        <f aca="false">IFERROR(INDEX(p_Cat,MATCH($F1092,p_ID,0)),"غير معرّف")</f>
        <v>رياضة</v>
      </c>
      <c r="I1092" s="81" t="s">
        <v>452</v>
      </c>
      <c r="J1092" s="81" t="s">
        <v>91</v>
      </c>
      <c r="K1092" s="81" t="n">
        <v>3</v>
      </c>
      <c r="L1092" s="84" t="n">
        <f aca="false">IFERROR(INDEX(p_Price,MATCH($F1092,p_ID,0)),0)</f>
        <v>120</v>
      </c>
      <c r="M1092" s="85" t="n">
        <v>0.05</v>
      </c>
      <c r="N1092" s="81" t="s">
        <v>644</v>
      </c>
      <c r="O1092" s="84" t="n">
        <f aca="false">IF($N1092="مرتجع",0,K1092*L1092*(1-M1092))</f>
        <v>342</v>
      </c>
      <c r="P1092" s="84" t="n">
        <f aca="false">IF($N1092="مرتجع",0,K1092*IFERROR(INDEX(p_Cost,MATCH($F1092,p_ID,0)),0))</f>
        <v>150</v>
      </c>
      <c r="Q1092" s="84" t="n">
        <f aca="false">O1092-P1092</f>
        <v>192</v>
      </c>
      <c r="R1092" s="86" t="n">
        <f aca="false">DATE(YEAR(B1092),MONTH(B1092),1)</f>
        <v>46174</v>
      </c>
      <c r="S1092" s="83" t="str">
        <f aca="false">YEAR(B1092)&amp;"-Q"&amp;ROUNDUP(MONTH(B1092)/3,0)</f>
        <v>2026-Q2</v>
      </c>
      <c r="T1092" s="87" t="n">
        <f aca="false">IF(O1092&gt;0,Q1092/O1092,"")</f>
        <v>0.56140350877193</v>
      </c>
      <c r="U1092" s="84" t="n">
        <f aca="false">IF(O1092&gt;0,O1092,"")</f>
        <v>342</v>
      </c>
    </row>
    <row r="1093" customFormat="false" ht="15" hidden="false" customHeight="false" outlineLevel="0" collapsed="false">
      <c r="A1093" s="81" t="s">
        <v>1736</v>
      </c>
      <c r="B1093" s="82" t="n">
        <v>46186</v>
      </c>
      <c r="C1093" s="81" t="s">
        <v>349</v>
      </c>
      <c r="D1093" s="83" t="str">
        <f aca="false">IFERROR(INDEX(c_Name,MATCH($C1093,c_ID,0)),"غير معرّف")</f>
        <v>خالد الزهراني</v>
      </c>
      <c r="E1093" s="83" t="str">
        <f aca="false">IFERROR(INDEX(c_Region,MATCH($C1093,c_ID,0)),"غير معرّف")</f>
        <v>الوسطى</v>
      </c>
      <c r="F1093" s="81" t="s">
        <v>187</v>
      </c>
      <c r="G1093" s="83" t="str">
        <f aca="false">IFERROR(INDEX(p_Name,MATCH($F1093,p_ID,0)),"غير معرّف")</f>
        <v>جهاز تدليك</v>
      </c>
      <c r="H1093" s="83" t="str">
        <f aca="false">IFERROR(INDEX(p_Cat,MATCH($F1093,p_ID,0)),"غير معرّف")</f>
        <v>عناية شخصية</v>
      </c>
      <c r="I1093" s="81" t="s">
        <v>449</v>
      </c>
      <c r="J1093" s="81" t="s">
        <v>93</v>
      </c>
      <c r="K1093" s="81" t="n">
        <v>2</v>
      </c>
      <c r="L1093" s="84" t="n">
        <f aca="false">IFERROR(INDEX(p_Price,MATCH($F1093,p_ID,0)),0)</f>
        <v>600</v>
      </c>
      <c r="M1093" s="85" t="n">
        <v>0</v>
      </c>
      <c r="N1093" s="81" t="s">
        <v>644</v>
      </c>
      <c r="O1093" s="84" t="n">
        <f aca="false">IF($N1093="مرتجع",0,K1093*L1093*(1-M1093))</f>
        <v>1200</v>
      </c>
      <c r="P1093" s="84" t="n">
        <f aca="false">IF($N1093="مرتجع",0,K1093*IFERROR(INDEX(p_Cost,MATCH($F1093,p_ID,0)),0))</f>
        <v>660</v>
      </c>
      <c r="Q1093" s="84" t="n">
        <f aca="false">O1093-P1093</f>
        <v>540</v>
      </c>
      <c r="R1093" s="86" t="n">
        <f aca="false">DATE(YEAR(B1093),MONTH(B1093),1)</f>
        <v>46174</v>
      </c>
      <c r="S1093" s="83" t="str">
        <f aca="false">YEAR(B1093)&amp;"-Q"&amp;ROUNDUP(MONTH(B1093)/3,0)</f>
        <v>2026-Q2</v>
      </c>
      <c r="T1093" s="87" t="n">
        <f aca="false">IF(O1093&gt;0,Q1093/O1093,"")</f>
        <v>0.45</v>
      </c>
      <c r="U1093" s="84" t="n">
        <f aca="false">IF(O1093&gt;0,O1093,"")</f>
        <v>1200</v>
      </c>
    </row>
    <row r="1094" customFormat="false" ht="15" hidden="false" customHeight="false" outlineLevel="0" collapsed="false">
      <c r="A1094" s="81" t="s">
        <v>1737</v>
      </c>
      <c r="B1094" s="82" t="n">
        <v>46186</v>
      </c>
      <c r="C1094" s="81" t="s">
        <v>404</v>
      </c>
      <c r="D1094" s="83" t="str">
        <f aca="false">IFERROR(INDEX(c_Name,MATCH($C1094,c_ID,0)),"غير معرّف")</f>
        <v>عبدالله الحسيني</v>
      </c>
      <c r="E1094" s="83" t="str">
        <f aca="false">IFERROR(INDEX(c_Region,MATCH($C1094,c_ID,0)),"غير معرّف")</f>
        <v>الشرقية</v>
      </c>
      <c r="F1094" s="81" t="s">
        <v>171</v>
      </c>
      <c r="G1094" s="83" t="str">
        <f aca="false">IFERROR(INDEX(p_Name,MATCH($F1094,p_ID,0)),"غير معرّف")</f>
        <v>قلاية هوائية</v>
      </c>
      <c r="H1094" s="83" t="str">
        <f aca="false">IFERROR(INDEX(p_Cat,MATCH($F1094,p_ID,0)),"غير معرّف")</f>
        <v>أجهزة منزلية</v>
      </c>
      <c r="I1094" s="81" t="s">
        <v>461</v>
      </c>
      <c r="J1094" s="81" t="s">
        <v>91</v>
      </c>
      <c r="K1094" s="81" t="n">
        <v>1</v>
      </c>
      <c r="L1094" s="84" t="n">
        <f aca="false">IFERROR(INDEX(p_Price,MATCH($F1094,p_ID,0)),0)</f>
        <v>520</v>
      </c>
      <c r="M1094" s="85" t="n">
        <v>0.1</v>
      </c>
      <c r="N1094" s="81" t="s">
        <v>644</v>
      </c>
      <c r="O1094" s="84" t="n">
        <f aca="false">IF($N1094="مرتجع",0,K1094*L1094*(1-M1094))</f>
        <v>468</v>
      </c>
      <c r="P1094" s="84" t="n">
        <f aca="false">IF($N1094="مرتجع",0,K1094*IFERROR(INDEX(p_Cost,MATCH($F1094,p_ID,0)),0))</f>
        <v>300</v>
      </c>
      <c r="Q1094" s="84" t="n">
        <f aca="false">O1094-P1094</f>
        <v>168</v>
      </c>
      <c r="R1094" s="86" t="n">
        <f aca="false">DATE(YEAR(B1094),MONTH(B1094),1)</f>
        <v>46174</v>
      </c>
      <c r="S1094" s="83" t="str">
        <f aca="false">YEAR(B1094)&amp;"-Q"&amp;ROUNDUP(MONTH(B1094)/3,0)</f>
        <v>2026-Q2</v>
      </c>
      <c r="T1094" s="87" t="n">
        <f aca="false">IF(O1094&gt;0,Q1094/O1094,"")</f>
        <v>0.358974358974359</v>
      </c>
      <c r="U1094" s="84" t="n">
        <f aca="false">IF(O1094&gt;0,O1094,"")</f>
        <v>468</v>
      </c>
    </row>
    <row r="1095" customFormat="false" ht="15" hidden="false" customHeight="false" outlineLevel="0" collapsed="false">
      <c r="A1095" s="81" t="s">
        <v>1738</v>
      </c>
      <c r="B1095" s="82" t="n">
        <v>46186</v>
      </c>
      <c r="C1095" s="81" t="s">
        <v>235</v>
      </c>
      <c r="D1095" s="83" t="str">
        <f aca="false">IFERROR(INDEX(c_Name,MATCH($C1095,c_ID,0)),"غير معرّف")</f>
        <v>ليلى الزهراني</v>
      </c>
      <c r="E1095" s="83" t="str">
        <f aca="false">IFERROR(INDEX(c_Region,MATCH($C1095,c_ID,0)),"غير معرّف")</f>
        <v>الشرقية</v>
      </c>
      <c r="F1095" s="81" t="s">
        <v>166</v>
      </c>
      <c r="G1095" s="83" t="str">
        <f aca="false">IFERROR(INDEX(p_Name,MATCH($F1095,p_ID,0)),"غير معرّف")</f>
        <v>سماعات لاسلكية</v>
      </c>
      <c r="H1095" s="83" t="str">
        <f aca="false">IFERROR(INDEX(p_Cat,MATCH($F1095,p_ID,0)),"غير معرّف")</f>
        <v>إلكترونيات</v>
      </c>
      <c r="I1095" s="81" t="s">
        <v>463</v>
      </c>
      <c r="J1095" s="81" t="s">
        <v>91</v>
      </c>
      <c r="K1095" s="81" t="n">
        <v>1</v>
      </c>
      <c r="L1095" s="84" t="n">
        <f aca="false">IFERROR(INDEX(p_Price,MATCH($F1095,p_ID,0)),0)</f>
        <v>450</v>
      </c>
      <c r="M1095" s="85" t="n">
        <v>0</v>
      </c>
      <c r="N1095" s="81" t="s">
        <v>644</v>
      </c>
      <c r="O1095" s="84" t="n">
        <f aca="false">IF($N1095="مرتجع",0,K1095*L1095*(1-M1095))</f>
        <v>450</v>
      </c>
      <c r="P1095" s="84" t="n">
        <f aca="false">IF($N1095="مرتجع",0,K1095*IFERROR(INDEX(p_Cost,MATCH($F1095,p_ID,0)),0))</f>
        <v>260</v>
      </c>
      <c r="Q1095" s="84" t="n">
        <f aca="false">O1095-P1095</f>
        <v>190</v>
      </c>
      <c r="R1095" s="86" t="n">
        <f aca="false">DATE(YEAR(B1095),MONTH(B1095),1)</f>
        <v>46174</v>
      </c>
      <c r="S1095" s="83" t="str">
        <f aca="false">YEAR(B1095)&amp;"-Q"&amp;ROUNDUP(MONTH(B1095)/3,0)</f>
        <v>2026-Q2</v>
      </c>
      <c r="T1095" s="87" t="n">
        <f aca="false">IF(O1095&gt;0,Q1095/O1095,"")</f>
        <v>0.422222222222222</v>
      </c>
      <c r="U1095" s="84" t="n">
        <f aca="false">IF(O1095&gt;0,O1095,"")</f>
        <v>450</v>
      </c>
    </row>
    <row r="1096" customFormat="false" ht="15" hidden="false" customHeight="false" outlineLevel="0" collapsed="false">
      <c r="A1096" s="81" t="s">
        <v>1739</v>
      </c>
      <c r="B1096" s="82" t="n">
        <v>46186</v>
      </c>
      <c r="C1096" s="81" t="s">
        <v>306</v>
      </c>
      <c r="D1096" s="83" t="str">
        <f aca="false">IFERROR(INDEX(c_Name,MATCH($C1096,c_ID,0)),"غير معرّف")</f>
        <v>أحمد العنزي</v>
      </c>
      <c r="E1096" s="83" t="str">
        <f aca="false">IFERROR(INDEX(c_Region,MATCH($C1096,c_ID,0)),"غير معرّف")</f>
        <v>الغربية</v>
      </c>
      <c r="F1096" s="81" t="s">
        <v>170</v>
      </c>
      <c r="G1096" s="83" t="str">
        <f aca="false">IFERROR(INDEX(p_Name,MATCH($F1096,p_ID,0)),"غير معرّف")</f>
        <v>مكيف نقال</v>
      </c>
      <c r="H1096" s="83" t="str">
        <f aca="false">IFERROR(INDEX(p_Cat,MATCH($F1096,p_ID,0)),"غير معرّف")</f>
        <v>أجهزة منزلية</v>
      </c>
      <c r="I1096" s="81" t="s">
        <v>458</v>
      </c>
      <c r="J1096" s="81" t="s">
        <v>95</v>
      </c>
      <c r="K1096" s="81" t="n">
        <v>1</v>
      </c>
      <c r="L1096" s="84" t="n">
        <f aca="false">IFERROR(INDEX(p_Price,MATCH($F1096,p_ID,0)),0)</f>
        <v>1900</v>
      </c>
      <c r="M1096" s="85" t="n">
        <v>0.05</v>
      </c>
      <c r="N1096" s="81" t="s">
        <v>644</v>
      </c>
      <c r="O1096" s="84" t="n">
        <f aca="false">IF($N1096="مرتجع",0,K1096*L1096*(1-M1096))</f>
        <v>1805</v>
      </c>
      <c r="P1096" s="84" t="n">
        <f aca="false">IF($N1096="مرتجع",0,K1096*IFERROR(INDEX(p_Cost,MATCH($F1096,p_ID,0)),0))</f>
        <v>1350</v>
      </c>
      <c r="Q1096" s="84" t="n">
        <f aca="false">O1096-P1096</f>
        <v>455</v>
      </c>
      <c r="R1096" s="86" t="n">
        <f aca="false">DATE(YEAR(B1096),MONTH(B1096),1)</f>
        <v>46174</v>
      </c>
      <c r="S1096" s="83" t="str">
        <f aca="false">YEAR(B1096)&amp;"-Q"&amp;ROUNDUP(MONTH(B1096)/3,0)</f>
        <v>2026-Q2</v>
      </c>
      <c r="T1096" s="87" t="n">
        <f aca="false">IF(O1096&gt;0,Q1096/O1096,"")</f>
        <v>0.25207756232687</v>
      </c>
      <c r="U1096" s="84" t="n">
        <f aca="false">IF(O1096&gt;0,O1096,"")</f>
        <v>1805</v>
      </c>
    </row>
    <row r="1097" customFormat="false" ht="15" hidden="false" customHeight="false" outlineLevel="0" collapsed="false">
      <c r="A1097" s="81" t="s">
        <v>1740</v>
      </c>
      <c r="B1097" s="82" t="n">
        <v>46187</v>
      </c>
      <c r="C1097" s="81" t="s">
        <v>266</v>
      </c>
      <c r="D1097" s="83" t="str">
        <f aca="false">IFERROR(INDEX(c_Name,MATCH($C1097,c_ID,0)),"غير معرّف")</f>
        <v>ياسر الشهري</v>
      </c>
      <c r="E1097" s="83" t="str">
        <f aca="false">IFERROR(INDEX(c_Region,MATCH($C1097,c_ID,0)),"غير معرّف")</f>
        <v>الوسطى</v>
      </c>
      <c r="F1097" s="81" t="s">
        <v>186</v>
      </c>
      <c r="G1097" s="83" t="str">
        <f aca="false">IFERROR(INDEX(p_Name,MATCH($F1097,p_ID,0)),"غير معرّف")</f>
        <v>مجفف شعر</v>
      </c>
      <c r="H1097" s="83" t="str">
        <f aca="false">IFERROR(INDEX(p_Cat,MATCH($F1097,p_ID,0)),"غير معرّف")</f>
        <v>عناية شخصية</v>
      </c>
      <c r="I1097" s="81" t="s">
        <v>446</v>
      </c>
      <c r="J1097" s="81" t="s">
        <v>91</v>
      </c>
      <c r="K1097" s="81" t="n">
        <v>4</v>
      </c>
      <c r="L1097" s="84" t="n">
        <f aca="false">IFERROR(INDEX(p_Price,MATCH($F1097,p_ID,0)),0)</f>
        <v>280</v>
      </c>
      <c r="M1097" s="85" t="n">
        <v>0.05</v>
      </c>
      <c r="N1097" s="81" t="s">
        <v>644</v>
      </c>
      <c r="O1097" s="84" t="n">
        <f aca="false">IF($N1097="مرتجع",0,K1097*L1097*(1-M1097))</f>
        <v>1064</v>
      </c>
      <c r="P1097" s="84" t="n">
        <f aca="false">IF($N1097="مرتجع",0,K1097*IFERROR(INDEX(p_Cost,MATCH($F1097,p_ID,0)),0))</f>
        <v>560</v>
      </c>
      <c r="Q1097" s="84" t="n">
        <f aca="false">O1097-P1097</f>
        <v>504</v>
      </c>
      <c r="R1097" s="86" t="n">
        <f aca="false">DATE(YEAR(B1097),MONTH(B1097),1)</f>
        <v>46174</v>
      </c>
      <c r="S1097" s="83" t="str">
        <f aca="false">YEAR(B1097)&amp;"-Q"&amp;ROUNDUP(MONTH(B1097)/3,0)</f>
        <v>2026-Q2</v>
      </c>
      <c r="T1097" s="87" t="n">
        <f aca="false">IF(O1097&gt;0,Q1097/O1097,"")</f>
        <v>0.473684210526316</v>
      </c>
      <c r="U1097" s="84" t="n">
        <f aca="false">IF(O1097&gt;0,O1097,"")</f>
        <v>1064</v>
      </c>
    </row>
    <row r="1098" customFormat="false" ht="15" hidden="false" customHeight="false" outlineLevel="0" collapsed="false">
      <c r="A1098" s="81" t="s">
        <v>1741</v>
      </c>
      <c r="B1098" s="82" t="n">
        <v>46187</v>
      </c>
      <c r="C1098" s="81" t="s">
        <v>235</v>
      </c>
      <c r="D1098" s="83" t="str">
        <f aca="false">IFERROR(INDEX(c_Name,MATCH($C1098,c_ID,0)),"غير معرّف")</f>
        <v>ليلى الزهراني</v>
      </c>
      <c r="E1098" s="83" t="str">
        <f aca="false">IFERROR(INDEX(c_Region,MATCH($C1098,c_ID,0)),"غير معرّف")</f>
        <v>الشرقية</v>
      </c>
      <c r="F1098" s="81" t="s">
        <v>182</v>
      </c>
      <c r="G1098" s="83" t="str">
        <f aca="false">IFERROR(INDEX(p_Name,MATCH($F1098,p_ID,0)),"غير معرّف")</f>
        <v>طقم أوزان</v>
      </c>
      <c r="H1098" s="83" t="str">
        <f aca="false">IFERROR(INDEX(p_Cat,MATCH($F1098,p_ID,0)),"غير معرّف")</f>
        <v>رياضة</v>
      </c>
      <c r="I1098" s="81" t="s">
        <v>461</v>
      </c>
      <c r="J1098" s="81" t="s">
        <v>93</v>
      </c>
      <c r="K1098" s="81" t="n">
        <v>2</v>
      </c>
      <c r="L1098" s="84" t="n">
        <f aca="false">IFERROR(INDEX(p_Price,MATCH($F1098,p_ID,0)),0)</f>
        <v>380</v>
      </c>
      <c r="M1098" s="85" t="n">
        <v>0.15</v>
      </c>
      <c r="N1098" s="81" t="s">
        <v>644</v>
      </c>
      <c r="O1098" s="84" t="n">
        <f aca="false">IF($N1098="مرتجع",0,K1098*L1098*(1-M1098))</f>
        <v>646</v>
      </c>
      <c r="P1098" s="84" t="n">
        <f aca="false">IF($N1098="مرتجع",0,K1098*IFERROR(INDEX(p_Cost,MATCH($F1098,p_ID,0)),0))</f>
        <v>420</v>
      </c>
      <c r="Q1098" s="84" t="n">
        <f aca="false">O1098-P1098</f>
        <v>226</v>
      </c>
      <c r="R1098" s="86" t="n">
        <f aca="false">DATE(YEAR(B1098),MONTH(B1098),1)</f>
        <v>46174</v>
      </c>
      <c r="S1098" s="83" t="str">
        <f aca="false">YEAR(B1098)&amp;"-Q"&amp;ROUNDUP(MONTH(B1098)/3,0)</f>
        <v>2026-Q2</v>
      </c>
      <c r="T1098" s="87" t="n">
        <f aca="false">IF(O1098&gt;0,Q1098/O1098,"")</f>
        <v>0.34984520123839</v>
      </c>
      <c r="U1098" s="84" t="n">
        <f aca="false">IF(O1098&gt;0,O1098,"")</f>
        <v>646</v>
      </c>
    </row>
    <row r="1099" customFormat="false" ht="15" hidden="false" customHeight="false" outlineLevel="0" collapsed="false">
      <c r="A1099" s="81" t="s">
        <v>1742</v>
      </c>
      <c r="B1099" s="82" t="n">
        <v>46188</v>
      </c>
      <c r="C1099" s="81" t="s">
        <v>311</v>
      </c>
      <c r="D1099" s="83" t="str">
        <f aca="false">IFERROR(INDEX(c_Name,MATCH($C1099,c_ID,0)),"غير معرّف")</f>
        <v>لمى الحسيني</v>
      </c>
      <c r="E1099" s="83" t="str">
        <f aca="false">IFERROR(INDEX(c_Region,MATCH($C1099,c_ID,0)),"غير معرّف")</f>
        <v>الوسطى</v>
      </c>
      <c r="F1099" s="81" t="s">
        <v>185</v>
      </c>
      <c r="G1099" s="83" t="str">
        <f aca="false">IFERROR(INDEX(p_Name,MATCH($F1099,p_ID,0)),"غير معرّف")</f>
        <v>ماكينة حلاقة</v>
      </c>
      <c r="H1099" s="83" t="str">
        <f aca="false">IFERROR(INDEX(p_Cat,MATCH($F1099,p_ID,0)),"غير معرّف")</f>
        <v>عناية شخصية</v>
      </c>
      <c r="I1099" s="81" t="s">
        <v>446</v>
      </c>
      <c r="J1099" s="81" t="s">
        <v>91</v>
      </c>
      <c r="K1099" s="81" t="n">
        <v>1</v>
      </c>
      <c r="L1099" s="84" t="n">
        <f aca="false">IFERROR(INDEX(p_Price,MATCH($F1099,p_ID,0)),0)</f>
        <v>340</v>
      </c>
      <c r="M1099" s="85" t="n">
        <v>0</v>
      </c>
      <c r="N1099" s="81" t="s">
        <v>644</v>
      </c>
      <c r="O1099" s="84" t="n">
        <f aca="false">IF($N1099="مرتجع",0,K1099*L1099*(1-M1099))</f>
        <v>340</v>
      </c>
      <c r="P1099" s="84" t="n">
        <f aca="false">IF($N1099="مرتجع",0,K1099*IFERROR(INDEX(p_Cost,MATCH($F1099,p_ID,0)),0))</f>
        <v>170</v>
      </c>
      <c r="Q1099" s="84" t="n">
        <f aca="false">O1099-P1099</f>
        <v>170</v>
      </c>
      <c r="R1099" s="86" t="n">
        <f aca="false">DATE(YEAR(B1099),MONTH(B1099),1)</f>
        <v>46174</v>
      </c>
      <c r="S1099" s="83" t="str">
        <f aca="false">YEAR(B1099)&amp;"-Q"&amp;ROUNDUP(MONTH(B1099)/3,0)</f>
        <v>2026-Q2</v>
      </c>
      <c r="T1099" s="87" t="n">
        <f aca="false">IF(O1099&gt;0,Q1099/O1099,"")</f>
        <v>0.5</v>
      </c>
      <c r="U1099" s="84" t="n">
        <f aca="false">IF(O1099&gt;0,O1099,"")</f>
        <v>340</v>
      </c>
    </row>
    <row r="1100" customFormat="false" ht="15" hidden="false" customHeight="false" outlineLevel="0" collapsed="false">
      <c r="A1100" s="81" t="s">
        <v>1743</v>
      </c>
      <c r="B1100" s="82" t="n">
        <v>46189</v>
      </c>
      <c r="C1100" s="81" t="s">
        <v>334</v>
      </c>
      <c r="D1100" s="83" t="str">
        <f aca="false">IFERROR(INDEX(c_Name,MATCH($C1100,c_ID,0)),"غير معرّف")</f>
        <v>ناصر الغامدي</v>
      </c>
      <c r="E1100" s="83" t="str">
        <f aca="false">IFERROR(INDEX(c_Region,MATCH($C1100,c_ID,0)),"غير معرّف")</f>
        <v>الغربية</v>
      </c>
      <c r="F1100" s="81" t="s">
        <v>186</v>
      </c>
      <c r="G1100" s="83" t="str">
        <f aca="false">IFERROR(INDEX(p_Name,MATCH($F1100,p_ID,0)),"غير معرّف")</f>
        <v>مجفف شعر</v>
      </c>
      <c r="H1100" s="83" t="str">
        <f aca="false">IFERROR(INDEX(p_Cat,MATCH($F1100,p_ID,0)),"غير معرّف")</f>
        <v>عناية شخصية</v>
      </c>
      <c r="I1100" s="81" t="s">
        <v>452</v>
      </c>
      <c r="J1100" s="81" t="s">
        <v>93</v>
      </c>
      <c r="K1100" s="81" t="n">
        <v>1</v>
      </c>
      <c r="L1100" s="84" t="n">
        <f aca="false">IFERROR(INDEX(p_Price,MATCH($F1100,p_ID,0)),0)</f>
        <v>280</v>
      </c>
      <c r="M1100" s="85" t="n">
        <v>0</v>
      </c>
      <c r="N1100" s="81" t="s">
        <v>644</v>
      </c>
      <c r="O1100" s="84" t="n">
        <f aca="false">IF($N1100="مرتجع",0,K1100*L1100*(1-M1100))</f>
        <v>280</v>
      </c>
      <c r="P1100" s="84" t="n">
        <f aca="false">IF($N1100="مرتجع",0,K1100*IFERROR(INDEX(p_Cost,MATCH($F1100,p_ID,0)),0))</f>
        <v>140</v>
      </c>
      <c r="Q1100" s="84" t="n">
        <f aca="false">O1100-P1100</f>
        <v>140</v>
      </c>
      <c r="R1100" s="86" t="n">
        <f aca="false">DATE(YEAR(B1100),MONTH(B1100),1)</f>
        <v>46174</v>
      </c>
      <c r="S1100" s="83" t="str">
        <f aca="false">YEAR(B1100)&amp;"-Q"&amp;ROUNDUP(MONTH(B1100)/3,0)</f>
        <v>2026-Q2</v>
      </c>
      <c r="T1100" s="87" t="n">
        <f aca="false">IF(O1100&gt;0,Q1100/O1100,"")</f>
        <v>0.5</v>
      </c>
      <c r="U1100" s="84" t="n">
        <f aca="false">IF(O1100&gt;0,O1100,"")</f>
        <v>280</v>
      </c>
    </row>
    <row r="1101" customFormat="false" ht="15" hidden="false" customHeight="false" outlineLevel="0" collapsed="false">
      <c r="A1101" s="81" t="s">
        <v>1744</v>
      </c>
      <c r="B1101" s="82" t="n">
        <v>46189</v>
      </c>
      <c r="C1101" s="81" t="s">
        <v>349</v>
      </c>
      <c r="D1101" s="83" t="str">
        <f aca="false">IFERROR(INDEX(c_Name,MATCH($C1101,c_ID,0)),"غير معرّف")</f>
        <v>خالد الزهراني</v>
      </c>
      <c r="E1101" s="83" t="str">
        <f aca="false">IFERROR(INDEX(c_Region,MATCH($C1101,c_ID,0)),"غير معرّف")</f>
        <v>الوسطى</v>
      </c>
      <c r="F1101" s="81" t="s">
        <v>168</v>
      </c>
      <c r="G1101" s="83" t="str">
        <f aca="false">IFERROR(INDEX(p_Name,MATCH($F1101,p_ID,0)),"غير معرّف")</f>
        <v>مكنسة كهربائية</v>
      </c>
      <c r="H1101" s="83" t="str">
        <f aca="false">IFERROR(INDEX(p_Cat,MATCH($F1101,p_ID,0)),"غير معرّف")</f>
        <v>أجهزة منزلية</v>
      </c>
      <c r="I1101" s="81" t="s">
        <v>449</v>
      </c>
      <c r="J1101" s="81" t="s">
        <v>91</v>
      </c>
      <c r="K1101" s="81" t="n">
        <v>2</v>
      </c>
      <c r="L1101" s="84" t="n">
        <f aca="false">IFERROR(INDEX(p_Price,MATCH($F1101,p_ID,0)),0)</f>
        <v>650</v>
      </c>
      <c r="M1101" s="85" t="n">
        <v>0.15</v>
      </c>
      <c r="N1101" s="81" t="s">
        <v>644</v>
      </c>
      <c r="O1101" s="84" t="n">
        <f aca="false">IF($N1101="مرتجع",0,K1101*L1101*(1-M1101))</f>
        <v>1105</v>
      </c>
      <c r="P1101" s="84" t="n">
        <f aca="false">IF($N1101="مرتجع",0,K1101*IFERROR(INDEX(p_Cost,MATCH($F1101,p_ID,0)),0))</f>
        <v>840</v>
      </c>
      <c r="Q1101" s="84" t="n">
        <f aca="false">O1101-P1101</f>
        <v>265</v>
      </c>
      <c r="R1101" s="86" t="n">
        <f aca="false">DATE(YEAR(B1101),MONTH(B1101),1)</f>
        <v>46174</v>
      </c>
      <c r="S1101" s="83" t="str">
        <f aca="false">YEAR(B1101)&amp;"-Q"&amp;ROUNDUP(MONTH(B1101)/3,0)</f>
        <v>2026-Q2</v>
      </c>
      <c r="T1101" s="87" t="n">
        <f aca="false">IF(O1101&gt;0,Q1101/O1101,"")</f>
        <v>0.239819004524887</v>
      </c>
      <c r="U1101" s="84" t="n">
        <f aca="false">IF(O1101&gt;0,O1101,"")</f>
        <v>1105</v>
      </c>
    </row>
    <row r="1102" customFormat="false" ht="15" hidden="false" customHeight="false" outlineLevel="0" collapsed="false">
      <c r="A1102" s="81" t="s">
        <v>1745</v>
      </c>
      <c r="B1102" s="82" t="n">
        <v>46189</v>
      </c>
      <c r="C1102" s="81" t="s">
        <v>404</v>
      </c>
      <c r="D1102" s="83" t="str">
        <f aca="false">IFERROR(INDEX(c_Name,MATCH($C1102,c_ID,0)),"غير معرّف")</f>
        <v>عبدالله الحسيني</v>
      </c>
      <c r="E1102" s="83" t="str">
        <f aca="false">IFERROR(INDEX(c_Region,MATCH($C1102,c_ID,0)),"غير معرّف")</f>
        <v>الشرقية</v>
      </c>
      <c r="F1102" s="81" t="s">
        <v>182</v>
      </c>
      <c r="G1102" s="83" t="str">
        <f aca="false">IFERROR(INDEX(p_Name,MATCH($F1102,p_ID,0)),"غير معرّف")</f>
        <v>طقم أوزان</v>
      </c>
      <c r="H1102" s="83" t="str">
        <f aca="false">IFERROR(INDEX(p_Cat,MATCH($F1102,p_ID,0)),"غير معرّف")</f>
        <v>رياضة</v>
      </c>
      <c r="I1102" s="81" t="s">
        <v>461</v>
      </c>
      <c r="J1102" s="81" t="s">
        <v>93</v>
      </c>
      <c r="K1102" s="81" t="n">
        <v>2</v>
      </c>
      <c r="L1102" s="84" t="n">
        <f aca="false">IFERROR(INDEX(p_Price,MATCH($F1102,p_ID,0)),0)</f>
        <v>380</v>
      </c>
      <c r="M1102" s="85" t="n">
        <v>0.2</v>
      </c>
      <c r="N1102" s="81" t="s">
        <v>644</v>
      </c>
      <c r="O1102" s="84" t="n">
        <f aca="false">IF($N1102="مرتجع",0,K1102*L1102*(1-M1102))</f>
        <v>608</v>
      </c>
      <c r="P1102" s="84" t="n">
        <f aca="false">IF($N1102="مرتجع",0,K1102*IFERROR(INDEX(p_Cost,MATCH($F1102,p_ID,0)),0))</f>
        <v>420</v>
      </c>
      <c r="Q1102" s="84" t="n">
        <f aca="false">O1102-P1102</f>
        <v>188</v>
      </c>
      <c r="R1102" s="86" t="n">
        <f aca="false">DATE(YEAR(B1102),MONTH(B1102),1)</f>
        <v>46174</v>
      </c>
      <c r="S1102" s="83" t="str">
        <f aca="false">YEAR(B1102)&amp;"-Q"&amp;ROUNDUP(MONTH(B1102)/3,0)</f>
        <v>2026-Q2</v>
      </c>
      <c r="T1102" s="87" t="n">
        <f aca="false">IF(O1102&gt;0,Q1102/O1102,"")</f>
        <v>0.30921052631579</v>
      </c>
      <c r="U1102" s="84" t="n">
        <f aca="false">IF(O1102&gt;0,O1102,"")</f>
        <v>608</v>
      </c>
    </row>
    <row r="1103" customFormat="false" ht="15" hidden="false" customHeight="false" outlineLevel="0" collapsed="false">
      <c r="A1103" s="81" t="s">
        <v>1746</v>
      </c>
      <c r="B1103" s="82" t="n">
        <v>46189</v>
      </c>
      <c r="C1103" s="81" t="s">
        <v>356</v>
      </c>
      <c r="D1103" s="83" t="str">
        <f aca="false">IFERROR(INDEX(c_Name,MATCH($C1103,c_ID,0)),"غير معرّف")</f>
        <v>هند البلوي</v>
      </c>
      <c r="E1103" s="83" t="str">
        <f aca="false">IFERROR(INDEX(c_Region,MATCH($C1103,c_ID,0)),"غير معرّف")</f>
        <v>الغربية</v>
      </c>
      <c r="F1103" s="81" t="s">
        <v>168</v>
      </c>
      <c r="G1103" s="83" t="str">
        <f aca="false">IFERROR(INDEX(p_Name,MATCH($F1103,p_ID,0)),"غير معرّف")</f>
        <v>مكنسة كهربائية</v>
      </c>
      <c r="H1103" s="83" t="str">
        <f aca="false">IFERROR(INDEX(p_Cat,MATCH($F1103,p_ID,0)),"غير معرّف")</f>
        <v>أجهزة منزلية</v>
      </c>
      <c r="I1103" s="81" t="s">
        <v>455</v>
      </c>
      <c r="J1103" s="81" t="s">
        <v>91</v>
      </c>
      <c r="K1103" s="81" t="n">
        <v>1</v>
      </c>
      <c r="L1103" s="84" t="n">
        <f aca="false">IFERROR(INDEX(p_Price,MATCH($F1103,p_ID,0)),0)</f>
        <v>650</v>
      </c>
      <c r="M1103" s="85" t="n">
        <v>0</v>
      </c>
      <c r="N1103" s="81" t="s">
        <v>644</v>
      </c>
      <c r="O1103" s="84" t="n">
        <f aca="false">IF($N1103="مرتجع",0,K1103*L1103*(1-M1103))</f>
        <v>650</v>
      </c>
      <c r="P1103" s="84" t="n">
        <f aca="false">IF($N1103="مرتجع",0,K1103*IFERROR(INDEX(p_Cost,MATCH($F1103,p_ID,0)),0))</f>
        <v>420</v>
      </c>
      <c r="Q1103" s="84" t="n">
        <f aca="false">O1103-P1103</f>
        <v>230</v>
      </c>
      <c r="R1103" s="86" t="n">
        <f aca="false">DATE(YEAR(B1103),MONTH(B1103),1)</f>
        <v>46174</v>
      </c>
      <c r="S1103" s="83" t="str">
        <f aca="false">YEAR(B1103)&amp;"-Q"&amp;ROUNDUP(MONTH(B1103)/3,0)</f>
        <v>2026-Q2</v>
      </c>
      <c r="T1103" s="87" t="n">
        <f aca="false">IF(O1103&gt;0,Q1103/O1103,"")</f>
        <v>0.353846153846154</v>
      </c>
      <c r="U1103" s="84" t="n">
        <f aca="false">IF(O1103&gt;0,O1103,"")</f>
        <v>650</v>
      </c>
    </row>
    <row r="1104" customFormat="false" ht="15" hidden="false" customHeight="false" outlineLevel="0" collapsed="false">
      <c r="A1104" s="81" t="s">
        <v>1747</v>
      </c>
      <c r="B1104" s="82" t="n">
        <v>46190</v>
      </c>
      <c r="C1104" s="81" t="s">
        <v>330</v>
      </c>
      <c r="D1104" s="83" t="str">
        <f aca="false">IFERROR(INDEX(c_Name,MATCH($C1104,c_ID,0)),"غير معرّف")</f>
        <v>سارة السبيعي</v>
      </c>
      <c r="E1104" s="83" t="str">
        <f aca="false">IFERROR(INDEX(c_Region,MATCH($C1104,c_ID,0)),"غير معرّف")</f>
        <v>الشرقية</v>
      </c>
      <c r="F1104" s="81" t="s">
        <v>177</v>
      </c>
      <c r="G1104" s="83" t="str">
        <f aca="false">IFERROR(INDEX(p_Name,MATCH($F1104,p_ID,0)),"غير معرّف")</f>
        <v>ورق A4 (صندوق)</v>
      </c>
      <c r="H1104" s="83" t="str">
        <f aca="false">IFERROR(INDEX(p_Cat,MATCH($F1104,p_ID,0)),"غير معرّف")</f>
        <v>مستلزمات مكتبية</v>
      </c>
      <c r="I1104" s="81" t="s">
        <v>461</v>
      </c>
      <c r="J1104" s="81" t="s">
        <v>95</v>
      </c>
      <c r="K1104" s="81" t="n">
        <v>4</v>
      </c>
      <c r="L1104" s="84" t="n">
        <f aca="false">IFERROR(INDEX(p_Price,MATCH($F1104,p_ID,0)),0)</f>
        <v>140</v>
      </c>
      <c r="M1104" s="85" t="n">
        <v>0.1</v>
      </c>
      <c r="N1104" s="81" t="s">
        <v>644</v>
      </c>
      <c r="O1104" s="84" t="n">
        <f aca="false">IF($N1104="مرتجع",0,K1104*L1104*(1-M1104))</f>
        <v>504</v>
      </c>
      <c r="P1104" s="84" t="n">
        <f aca="false">IF($N1104="مرتجع",0,K1104*IFERROR(INDEX(p_Cost,MATCH($F1104,p_ID,0)),0))</f>
        <v>380</v>
      </c>
      <c r="Q1104" s="84" t="n">
        <f aca="false">O1104-P1104</f>
        <v>124</v>
      </c>
      <c r="R1104" s="86" t="n">
        <f aca="false">DATE(YEAR(B1104),MONTH(B1104),1)</f>
        <v>46174</v>
      </c>
      <c r="S1104" s="83" t="str">
        <f aca="false">YEAR(B1104)&amp;"-Q"&amp;ROUNDUP(MONTH(B1104)/3,0)</f>
        <v>2026-Q2</v>
      </c>
      <c r="T1104" s="87" t="n">
        <f aca="false">IF(O1104&gt;0,Q1104/O1104,"")</f>
        <v>0.246031746031746</v>
      </c>
      <c r="U1104" s="84" t="n">
        <f aca="false">IF(O1104&gt;0,O1104,"")</f>
        <v>504</v>
      </c>
    </row>
    <row r="1105" customFormat="false" ht="15" hidden="false" customHeight="false" outlineLevel="0" collapsed="false">
      <c r="A1105" s="81" t="s">
        <v>1748</v>
      </c>
      <c r="B1105" s="82" t="n">
        <v>46190</v>
      </c>
      <c r="C1105" s="81" t="s">
        <v>241</v>
      </c>
      <c r="D1105" s="83" t="str">
        <f aca="false">IFERROR(INDEX(c_Name,MATCH($C1105,c_ID,0)),"غير معرّف")</f>
        <v>فهد الزهراني</v>
      </c>
      <c r="E1105" s="83" t="str">
        <f aca="false">IFERROR(INDEX(c_Region,MATCH($C1105,c_ID,0)),"غير معرّف")</f>
        <v>الجنوبية</v>
      </c>
      <c r="F1105" s="81" t="s">
        <v>172</v>
      </c>
      <c r="G1105" s="83" t="str">
        <f aca="false">IFERROR(INDEX(p_Name,MATCH($F1105,p_ID,0)),"غير معرّف")</f>
        <v>مكتب عمل</v>
      </c>
      <c r="H1105" s="83" t="str">
        <f aca="false">IFERROR(INDEX(p_Cat,MATCH($F1105,p_ID,0)),"غير معرّف")</f>
        <v>أثاث</v>
      </c>
      <c r="I1105" s="81" t="s">
        <v>467</v>
      </c>
      <c r="J1105" s="81" t="s">
        <v>93</v>
      </c>
      <c r="K1105" s="81" t="n">
        <v>2</v>
      </c>
      <c r="L1105" s="84" t="n">
        <f aca="false">IFERROR(INDEX(p_Price,MATCH($F1105,p_ID,0)),0)</f>
        <v>1200</v>
      </c>
      <c r="M1105" s="85" t="n">
        <v>0</v>
      </c>
      <c r="N1105" s="81" t="s">
        <v>644</v>
      </c>
      <c r="O1105" s="84" t="n">
        <f aca="false">IF($N1105="مرتجع",0,K1105*L1105*(1-M1105))</f>
        <v>2400</v>
      </c>
      <c r="P1105" s="84" t="n">
        <f aca="false">IF($N1105="مرتجع",0,K1105*IFERROR(INDEX(p_Cost,MATCH($F1105,p_ID,0)),0))</f>
        <v>1400</v>
      </c>
      <c r="Q1105" s="84" t="n">
        <f aca="false">O1105-P1105</f>
        <v>1000</v>
      </c>
      <c r="R1105" s="86" t="n">
        <f aca="false">DATE(YEAR(B1105),MONTH(B1105),1)</f>
        <v>46174</v>
      </c>
      <c r="S1105" s="83" t="str">
        <f aca="false">YEAR(B1105)&amp;"-Q"&amp;ROUNDUP(MONTH(B1105)/3,0)</f>
        <v>2026-Q2</v>
      </c>
      <c r="T1105" s="87" t="n">
        <f aca="false">IF(O1105&gt;0,Q1105/O1105,"")</f>
        <v>0.416666666666667</v>
      </c>
      <c r="U1105" s="84" t="n">
        <f aca="false">IF(O1105&gt;0,O1105,"")</f>
        <v>2400</v>
      </c>
    </row>
    <row r="1106" customFormat="false" ht="15" hidden="false" customHeight="false" outlineLevel="0" collapsed="false">
      <c r="A1106" s="81" t="s">
        <v>1749</v>
      </c>
      <c r="B1106" s="82" t="n">
        <v>46190</v>
      </c>
      <c r="C1106" s="81" t="s">
        <v>306</v>
      </c>
      <c r="D1106" s="83" t="str">
        <f aca="false">IFERROR(INDEX(c_Name,MATCH($C1106,c_ID,0)),"غير معرّف")</f>
        <v>أحمد العنزي</v>
      </c>
      <c r="E1106" s="83" t="str">
        <f aca="false">IFERROR(INDEX(c_Region,MATCH($C1106,c_ID,0)),"غير معرّف")</f>
        <v>الغربية</v>
      </c>
      <c r="F1106" s="81" t="s">
        <v>164</v>
      </c>
      <c r="G1106" s="83" t="str">
        <f aca="false">IFERROR(INDEX(p_Name,MATCH($F1106,p_ID,0)),"غير معرّف")</f>
        <v>هاتف ذكي</v>
      </c>
      <c r="H1106" s="83" t="str">
        <f aca="false">IFERROR(INDEX(p_Cat,MATCH($F1106,p_ID,0)),"غير معرّف")</f>
        <v>إلكترونيات</v>
      </c>
      <c r="I1106" s="81" t="s">
        <v>452</v>
      </c>
      <c r="J1106" s="81" t="s">
        <v>91</v>
      </c>
      <c r="K1106" s="81" t="n">
        <v>2</v>
      </c>
      <c r="L1106" s="84" t="n">
        <f aca="false">IFERROR(INDEX(p_Price,MATCH($F1106,p_ID,0)),0)</f>
        <v>2400</v>
      </c>
      <c r="M1106" s="85" t="n">
        <v>0.1</v>
      </c>
      <c r="N1106" s="81" t="s">
        <v>644</v>
      </c>
      <c r="O1106" s="84" t="n">
        <f aca="false">IF($N1106="مرتجع",0,K1106*L1106*(1-M1106))</f>
        <v>4320</v>
      </c>
      <c r="P1106" s="84" t="n">
        <f aca="false">IF($N1106="مرتجع",0,K1106*IFERROR(INDEX(p_Cost,MATCH($F1106,p_ID,0)),0))</f>
        <v>3500</v>
      </c>
      <c r="Q1106" s="84" t="n">
        <f aca="false">O1106-P1106</f>
        <v>820</v>
      </c>
      <c r="R1106" s="86" t="n">
        <f aca="false">DATE(YEAR(B1106),MONTH(B1106),1)</f>
        <v>46174</v>
      </c>
      <c r="S1106" s="83" t="str">
        <f aca="false">YEAR(B1106)&amp;"-Q"&amp;ROUNDUP(MONTH(B1106)/3,0)</f>
        <v>2026-Q2</v>
      </c>
      <c r="T1106" s="87" t="n">
        <f aca="false">IF(O1106&gt;0,Q1106/O1106,"")</f>
        <v>0.189814814814815</v>
      </c>
      <c r="U1106" s="84" t="n">
        <f aca="false">IF(O1106&gt;0,O1106,"")</f>
        <v>4320</v>
      </c>
    </row>
    <row r="1107" customFormat="false" ht="15" hidden="false" customHeight="false" outlineLevel="0" collapsed="false">
      <c r="A1107" s="81" t="s">
        <v>1750</v>
      </c>
      <c r="B1107" s="82" t="n">
        <v>46190</v>
      </c>
      <c r="C1107" s="81" t="s">
        <v>312</v>
      </c>
      <c r="D1107" s="83" t="str">
        <f aca="false">IFERROR(INDEX(c_Name,MATCH($C1107,c_ID,0)),"غير معرّف")</f>
        <v>دانة الدوسري</v>
      </c>
      <c r="E1107" s="83" t="str">
        <f aca="false">IFERROR(INDEX(c_Region,MATCH($C1107,c_ID,0)),"غير معرّف")</f>
        <v>الشرقية</v>
      </c>
      <c r="F1107" s="81" t="s">
        <v>177</v>
      </c>
      <c r="G1107" s="83" t="str">
        <f aca="false">IFERROR(INDEX(p_Name,MATCH($F1107,p_ID,0)),"غير معرّف")</f>
        <v>ورق A4 (صندوق)</v>
      </c>
      <c r="H1107" s="83" t="str">
        <f aca="false">IFERROR(INDEX(p_Cat,MATCH($F1107,p_ID,0)),"غير معرّف")</f>
        <v>مستلزمات مكتبية</v>
      </c>
      <c r="I1107" s="81" t="s">
        <v>461</v>
      </c>
      <c r="J1107" s="81" t="s">
        <v>91</v>
      </c>
      <c r="K1107" s="81" t="n">
        <v>1</v>
      </c>
      <c r="L1107" s="84" t="n">
        <f aca="false">IFERROR(INDEX(p_Price,MATCH($F1107,p_ID,0)),0)</f>
        <v>140</v>
      </c>
      <c r="M1107" s="85" t="n">
        <v>0</v>
      </c>
      <c r="N1107" s="81" t="s">
        <v>644</v>
      </c>
      <c r="O1107" s="84" t="n">
        <f aca="false">IF($N1107="مرتجع",0,K1107*L1107*(1-M1107))</f>
        <v>140</v>
      </c>
      <c r="P1107" s="84" t="n">
        <f aca="false">IF($N1107="مرتجع",0,K1107*IFERROR(INDEX(p_Cost,MATCH($F1107,p_ID,0)),0))</f>
        <v>95</v>
      </c>
      <c r="Q1107" s="84" t="n">
        <f aca="false">O1107-P1107</f>
        <v>45</v>
      </c>
      <c r="R1107" s="86" t="n">
        <f aca="false">DATE(YEAR(B1107),MONTH(B1107),1)</f>
        <v>46174</v>
      </c>
      <c r="S1107" s="83" t="str">
        <f aca="false">YEAR(B1107)&amp;"-Q"&amp;ROUNDUP(MONTH(B1107)/3,0)</f>
        <v>2026-Q2</v>
      </c>
      <c r="T1107" s="87" t="n">
        <f aca="false">IF(O1107&gt;0,Q1107/O1107,"")</f>
        <v>0.321428571428571</v>
      </c>
      <c r="U1107" s="84" t="n">
        <f aca="false">IF(O1107&gt;0,O1107,"")</f>
        <v>140</v>
      </c>
    </row>
    <row r="1108" customFormat="false" ht="15" hidden="false" customHeight="false" outlineLevel="0" collapsed="false">
      <c r="A1108" s="81" t="s">
        <v>1751</v>
      </c>
      <c r="B1108" s="82" t="n">
        <v>46190</v>
      </c>
      <c r="C1108" s="81" t="s">
        <v>266</v>
      </c>
      <c r="D1108" s="83" t="str">
        <f aca="false">IFERROR(INDEX(c_Name,MATCH($C1108,c_ID,0)),"غير معرّف")</f>
        <v>ياسر الشهري</v>
      </c>
      <c r="E1108" s="83" t="str">
        <f aca="false">IFERROR(INDEX(c_Region,MATCH($C1108,c_ID,0)),"غير معرّف")</f>
        <v>الوسطى</v>
      </c>
      <c r="F1108" s="81" t="s">
        <v>171</v>
      </c>
      <c r="G1108" s="83" t="str">
        <f aca="false">IFERROR(INDEX(p_Name,MATCH($F1108,p_ID,0)),"غير معرّف")</f>
        <v>قلاية هوائية</v>
      </c>
      <c r="H1108" s="83" t="str">
        <f aca="false">IFERROR(INDEX(p_Cat,MATCH($F1108,p_ID,0)),"غير معرّف")</f>
        <v>أجهزة منزلية</v>
      </c>
      <c r="I1108" s="81" t="s">
        <v>449</v>
      </c>
      <c r="J1108" s="81" t="s">
        <v>93</v>
      </c>
      <c r="K1108" s="81" t="n">
        <v>2</v>
      </c>
      <c r="L1108" s="84" t="n">
        <f aca="false">IFERROR(INDEX(p_Price,MATCH($F1108,p_ID,0)),0)</f>
        <v>520</v>
      </c>
      <c r="M1108" s="85" t="n">
        <v>0.2</v>
      </c>
      <c r="N1108" s="81" t="s">
        <v>644</v>
      </c>
      <c r="O1108" s="84" t="n">
        <f aca="false">IF($N1108="مرتجع",0,K1108*L1108*(1-M1108))</f>
        <v>832</v>
      </c>
      <c r="P1108" s="84" t="n">
        <f aca="false">IF($N1108="مرتجع",0,K1108*IFERROR(INDEX(p_Cost,MATCH($F1108,p_ID,0)),0))</f>
        <v>600</v>
      </c>
      <c r="Q1108" s="84" t="n">
        <f aca="false">O1108-P1108</f>
        <v>232</v>
      </c>
      <c r="R1108" s="86" t="n">
        <f aca="false">DATE(YEAR(B1108),MONTH(B1108),1)</f>
        <v>46174</v>
      </c>
      <c r="S1108" s="83" t="str">
        <f aca="false">YEAR(B1108)&amp;"-Q"&amp;ROUNDUP(MONTH(B1108)/3,0)</f>
        <v>2026-Q2</v>
      </c>
      <c r="T1108" s="87" t="n">
        <f aca="false">IF(O1108&gt;0,Q1108/O1108,"")</f>
        <v>0.278846153846154</v>
      </c>
      <c r="U1108" s="84" t="n">
        <f aca="false">IF(O1108&gt;0,O1108,"")</f>
        <v>832</v>
      </c>
    </row>
    <row r="1109" customFormat="false" ht="15" hidden="false" customHeight="false" outlineLevel="0" collapsed="false">
      <c r="A1109" s="81" t="s">
        <v>1752</v>
      </c>
      <c r="B1109" s="82" t="n">
        <v>46191</v>
      </c>
      <c r="C1109" s="81" t="s">
        <v>264</v>
      </c>
      <c r="D1109" s="83" t="str">
        <f aca="false">IFERROR(INDEX(c_Name,MATCH($C1109,c_ID,0)),"غير معرّف")</f>
        <v>عبدالله التميمي</v>
      </c>
      <c r="E1109" s="83" t="str">
        <f aca="false">IFERROR(INDEX(c_Region,MATCH($C1109,c_ID,0)),"غير معرّف")</f>
        <v>الوسطى</v>
      </c>
      <c r="F1109" s="81" t="s">
        <v>186</v>
      </c>
      <c r="G1109" s="83" t="str">
        <f aca="false">IFERROR(INDEX(p_Name,MATCH($F1109,p_ID,0)),"غير معرّف")</f>
        <v>مجفف شعر</v>
      </c>
      <c r="H1109" s="83" t="str">
        <f aca="false">IFERROR(INDEX(p_Cat,MATCH($F1109,p_ID,0)),"غير معرّف")</f>
        <v>عناية شخصية</v>
      </c>
      <c r="I1109" s="81" t="s">
        <v>449</v>
      </c>
      <c r="J1109" s="81" t="s">
        <v>93</v>
      </c>
      <c r="K1109" s="81" t="n">
        <v>1</v>
      </c>
      <c r="L1109" s="84" t="n">
        <f aca="false">IFERROR(INDEX(p_Price,MATCH($F1109,p_ID,0)),0)</f>
        <v>280</v>
      </c>
      <c r="M1109" s="85" t="n">
        <v>0.1</v>
      </c>
      <c r="N1109" s="81" t="s">
        <v>644</v>
      </c>
      <c r="O1109" s="84" t="n">
        <f aca="false">IF($N1109="مرتجع",0,K1109*L1109*(1-M1109))</f>
        <v>252</v>
      </c>
      <c r="P1109" s="84" t="n">
        <f aca="false">IF($N1109="مرتجع",0,K1109*IFERROR(INDEX(p_Cost,MATCH($F1109,p_ID,0)),0))</f>
        <v>140</v>
      </c>
      <c r="Q1109" s="84" t="n">
        <f aca="false">O1109-P1109</f>
        <v>112</v>
      </c>
      <c r="R1109" s="86" t="n">
        <f aca="false">DATE(YEAR(B1109),MONTH(B1109),1)</f>
        <v>46174</v>
      </c>
      <c r="S1109" s="83" t="str">
        <f aca="false">YEAR(B1109)&amp;"-Q"&amp;ROUNDUP(MONTH(B1109)/3,0)</f>
        <v>2026-Q2</v>
      </c>
      <c r="T1109" s="87" t="n">
        <f aca="false">IF(O1109&gt;0,Q1109/O1109,"")</f>
        <v>0.444444444444444</v>
      </c>
      <c r="U1109" s="84" t="n">
        <f aca="false">IF(O1109&gt;0,O1109,"")</f>
        <v>252</v>
      </c>
    </row>
    <row r="1110" customFormat="false" ht="15" hidden="false" customHeight="false" outlineLevel="0" collapsed="false">
      <c r="A1110" s="81" t="s">
        <v>1753</v>
      </c>
      <c r="B1110" s="82" t="n">
        <v>46191</v>
      </c>
      <c r="C1110" s="81" t="s">
        <v>418</v>
      </c>
      <c r="D1110" s="83" t="str">
        <f aca="false">IFERROR(INDEX(c_Name,MATCH($C1110,c_ID,0)),"غير معرّف")</f>
        <v>ياسر الزهراني</v>
      </c>
      <c r="E1110" s="83" t="str">
        <f aca="false">IFERROR(INDEX(c_Region,MATCH($C1110,c_ID,0)),"غير معرّف")</f>
        <v>الشرقية</v>
      </c>
      <c r="F1110" s="81" t="s">
        <v>169</v>
      </c>
      <c r="G1110" s="83" t="str">
        <f aca="false">IFERROR(INDEX(p_Name,MATCH($F1110,p_ID,0)),"غير معرّف")</f>
        <v>خلاط</v>
      </c>
      <c r="H1110" s="83" t="str">
        <f aca="false">IFERROR(INDEX(p_Cat,MATCH($F1110,p_ID,0)),"غير معرّف")</f>
        <v>أجهزة منزلية</v>
      </c>
      <c r="I1110" s="81" t="s">
        <v>463</v>
      </c>
      <c r="J1110" s="81" t="s">
        <v>93</v>
      </c>
      <c r="K1110" s="81" t="n">
        <v>4</v>
      </c>
      <c r="L1110" s="84" t="n">
        <f aca="false">IFERROR(INDEX(p_Price,MATCH($F1110,p_ID,0)),0)</f>
        <v>300</v>
      </c>
      <c r="M1110" s="85" t="n">
        <v>0</v>
      </c>
      <c r="N1110" s="81" t="s">
        <v>644</v>
      </c>
      <c r="O1110" s="84" t="n">
        <f aca="false">IF($N1110="مرتجع",0,K1110*L1110*(1-M1110))</f>
        <v>1200</v>
      </c>
      <c r="P1110" s="84" t="n">
        <f aca="false">IF($N1110="مرتجع",0,K1110*IFERROR(INDEX(p_Cost,MATCH($F1110,p_ID,0)),0))</f>
        <v>700</v>
      </c>
      <c r="Q1110" s="84" t="n">
        <f aca="false">O1110-P1110</f>
        <v>500</v>
      </c>
      <c r="R1110" s="86" t="n">
        <f aca="false">DATE(YEAR(B1110),MONTH(B1110),1)</f>
        <v>46174</v>
      </c>
      <c r="S1110" s="83" t="str">
        <f aca="false">YEAR(B1110)&amp;"-Q"&amp;ROUNDUP(MONTH(B1110)/3,0)</f>
        <v>2026-Q2</v>
      </c>
      <c r="T1110" s="87" t="n">
        <f aca="false">IF(O1110&gt;0,Q1110/O1110,"")</f>
        <v>0.416666666666667</v>
      </c>
      <c r="U1110" s="84" t="n">
        <f aca="false">IF(O1110&gt;0,O1110,"")</f>
        <v>1200</v>
      </c>
    </row>
    <row r="1111" customFormat="false" ht="15" hidden="false" customHeight="false" outlineLevel="0" collapsed="false">
      <c r="A1111" s="81" t="s">
        <v>1754</v>
      </c>
      <c r="B1111" s="82" t="n">
        <v>46191</v>
      </c>
      <c r="C1111" s="81" t="s">
        <v>296</v>
      </c>
      <c r="D1111" s="83" t="str">
        <f aca="false">IFERROR(INDEX(c_Name,MATCH($C1111,c_ID,0)),"غير معرّف")</f>
        <v>محمد الزهراني</v>
      </c>
      <c r="E1111" s="83" t="str">
        <f aca="false">IFERROR(INDEX(c_Region,MATCH($C1111,c_ID,0)),"غير معرّف")</f>
        <v>الغربية</v>
      </c>
      <c r="F1111" s="81" t="s">
        <v>173</v>
      </c>
      <c r="G1111" s="83" t="str">
        <f aca="false">IFERROR(INDEX(p_Name,MATCH($F1111,p_ID,0)),"غير معرّف")</f>
        <v>كرسي مريح</v>
      </c>
      <c r="H1111" s="83" t="str">
        <f aca="false">IFERROR(INDEX(p_Cat,MATCH($F1111,p_ID,0)),"غير معرّف")</f>
        <v>أثاث</v>
      </c>
      <c r="I1111" s="81" t="s">
        <v>452</v>
      </c>
      <c r="J1111" s="81" t="s">
        <v>93</v>
      </c>
      <c r="K1111" s="81" t="n">
        <v>2</v>
      </c>
      <c r="L1111" s="84" t="n">
        <f aca="false">IFERROR(INDEX(p_Price,MATCH($F1111,p_ID,0)),0)</f>
        <v>850</v>
      </c>
      <c r="M1111" s="85" t="n">
        <v>0.05</v>
      </c>
      <c r="N1111" s="81" t="s">
        <v>644</v>
      </c>
      <c r="O1111" s="84" t="n">
        <f aca="false">IF($N1111="مرتجع",0,K1111*L1111*(1-M1111))</f>
        <v>1615</v>
      </c>
      <c r="P1111" s="84" t="n">
        <f aca="false">IF($N1111="مرتجع",0,K1111*IFERROR(INDEX(p_Cost,MATCH($F1111,p_ID,0)),0))</f>
        <v>960</v>
      </c>
      <c r="Q1111" s="84" t="n">
        <f aca="false">O1111-P1111</f>
        <v>655</v>
      </c>
      <c r="R1111" s="86" t="n">
        <f aca="false">DATE(YEAR(B1111),MONTH(B1111),1)</f>
        <v>46174</v>
      </c>
      <c r="S1111" s="83" t="str">
        <f aca="false">YEAR(B1111)&amp;"-Q"&amp;ROUNDUP(MONTH(B1111)/3,0)</f>
        <v>2026-Q2</v>
      </c>
      <c r="T1111" s="87" t="n">
        <f aca="false">IF(O1111&gt;0,Q1111/O1111,"")</f>
        <v>0.405572755417957</v>
      </c>
      <c r="U1111" s="84" t="n">
        <f aca="false">IF(O1111&gt;0,O1111,"")</f>
        <v>1615</v>
      </c>
    </row>
    <row r="1112" customFormat="false" ht="15" hidden="false" customHeight="false" outlineLevel="0" collapsed="false">
      <c r="A1112" s="81" t="s">
        <v>1755</v>
      </c>
      <c r="B1112" s="82" t="n">
        <v>46192</v>
      </c>
      <c r="C1112" s="81" t="s">
        <v>238</v>
      </c>
      <c r="D1112" s="83" t="str">
        <f aca="false">IFERROR(INDEX(c_Name,MATCH($C1112,c_ID,0)),"غير معرّف")</f>
        <v>سارة البلوي</v>
      </c>
      <c r="E1112" s="83" t="str">
        <f aca="false">IFERROR(INDEX(c_Region,MATCH($C1112,c_ID,0)),"غير معرّف")</f>
        <v>الغربية</v>
      </c>
      <c r="F1112" s="81" t="s">
        <v>187</v>
      </c>
      <c r="G1112" s="83" t="str">
        <f aca="false">IFERROR(INDEX(p_Name,MATCH($F1112,p_ID,0)),"غير معرّف")</f>
        <v>جهاز تدليك</v>
      </c>
      <c r="H1112" s="83" t="str">
        <f aca="false">IFERROR(INDEX(p_Cat,MATCH($F1112,p_ID,0)),"غير معرّف")</f>
        <v>عناية شخصية</v>
      </c>
      <c r="I1112" s="81" t="s">
        <v>452</v>
      </c>
      <c r="J1112" s="81" t="s">
        <v>93</v>
      </c>
      <c r="K1112" s="81" t="n">
        <v>1</v>
      </c>
      <c r="L1112" s="84" t="n">
        <f aca="false">IFERROR(INDEX(p_Price,MATCH($F1112,p_ID,0)),0)</f>
        <v>600</v>
      </c>
      <c r="M1112" s="85" t="n">
        <v>0</v>
      </c>
      <c r="N1112" s="81" t="s">
        <v>650</v>
      </c>
      <c r="O1112" s="84" t="n">
        <f aca="false">IF($N1112="مرتجع",0,K1112*L1112*(1-M1112))</f>
        <v>0</v>
      </c>
      <c r="P1112" s="84" t="n">
        <f aca="false">IF($N1112="مرتجع",0,K1112*IFERROR(INDEX(p_Cost,MATCH($F1112,p_ID,0)),0))</f>
        <v>0</v>
      </c>
      <c r="Q1112" s="84" t="n">
        <f aca="false">O1112-P1112</f>
        <v>0</v>
      </c>
      <c r="R1112" s="86" t="n">
        <f aca="false">DATE(YEAR(B1112),MONTH(B1112),1)</f>
        <v>46174</v>
      </c>
      <c r="S1112" s="83" t="str">
        <f aca="false">YEAR(B1112)&amp;"-Q"&amp;ROUNDUP(MONTH(B1112)/3,0)</f>
        <v>2026-Q2</v>
      </c>
      <c r="T1112" s="87" t="str">
        <f aca="false">IF(O1112&gt;0,Q1112/O1112,"")</f>
        <v/>
      </c>
      <c r="U1112" s="84" t="str">
        <f aca="false">IF(O1112&gt;0,O1112,"")</f>
        <v/>
      </c>
    </row>
    <row r="1113" customFormat="false" ht="15" hidden="false" customHeight="false" outlineLevel="0" collapsed="false">
      <c r="A1113" s="81" t="s">
        <v>1756</v>
      </c>
      <c r="B1113" s="82" t="n">
        <v>46192</v>
      </c>
      <c r="C1113" s="81" t="s">
        <v>265</v>
      </c>
      <c r="D1113" s="83" t="str">
        <f aca="false">IFERROR(INDEX(c_Name,MATCH($C1113,c_ID,0)),"غير معرّف")</f>
        <v>منى العنزي</v>
      </c>
      <c r="E1113" s="83" t="str">
        <f aca="false">IFERROR(INDEX(c_Region,MATCH($C1113,c_ID,0)),"غير معرّف")</f>
        <v>الشرقية</v>
      </c>
      <c r="F1113" s="81" t="s">
        <v>164</v>
      </c>
      <c r="G1113" s="83" t="str">
        <f aca="false">IFERROR(INDEX(p_Name,MATCH($F1113,p_ID,0)),"غير معرّف")</f>
        <v>هاتف ذكي</v>
      </c>
      <c r="H1113" s="83" t="str">
        <f aca="false">IFERROR(INDEX(p_Cat,MATCH($F1113,p_ID,0)),"غير معرّف")</f>
        <v>إلكترونيات</v>
      </c>
      <c r="I1113" s="81" t="s">
        <v>463</v>
      </c>
      <c r="J1113" s="81" t="s">
        <v>91</v>
      </c>
      <c r="K1113" s="81" t="n">
        <v>2</v>
      </c>
      <c r="L1113" s="84" t="n">
        <f aca="false">IFERROR(INDEX(p_Price,MATCH($F1113,p_ID,0)),0)</f>
        <v>2400</v>
      </c>
      <c r="M1113" s="85" t="n">
        <v>0</v>
      </c>
      <c r="N1113" s="81" t="s">
        <v>644</v>
      </c>
      <c r="O1113" s="84" t="n">
        <f aca="false">IF($N1113="مرتجع",0,K1113*L1113*(1-M1113))</f>
        <v>4800</v>
      </c>
      <c r="P1113" s="84" t="n">
        <f aca="false">IF($N1113="مرتجع",0,K1113*IFERROR(INDEX(p_Cost,MATCH($F1113,p_ID,0)),0))</f>
        <v>3500</v>
      </c>
      <c r="Q1113" s="84" t="n">
        <f aca="false">O1113-P1113</f>
        <v>1300</v>
      </c>
      <c r="R1113" s="86" t="n">
        <f aca="false">DATE(YEAR(B1113),MONTH(B1113),1)</f>
        <v>46174</v>
      </c>
      <c r="S1113" s="83" t="str">
        <f aca="false">YEAR(B1113)&amp;"-Q"&amp;ROUNDUP(MONTH(B1113)/3,0)</f>
        <v>2026-Q2</v>
      </c>
      <c r="T1113" s="87" t="n">
        <f aca="false">IF(O1113&gt;0,Q1113/O1113,"")</f>
        <v>0.270833333333333</v>
      </c>
      <c r="U1113" s="84" t="n">
        <f aca="false">IF(O1113&gt;0,O1113,"")</f>
        <v>4800</v>
      </c>
    </row>
    <row r="1114" customFormat="false" ht="15" hidden="false" customHeight="false" outlineLevel="0" collapsed="false">
      <c r="A1114" s="81" t="s">
        <v>1757</v>
      </c>
      <c r="B1114" s="82" t="n">
        <v>46192</v>
      </c>
      <c r="C1114" s="81" t="s">
        <v>379</v>
      </c>
      <c r="D1114" s="83" t="str">
        <f aca="false">IFERROR(INDEX(c_Name,MATCH($C1114,c_ID,0)),"غير معرّف")</f>
        <v>ناصر العنزي</v>
      </c>
      <c r="E1114" s="83" t="str">
        <f aca="false">IFERROR(INDEX(c_Region,MATCH($C1114,c_ID,0)),"غير معرّف")</f>
        <v>الغربية</v>
      </c>
      <c r="F1114" s="81" t="s">
        <v>173</v>
      </c>
      <c r="G1114" s="83" t="str">
        <f aca="false">IFERROR(INDEX(p_Name,MATCH($F1114,p_ID,0)),"غير معرّف")</f>
        <v>كرسي مريح</v>
      </c>
      <c r="H1114" s="83" t="str">
        <f aca="false">IFERROR(INDEX(p_Cat,MATCH($F1114,p_ID,0)),"غير معرّف")</f>
        <v>أثاث</v>
      </c>
      <c r="I1114" s="81" t="s">
        <v>458</v>
      </c>
      <c r="J1114" s="81" t="s">
        <v>93</v>
      </c>
      <c r="K1114" s="81" t="n">
        <v>3</v>
      </c>
      <c r="L1114" s="84" t="n">
        <f aca="false">IFERROR(INDEX(p_Price,MATCH($F1114,p_ID,0)),0)</f>
        <v>850</v>
      </c>
      <c r="M1114" s="85" t="n">
        <v>0.1</v>
      </c>
      <c r="N1114" s="81" t="s">
        <v>644</v>
      </c>
      <c r="O1114" s="84" t="n">
        <f aca="false">IF($N1114="مرتجع",0,K1114*L1114*(1-M1114))</f>
        <v>2295</v>
      </c>
      <c r="P1114" s="84" t="n">
        <f aca="false">IF($N1114="مرتجع",0,K1114*IFERROR(INDEX(p_Cost,MATCH($F1114,p_ID,0)),0))</f>
        <v>1440</v>
      </c>
      <c r="Q1114" s="84" t="n">
        <f aca="false">O1114-P1114</f>
        <v>855</v>
      </c>
      <c r="R1114" s="86" t="n">
        <f aca="false">DATE(YEAR(B1114),MONTH(B1114),1)</f>
        <v>46174</v>
      </c>
      <c r="S1114" s="83" t="str">
        <f aca="false">YEAR(B1114)&amp;"-Q"&amp;ROUNDUP(MONTH(B1114)/3,0)</f>
        <v>2026-Q2</v>
      </c>
      <c r="T1114" s="87" t="n">
        <f aca="false">IF(O1114&gt;0,Q1114/O1114,"")</f>
        <v>0.372549019607843</v>
      </c>
      <c r="U1114" s="84" t="n">
        <f aca="false">IF(O1114&gt;0,O1114,"")</f>
        <v>2295</v>
      </c>
    </row>
    <row r="1115" customFormat="false" ht="15" hidden="false" customHeight="false" outlineLevel="0" collapsed="false">
      <c r="A1115" s="81" t="s">
        <v>1758</v>
      </c>
      <c r="B1115" s="82" t="n">
        <v>46192</v>
      </c>
      <c r="C1115" s="81" t="s">
        <v>423</v>
      </c>
      <c r="D1115" s="83" t="str">
        <f aca="false">IFERROR(INDEX(c_Name,MATCH($C1115,c_ID,0)),"غير معرّف")</f>
        <v>ناصر المطيري</v>
      </c>
      <c r="E1115" s="83" t="str">
        <f aca="false">IFERROR(INDEX(c_Region,MATCH($C1115,c_ID,0)),"غير معرّف")</f>
        <v>الغربية</v>
      </c>
      <c r="F1115" s="81" t="s">
        <v>167</v>
      </c>
      <c r="G1115" s="83" t="str">
        <f aca="false">IFERROR(INDEX(p_Name,MATCH($F1115,p_ID,0)),"غير معرّف")</f>
        <v>شاشة 27 بوصة</v>
      </c>
      <c r="H1115" s="83" t="str">
        <f aca="false">IFERROR(INDEX(p_Cat,MATCH($F1115,p_ID,0)),"غير معرّف")</f>
        <v>إلكترونيات</v>
      </c>
      <c r="I1115" s="81" t="s">
        <v>458</v>
      </c>
      <c r="J1115" s="81" t="s">
        <v>93</v>
      </c>
      <c r="K1115" s="81" t="n">
        <v>4</v>
      </c>
      <c r="L1115" s="84" t="n">
        <f aca="false">IFERROR(INDEX(p_Price,MATCH($F1115,p_ID,0)),0)</f>
        <v>1100</v>
      </c>
      <c r="M1115" s="85" t="n">
        <v>0</v>
      </c>
      <c r="N1115" s="81" t="s">
        <v>644</v>
      </c>
      <c r="O1115" s="84" t="n">
        <f aca="false">IF($N1115="مرتجع",0,K1115*L1115*(1-M1115))</f>
        <v>4400</v>
      </c>
      <c r="P1115" s="84" t="n">
        <f aca="false">IF($N1115="مرتجع",0,K1115*IFERROR(INDEX(p_Cost,MATCH($F1115,p_ID,0)),0))</f>
        <v>3120</v>
      </c>
      <c r="Q1115" s="84" t="n">
        <f aca="false">O1115-P1115</f>
        <v>1280</v>
      </c>
      <c r="R1115" s="86" t="n">
        <f aca="false">DATE(YEAR(B1115),MONTH(B1115),1)</f>
        <v>46174</v>
      </c>
      <c r="S1115" s="83" t="str">
        <f aca="false">YEAR(B1115)&amp;"-Q"&amp;ROUNDUP(MONTH(B1115)/3,0)</f>
        <v>2026-Q2</v>
      </c>
      <c r="T1115" s="87" t="n">
        <f aca="false">IF(O1115&gt;0,Q1115/O1115,"")</f>
        <v>0.290909090909091</v>
      </c>
      <c r="U1115" s="84" t="n">
        <f aca="false">IF(O1115&gt;0,O1115,"")</f>
        <v>4400</v>
      </c>
    </row>
    <row r="1116" customFormat="false" ht="15" hidden="false" customHeight="false" outlineLevel="0" collapsed="false">
      <c r="A1116" s="81" t="s">
        <v>1759</v>
      </c>
      <c r="B1116" s="82" t="n">
        <v>46192</v>
      </c>
      <c r="C1116" s="81" t="s">
        <v>404</v>
      </c>
      <c r="D1116" s="83" t="str">
        <f aca="false">IFERROR(INDEX(c_Name,MATCH($C1116,c_ID,0)),"غير معرّف")</f>
        <v>عبدالله الحسيني</v>
      </c>
      <c r="E1116" s="83" t="str">
        <f aca="false">IFERROR(INDEX(c_Region,MATCH($C1116,c_ID,0)),"غير معرّف")</f>
        <v>الشرقية</v>
      </c>
      <c r="F1116" s="81" t="s">
        <v>166</v>
      </c>
      <c r="G1116" s="83" t="str">
        <f aca="false">IFERROR(INDEX(p_Name,MATCH($F1116,p_ID,0)),"غير معرّف")</f>
        <v>سماعات لاسلكية</v>
      </c>
      <c r="H1116" s="83" t="str">
        <f aca="false">IFERROR(INDEX(p_Cat,MATCH($F1116,p_ID,0)),"غير معرّف")</f>
        <v>إلكترونيات</v>
      </c>
      <c r="I1116" s="81" t="s">
        <v>463</v>
      </c>
      <c r="J1116" s="81" t="s">
        <v>91</v>
      </c>
      <c r="K1116" s="81" t="n">
        <v>1</v>
      </c>
      <c r="L1116" s="84" t="n">
        <f aca="false">IFERROR(INDEX(p_Price,MATCH($F1116,p_ID,0)),0)</f>
        <v>450</v>
      </c>
      <c r="M1116" s="85" t="n">
        <v>0</v>
      </c>
      <c r="N1116" s="81" t="s">
        <v>644</v>
      </c>
      <c r="O1116" s="84" t="n">
        <f aca="false">IF($N1116="مرتجع",0,K1116*L1116*(1-M1116))</f>
        <v>450</v>
      </c>
      <c r="P1116" s="84" t="n">
        <f aca="false">IF($N1116="مرتجع",0,K1116*IFERROR(INDEX(p_Cost,MATCH($F1116,p_ID,0)),0))</f>
        <v>260</v>
      </c>
      <c r="Q1116" s="84" t="n">
        <f aca="false">O1116-P1116</f>
        <v>190</v>
      </c>
      <c r="R1116" s="86" t="n">
        <f aca="false">DATE(YEAR(B1116),MONTH(B1116),1)</f>
        <v>46174</v>
      </c>
      <c r="S1116" s="83" t="str">
        <f aca="false">YEAR(B1116)&amp;"-Q"&amp;ROUNDUP(MONTH(B1116)/3,0)</f>
        <v>2026-Q2</v>
      </c>
      <c r="T1116" s="87" t="n">
        <f aca="false">IF(O1116&gt;0,Q1116/O1116,"")</f>
        <v>0.422222222222222</v>
      </c>
      <c r="U1116" s="84" t="n">
        <f aca="false">IF(O1116&gt;0,O1116,"")</f>
        <v>450</v>
      </c>
    </row>
    <row r="1117" customFormat="false" ht="15" hidden="false" customHeight="false" outlineLevel="0" collapsed="false">
      <c r="A1117" s="81" t="s">
        <v>1760</v>
      </c>
      <c r="B1117" s="82" t="n">
        <v>46192</v>
      </c>
      <c r="C1117" s="81" t="s">
        <v>238</v>
      </c>
      <c r="D1117" s="83" t="str">
        <f aca="false">IFERROR(INDEX(c_Name,MATCH($C1117,c_ID,0)),"غير معرّف")</f>
        <v>سارة البلوي</v>
      </c>
      <c r="E1117" s="83" t="str">
        <f aca="false">IFERROR(INDEX(c_Region,MATCH($C1117,c_ID,0)),"غير معرّف")</f>
        <v>الغربية</v>
      </c>
      <c r="F1117" s="81" t="s">
        <v>186</v>
      </c>
      <c r="G1117" s="83" t="str">
        <f aca="false">IFERROR(INDEX(p_Name,MATCH($F1117,p_ID,0)),"غير معرّف")</f>
        <v>مجفف شعر</v>
      </c>
      <c r="H1117" s="83" t="str">
        <f aca="false">IFERROR(INDEX(p_Cat,MATCH($F1117,p_ID,0)),"غير معرّف")</f>
        <v>عناية شخصية</v>
      </c>
      <c r="I1117" s="81" t="s">
        <v>455</v>
      </c>
      <c r="J1117" s="81" t="s">
        <v>91</v>
      </c>
      <c r="K1117" s="81" t="n">
        <v>2</v>
      </c>
      <c r="L1117" s="84" t="n">
        <f aca="false">IFERROR(INDEX(p_Price,MATCH($F1117,p_ID,0)),0)</f>
        <v>280</v>
      </c>
      <c r="M1117" s="85" t="n">
        <v>0.05</v>
      </c>
      <c r="N1117" s="81" t="s">
        <v>644</v>
      </c>
      <c r="O1117" s="84" t="n">
        <f aca="false">IF($N1117="مرتجع",0,K1117*L1117*(1-M1117))</f>
        <v>532</v>
      </c>
      <c r="P1117" s="84" t="n">
        <f aca="false">IF($N1117="مرتجع",0,K1117*IFERROR(INDEX(p_Cost,MATCH($F1117,p_ID,0)),0))</f>
        <v>280</v>
      </c>
      <c r="Q1117" s="84" t="n">
        <f aca="false">O1117-P1117</f>
        <v>252</v>
      </c>
      <c r="R1117" s="86" t="n">
        <f aca="false">DATE(YEAR(B1117),MONTH(B1117),1)</f>
        <v>46174</v>
      </c>
      <c r="S1117" s="83" t="str">
        <f aca="false">YEAR(B1117)&amp;"-Q"&amp;ROUNDUP(MONTH(B1117)/3,0)</f>
        <v>2026-Q2</v>
      </c>
      <c r="T1117" s="87" t="n">
        <f aca="false">IF(O1117&gt;0,Q1117/O1117,"")</f>
        <v>0.473684210526316</v>
      </c>
      <c r="U1117" s="84" t="n">
        <f aca="false">IF(O1117&gt;0,O1117,"")</f>
        <v>532</v>
      </c>
    </row>
    <row r="1118" customFormat="false" ht="15" hidden="false" customHeight="false" outlineLevel="0" collapsed="false">
      <c r="A1118" s="81" t="s">
        <v>1761</v>
      </c>
      <c r="B1118" s="82" t="n">
        <v>46192</v>
      </c>
      <c r="C1118" s="81" t="s">
        <v>404</v>
      </c>
      <c r="D1118" s="83" t="str">
        <f aca="false">IFERROR(INDEX(c_Name,MATCH($C1118,c_ID,0)),"غير معرّف")</f>
        <v>عبدالله الحسيني</v>
      </c>
      <c r="E1118" s="83" t="str">
        <f aca="false">IFERROR(INDEX(c_Region,MATCH($C1118,c_ID,0)),"غير معرّف")</f>
        <v>الشرقية</v>
      </c>
      <c r="F1118" s="81" t="s">
        <v>186</v>
      </c>
      <c r="G1118" s="83" t="str">
        <f aca="false">IFERROR(INDEX(p_Name,MATCH($F1118,p_ID,0)),"غير معرّف")</f>
        <v>مجفف شعر</v>
      </c>
      <c r="H1118" s="83" t="str">
        <f aca="false">IFERROR(INDEX(p_Cat,MATCH($F1118,p_ID,0)),"غير معرّف")</f>
        <v>عناية شخصية</v>
      </c>
      <c r="I1118" s="81" t="s">
        <v>463</v>
      </c>
      <c r="J1118" s="81" t="s">
        <v>91</v>
      </c>
      <c r="K1118" s="81" t="n">
        <v>2</v>
      </c>
      <c r="L1118" s="84" t="n">
        <f aca="false">IFERROR(INDEX(p_Price,MATCH($F1118,p_ID,0)),0)</f>
        <v>280</v>
      </c>
      <c r="M1118" s="85" t="n">
        <v>0.05</v>
      </c>
      <c r="N1118" s="81" t="s">
        <v>644</v>
      </c>
      <c r="O1118" s="84" t="n">
        <f aca="false">IF($N1118="مرتجع",0,K1118*L1118*(1-M1118))</f>
        <v>532</v>
      </c>
      <c r="P1118" s="84" t="n">
        <f aca="false">IF($N1118="مرتجع",0,K1118*IFERROR(INDEX(p_Cost,MATCH($F1118,p_ID,0)),0))</f>
        <v>280</v>
      </c>
      <c r="Q1118" s="84" t="n">
        <f aca="false">O1118-P1118</f>
        <v>252</v>
      </c>
      <c r="R1118" s="86" t="n">
        <f aca="false">DATE(YEAR(B1118),MONTH(B1118),1)</f>
        <v>46174</v>
      </c>
      <c r="S1118" s="83" t="str">
        <f aca="false">YEAR(B1118)&amp;"-Q"&amp;ROUNDUP(MONTH(B1118)/3,0)</f>
        <v>2026-Q2</v>
      </c>
      <c r="T1118" s="87" t="n">
        <f aca="false">IF(O1118&gt;0,Q1118/O1118,"")</f>
        <v>0.473684210526316</v>
      </c>
      <c r="U1118" s="84" t="n">
        <f aca="false">IF(O1118&gt;0,O1118,"")</f>
        <v>532</v>
      </c>
    </row>
    <row r="1119" customFormat="false" ht="15" hidden="false" customHeight="false" outlineLevel="0" collapsed="false">
      <c r="A1119" s="81" t="s">
        <v>1762</v>
      </c>
      <c r="B1119" s="82" t="n">
        <v>46192</v>
      </c>
      <c r="C1119" s="81" t="s">
        <v>299</v>
      </c>
      <c r="D1119" s="83" t="str">
        <f aca="false">IFERROR(INDEX(c_Name,MATCH($C1119,c_ID,0)),"غير معرّف")</f>
        <v>جود الخالدي</v>
      </c>
      <c r="E1119" s="83" t="str">
        <f aca="false">IFERROR(INDEX(c_Region,MATCH($C1119,c_ID,0)),"غير معرّف")</f>
        <v>الوسطى</v>
      </c>
      <c r="F1119" s="81" t="s">
        <v>167</v>
      </c>
      <c r="G1119" s="83" t="str">
        <f aca="false">IFERROR(INDEX(p_Name,MATCH($F1119,p_ID,0)),"غير معرّف")</f>
        <v>شاشة 27 بوصة</v>
      </c>
      <c r="H1119" s="83" t="str">
        <f aca="false">IFERROR(INDEX(p_Cat,MATCH($F1119,p_ID,0)),"غير معرّف")</f>
        <v>إلكترونيات</v>
      </c>
      <c r="I1119" s="81" t="s">
        <v>449</v>
      </c>
      <c r="J1119" s="81" t="s">
        <v>91</v>
      </c>
      <c r="K1119" s="81" t="n">
        <v>1</v>
      </c>
      <c r="L1119" s="84" t="n">
        <f aca="false">IFERROR(INDEX(p_Price,MATCH($F1119,p_ID,0)),0)</f>
        <v>1100</v>
      </c>
      <c r="M1119" s="85" t="n">
        <v>0.2</v>
      </c>
      <c r="N1119" s="81" t="s">
        <v>644</v>
      </c>
      <c r="O1119" s="84" t="n">
        <f aca="false">IF($N1119="مرتجع",0,K1119*L1119*(1-M1119))</f>
        <v>880</v>
      </c>
      <c r="P1119" s="84" t="n">
        <f aca="false">IF($N1119="مرتجع",0,K1119*IFERROR(INDEX(p_Cost,MATCH($F1119,p_ID,0)),0))</f>
        <v>780</v>
      </c>
      <c r="Q1119" s="84" t="n">
        <f aca="false">O1119-P1119</f>
        <v>100</v>
      </c>
      <c r="R1119" s="86" t="n">
        <f aca="false">DATE(YEAR(B1119),MONTH(B1119),1)</f>
        <v>46174</v>
      </c>
      <c r="S1119" s="83" t="str">
        <f aca="false">YEAR(B1119)&amp;"-Q"&amp;ROUNDUP(MONTH(B1119)/3,0)</f>
        <v>2026-Q2</v>
      </c>
      <c r="T1119" s="87" t="n">
        <f aca="false">IF(O1119&gt;0,Q1119/O1119,"")</f>
        <v>0.113636363636364</v>
      </c>
      <c r="U1119" s="84" t="n">
        <f aca="false">IF(O1119&gt;0,O1119,"")</f>
        <v>880</v>
      </c>
    </row>
    <row r="1120" customFormat="false" ht="15" hidden="false" customHeight="false" outlineLevel="0" collapsed="false">
      <c r="A1120" s="81" t="s">
        <v>1763</v>
      </c>
      <c r="B1120" s="82" t="n">
        <v>46193</v>
      </c>
      <c r="C1120" s="81" t="s">
        <v>394</v>
      </c>
      <c r="D1120" s="83" t="str">
        <f aca="false">IFERROR(INDEX(c_Name,MATCH($C1120,c_ID,0)),"غير معرّف")</f>
        <v>طارق الغامدي</v>
      </c>
      <c r="E1120" s="83" t="str">
        <f aca="false">IFERROR(INDEX(c_Region,MATCH($C1120,c_ID,0)),"غير معرّف")</f>
        <v>الشرقية</v>
      </c>
      <c r="F1120" s="81" t="s">
        <v>174</v>
      </c>
      <c r="G1120" s="83" t="str">
        <f aca="false">IFERROR(INDEX(p_Name,MATCH($F1120,p_ID,0)),"غير معرّف")</f>
        <v>خزانة ملفات</v>
      </c>
      <c r="H1120" s="83" t="str">
        <f aca="false">IFERROR(INDEX(p_Cat,MATCH($F1120,p_ID,0)),"غير معرّف")</f>
        <v>أثاث</v>
      </c>
      <c r="I1120" s="81" t="s">
        <v>461</v>
      </c>
      <c r="J1120" s="81" t="s">
        <v>91</v>
      </c>
      <c r="K1120" s="81" t="n">
        <v>2</v>
      </c>
      <c r="L1120" s="84" t="n">
        <f aca="false">IFERROR(INDEX(p_Price,MATCH($F1120,p_ID,0)),0)</f>
        <v>700</v>
      </c>
      <c r="M1120" s="85" t="n">
        <v>0.05</v>
      </c>
      <c r="N1120" s="81" t="s">
        <v>644</v>
      </c>
      <c r="O1120" s="84" t="n">
        <f aca="false">IF($N1120="مرتجع",0,K1120*L1120*(1-M1120))</f>
        <v>1330</v>
      </c>
      <c r="P1120" s="84" t="n">
        <f aca="false">IF($N1120="مرتجع",0,K1120*IFERROR(INDEX(p_Cost,MATCH($F1120,p_ID,0)),0))</f>
        <v>820</v>
      </c>
      <c r="Q1120" s="84" t="n">
        <f aca="false">O1120-P1120</f>
        <v>510</v>
      </c>
      <c r="R1120" s="86" t="n">
        <f aca="false">DATE(YEAR(B1120),MONTH(B1120),1)</f>
        <v>46174</v>
      </c>
      <c r="S1120" s="83" t="str">
        <f aca="false">YEAR(B1120)&amp;"-Q"&amp;ROUNDUP(MONTH(B1120)/3,0)</f>
        <v>2026-Q2</v>
      </c>
      <c r="T1120" s="87" t="n">
        <f aca="false">IF(O1120&gt;0,Q1120/O1120,"")</f>
        <v>0.383458646616541</v>
      </c>
      <c r="U1120" s="84" t="n">
        <f aca="false">IF(O1120&gt;0,O1120,"")</f>
        <v>1330</v>
      </c>
    </row>
    <row r="1121" customFormat="false" ht="15" hidden="false" customHeight="false" outlineLevel="0" collapsed="false">
      <c r="A1121" s="81" t="s">
        <v>1764</v>
      </c>
      <c r="B1121" s="82" t="n">
        <v>46193</v>
      </c>
      <c r="C1121" s="81" t="s">
        <v>414</v>
      </c>
      <c r="D1121" s="83" t="str">
        <f aca="false">IFERROR(INDEX(c_Name,MATCH($C1121,c_ID,0)),"غير معرّف")</f>
        <v>هند المطيري</v>
      </c>
      <c r="E1121" s="83" t="str">
        <f aca="false">IFERROR(INDEX(c_Region,MATCH($C1121,c_ID,0)),"غير معرّف")</f>
        <v>الشرقية</v>
      </c>
      <c r="F1121" s="81" t="s">
        <v>179</v>
      </c>
      <c r="G1121" s="83" t="str">
        <f aca="false">IFERROR(INDEX(p_Name,MATCH($F1121,p_ID,0)),"غير معرّف")</f>
        <v>طقم أدوات مكتبية</v>
      </c>
      <c r="H1121" s="83" t="str">
        <f aca="false">IFERROR(INDEX(p_Cat,MATCH($F1121,p_ID,0)),"غير معرّف")</f>
        <v>مستلزمات مكتبية</v>
      </c>
      <c r="I1121" s="81" t="s">
        <v>463</v>
      </c>
      <c r="J1121" s="81" t="s">
        <v>91</v>
      </c>
      <c r="K1121" s="81" t="n">
        <v>1</v>
      </c>
      <c r="L1121" s="84" t="n">
        <f aca="false">IFERROR(INDEX(p_Price,MATCH($F1121,p_ID,0)),0)</f>
        <v>90</v>
      </c>
      <c r="M1121" s="85" t="n">
        <v>0.1</v>
      </c>
      <c r="N1121" s="81" t="s">
        <v>644</v>
      </c>
      <c r="O1121" s="84" t="n">
        <f aca="false">IF($N1121="مرتجع",0,K1121*L1121*(1-M1121))</f>
        <v>81</v>
      </c>
      <c r="P1121" s="84" t="n">
        <f aca="false">IF($N1121="مرتجع",0,K1121*IFERROR(INDEX(p_Cost,MATCH($F1121,p_ID,0)),0))</f>
        <v>45</v>
      </c>
      <c r="Q1121" s="84" t="n">
        <f aca="false">O1121-P1121</f>
        <v>36</v>
      </c>
      <c r="R1121" s="86" t="n">
        <f aca="false">DATE(YEAR(B1121),MONTH(B1121),1)</f>
        <v>46174</v>
      </c>
      <c r="S1121" s="83" t="str">
        <f aca="false">YEAR(B1121)&amp;"-Q"&amp;ROUNDUP(MONTH(B1121)/3,0)</f>
        <v>2026-Q2</v>
      </c>
      <c r="T1121" s="87" t="n">
        <f aca="false">IF(O1121&gt;0,Q1121/O1121,"")</f>
        <v>0.444444444444444</v>
      </c>
      <c r="U1121" s="84" t="n">
        <f aca="false">IF(O1121&gt;0,O1121,"")</f>
        <v>81</v>
      </c>
    </row>
    <row r="1122" customFormat="false" ht="15" hidden="false" customHeight="false" outlineLevel="0" collapsed="false">
      <c r="A1122" s="81" t="s">
        <v>1765</v>
      </c>
      <c r="B1122" s="82" t="n">
        <v>46193</v>
      </c>
      <c r="C1122" s="81" t="s">
        <v>287</v>
      </c>
      <c r="D1122" s="83" t="str">
        <f aca="false">IFERROR(INDEX(c_Name,MATCH($C1122,c_ID,0)),"غير معرّف")</f>
        <v>محمد الشهري</v>
      </c>
      <c r="E1122" s="83" t="str">
        <f aca="false">IFERROR(INDEX(c_Region,MATCH($C1122,c_ID,0)),"غير معرّف")</f>
        <v>الغربية</v>
      </c>
      <c r="F1122" s="81" t="s">
        <v>176</v>
      </c>
      <c r="G1122" s="83" t="str">
        <f aca="false">IFERROR(INDEX(p_Name,MATCH($F1122,p_ID,0)),"غير معرّف")</f>
        <v>طابعة ليزر</v>
      </c>
      <c r="H1122" s="83" t="str">
        <f aca="false">IFERROR(INDEX(p_Cat,MATCH($F1122,p_ID,0)),"غير معرّف")</f>
        <v>مستلزمات مكتبية</v>
      </c>
      <c r="I1122" s="81" t="s">
        <v>452</v>
      </c>
      <c r="J1122" s="81" t="s">
        <v>93</v>
      </c>
      <c r="K1122" s="81" t="n">
        <v>3</v>
      </c>
      <c r="L1122" s="84" t="n">
        <f aca="false">IFERROR(INDEX(p_Price,MATCH($F1122,p_ID,0)),0)</f>
        <v>1300</v>
      </c>
      <c r="M1122" s="85" t="n">
        <v>0</v>
      </c>
      <c r="N1122" s="81" t="s">
        <v>644</v>
      </c>
      <c r="O1122" s="84" t="n">
        <f aca="false">IF($N1122="مرتجع",0,K1122*L1122*(1-M1122))</f>
        <v>3900</v>
      </c>
      <c r="P1122" s="84" t="n">
        <f aca="false">IF($N1122="مرتجع",0,K1122*IFERROR(INDEX(p_Cost,MATCH($F1122,p_ID,0)),0))</f>
        <v>2850</v>
      </c>
      <c r="Q1122" s="84" t="n">
        <f aca="false">O1122-P1122</f>
        <v>1050</v>
      </c>
      <c r="R1122" s="86" t="n">
        <f aca="false">DATE(YEAR(B1122),MONTH(B1122),1)</f>
        <v>46174</v>
      </c>
      <c r="S1122" s="83" t="str">
        <f aca="false">YEAR(B1122)&amp;"-Q"&amp;ROUNDUP(MONTH(B1122)/3,0)</f>
        <v>2026-Q2</v>
      </c>
      <c r="T1122" s="87" t="n">
        <f aca="false">IF(O1122&gt;0,Q1122/O1122,"")</f>
        <v>0.269230769230769</v>
      </c>
      <c r="U1122" s="84" t="n">
        <f aca="false">IF(O1122&gt;0,O1122,"")</f>
        <v>3900</v>
      </c>
    </row>
    <row r="1123" customFormat="false" ht="15" hidden="false" customHeight="false" outlineLevel="0" collapsed="false">
      <c r="A1123" s="81" t="s">
        <v>1766</v>
      </c>
      <c r="B1123" s="82" t="n">
        <v>46193</v>
      </c>
      <c r="C1123" s="81" t="s">
        <v>328</v>
      </c>
      <c r="D1123" s="83" t="str">
        <f aca="false">IFERROR(INDEX(c_Name,MATCH($C1123,c_ID,0)),"غير معرّف")</f>
        <v>عبدالله الشهري</v>
      </c>
      <c r="E1123" s="83" t="str">
        <f aca="false">IFERROR(INDEX(c_Region,MATCH($C1123,c_ID,0)),"غير معرّف")</f>
        <v>الشرقية</v>
      </c>
      <c r="F1123" s="81" t="s">
        <v>176</v>
      </c>
      <c r="G1123" s="83" t="str">
        <f aca="false">IFERROR(INDEX(p_Name,MATCH($F1123,p_ID,0)),"غير معرّف")</f>
        <v>طابعة ليزر</v>
      </c>
      <c r="H1123" s="83" t="str">
        <f aca="false">IFERROR(INDEX(p_Cat,MATCH($F1123,p_ID,0)),"غير معرّف")</f>
        <v>مستلزمات مكتبية</v>
      </c>
      <c r="I1123" s="81" t="s">
        <v>463</v>
      </c>
      <c r="J1123" s="81" t="s">
        <v>91</v>
      </c>
      <c r="K1123" s="81" t="n">
        <v>2</v>
      </c>
      <c r="L1123" s="84" t="n">
        <f aca="false">IFERROR(INDEX(p_Price,MATCH($F1123,p_ID,0)),0)</f>
        <v>1300</v>
      </c>
      <c r="M1123" s="85" t="n">
        <v>0.2</v>
      </c>
      <c r="N1123" s="81" t="s">
        <v>644</v>
      </c>
      <c r="O1123" s="84" t="n">
        <f aca="false">IF($N1123="مرتجع",0,K1123*L1123*(1-M1123))</f>
        <v>2080</v>
      </c>
      <c r="P1123" s="84" t="n">
        <f aca="false">IF($N1123="مرتجع",0,K1123*IFERROR(INDEX(p_Cost,MATCH($F1123,p_ID,0)),0))</f>
        <v>1900</v>
      </c>
      <c r="Q1123" s="84" t="n">
        <f aca="false">O1123-P1123</f>
        <v>180</v>
      </c>
      <c r="R1123" s="86" t="n">
        <f aca="false">DATE(YEAR(B1123),MONTH(B1123),1)</f>
        <v>46174</v>
      </c>
      <c r="S1123" s="83" t="str">
        <f aca="false">YEAR(B1123)&amp;"-Q"&amp;ROUNDUP(MONTH(B1123)/3,0)</f>
        <v>2026-Q2</v>
      </c>
      <c r="T1123" s="87" t="n">
        <f aca="false">IF(O1123&gt;0,Q1123/O1123,"")</f>
        <v>0.0865384615384615</v>
      </c>
      <c r="U1123" s="84" t="n">
        <f aca="false">IF(O1123&gt;0,O1123,"")</f>
        <v>2080</v>
      </c>
    </row>
    <row r="1124" customFormat="false" ht="15" hidden="false" customHeight="false" outlineLevel="0" collapsed="false">
      <c r="A1124" s="81" t="s">
        <v>1767</v>
      </c>
      <c r="B1124" s="82" t="n">
        <v>46193</v>
      </c>
      <c r="C1124" s="81" t="s">
        <v>357</v>
      </c>
      <c r="D1124" s="83" t="str">
        <f aca="false">IFERROR(INDEX(c_Name,MATCH($C1124,c_ID,0)),"غير معرّف")</f>
        <v>منى الحربي</v>
      </c>
      <c r="E1124" s="83" t="str">
        <f aca="false">IFERROR(INDEX(c_Region,MATCH($C1124,c_ID,0)),"غير معرّف")</f>
        <v>الوسطى</v>
      </c>
      <c r="F1124" s="81" t="s">
        <v>164</v>
      </c>
      <c r="G1124" s="83" t="str">
        <f aca="false">IFERROR(INDEX(p_Name,MATCH($F1124,p_ID,0)),"غير معرّف")</f>
        <v>هاتف ذكي</v>
      </c>
      <c r="H1124" s="83" t="str">
        <f aca="false">IFERROR(INDEX(p_Cat,MATCH($F1124,p_ID,0)),"غير معرّف")</f>
        <v>إلكترونيات</v>
      </c>
      <c r="I1124" s="81" t="s">
        <v>443</v>
      </c>
      <c r="J1124" s="81" t="s">
        <v>91</v>
      </c>
      <c r="K1124" s="81" t="n">
        <v>1</v>
      </c>
      <c r="L1124" s="84" t="n">
        <f aca="false">IFERROR(INDEX(p_Price,MATCH($F1124,p_ID,0)),0)</f>
        <v>2400</v>
      </c>
      <c r="M1124" s="85" t="n">
        <v>0.05</v>
      </c>
      <c r="N1124" s="81" t="s">
        <v>644</v>
      </c>
      <c r="O1124" s="84" t="n">
        <f aca="false">IF($N1124="مرتجع",0,K1124*L1124*(1-M1124))</f>
        <v>2280</v>
      </c>
      <c r="P1124" s="84" t="n">
        <f aca="false">IF($N1124="مرتجع",0,K1124*IFERROR(INDEX(p_Cost,MATCH($F1124,p_ID,0)),0))</f>
        <v>1750</v>
      </c>
      <c r="Q1124" s="84" t="n">
        <f aca="false">O1124-P1124</f>
        <v>530</v>
      </c>
      <c r="R1124" s="86" t="n">
        <f aca="false">DATE(YEAR(B1124),MONTH(B1124),1)</f>
        <v>46174</v>
      </c>
      <c r="S1124" s="83" t="str">
        <f aca="false">YEAR(B1124)&amp;"-Q"&amp;ROUNDUP(MONTH(B1124)/3,0)</f>
        <v>2026-Q2</v>
      </c>
      <c r="T1124" s="87" t="n">
        <f aca="false">IF(O1124&gt;0,Q1124/O1124,"")</f>
        <v>0.232456140350877</v>
      </c>
      <c r="U1124" s="84" t="n">
        <f aca="false">IF(O1124&gt;0,O1124,"")</f>
        <v>2280</v>
      </c>
    </row>
    <row r="1125" customFormat="false" ht="15" hidden="false" customHeight="false" outlineLevel="0" collapsed="false">
      <c r="A1125" s="81" t="s">
        <v>1768</v>
      </c>
      <c r="B1125" s="82" t="n">
        <v>46194</v>
      </c>
      <c r="C1125" s="81" t="s">
        <v>322</v>
      </c>
      <c r="D1125" s="83" t="str">
        <f aca="false">IFERROR(INDEX(c_Name,MATCH($C1125,c_ID,0)),"غير معرّف")</f>
        <v>نورة البلوي</v>
      </c>
      <c r="E1125" s="83" t="str">
        <f aca="false">IFERROR(INDEX(c_Region,MATCH($C1125,c_ID,0)),"غير معرّف")</f>
        <v>الغربية</v>
      </c>
      <c r="F1125" s="81" t="s">
        <v>186</v>
      </c>
      <c r="G1125" s="83" t="str">
        <f aca="false">IFERROR(INDEX(p_Name,MATCH($F1125,p_ID,0)),"غير معرّف")</f>
        <v>مجفف شعر</v>
      </c>
      <c r="H1125" s="83" t="str">
        <f aca="false">IFERROR(INDEX(p_Cat,MATCH($F1125,p_ID,0)),"غير معرّف")</f>
        <v>عناية شخصية</v>
      </c>
      <c r="I1125" s="81" t="s">
        <v>455</v>
      </c>
      <c r="J1125" s="81" t="s">
        <v>93</v>
      </c>
      <c r="K1125" s="81" t="n">
        <v>2</v>
      </c>
      <c r="L1125" s="84" t="n">
        <f aca="false">IFERROR(INDEX(p_Price,MATCH($F1125,p_ID,0)),0)</f>
        <v>280</v>
      </c>
      <c r="M1125" s="85" t="n">
        <v>0.05</v>
      </c>
      <c r="N1125" s="81" t="s">
        <v>644</v>
      </c>
      <c r="O1125" s="84" t="n">
        <f aca="false">IF($N1125="مرتجع",0,K1125*L1125*(1-M1125))</f>
        <v>532</v>
      </c>
      <c r="P1125" s="84" t="n">
        <f aca="false">IF($N1125="مرتجع",0,K1125*IFERROR(INDEX(p_Cost,MATCH($F1125,p_ID,0)),0))</f>
        <v>280</v>
      </c>
      <c r="Q1125" s="84" t="n">
        <f aca="false">O1125-P1125</f>
        <v>252</v>
      </c>
      <c r="R1125" s="86" t="n">
        <f aca="false">DATE(YEAR(B1125),MONTH(B1125),1)</f>
        <v>46174</v>
      </c>
      <c r="S1125" s="83" t="str">
        <f aca="false">YEAR(B1125)&amp;"-Q"&amp;ROUNDUP(MONTH(B1125)/3,0)</f>
        <v>2026-Q2</v>
      </c>
      <c r="T1125" s="87" t="n">
        <f aca="false">IF(O1125&gt;0,Q1125/O1125,"")</f>
        <v>0.473684210526316</v>
      </c>
      <c r="U1125" s="84" t="n">
        <f aca="false">IF(O1125&gt;0,O1125,"")</f>
        <v>532</v>
      </c>
    </row>
    <row r="1126" customFormat="false" ht="15" hidden="false" customHeight="false" outlineLevel="0" collapsed="false">
      <c r="A1126" s="81" t="s">
        <v>1769</v>
      </c>
      <c r="B1126" s="82" t="n">
        <v>46194</v>
      </c>
      <c r="C1126" s="81" t="s">
        <v>261</v>
      </c>
      <c r="D1126" s="83" t="str">
        <f aca="false">IFERROR(INDEX(c_Name,MATCH($C1126,c_ID,0)),"غير معرّف")</f>
        <v>ياسر الدوسري</v>
      </c>
      <c r="E1126" s="83" t="str">
        <f aca="false">IFERROR(INDEX(c_Region,MATCH($C1126,c_ID,0)),"غير معرّف")</f>
        <v>الجنوبية</v>
      </c>
      <c r="F1126" s="81" t="s">
        <v>176</v>
      </c>
      <c r="G1126" s="83" t="str">
        <f aca="false">IFERROR(INDEX(p_Name,MATCH($F1126,p_ID,0)),"غير معرّف")</f>
        <v>طابعة ليزر</v>
      </c>
      <c r="H1126" s="83" t="str">
        <f aca="false">IFERROR(INDEX(p_Cat,MATCH($F1126,p_ID,0)),"غير معرّف")</f>
        <v>مستلزمات مكتبية</v>
      </c>
      <c r="I1126" s="81" t="s">
        <v>465</v>
      </c>
      <c r="J1126" s="81" t="s">
        <v>93</v>
      </c>
      <c r="K1126" s="81" t="n">
        <v>1</v>
      </c>
      <c r="L1126" s="84" t="n">
        <f aca="false">IFERROR(INDEX(p_Price,MATCH($F1126,p_ID,0)),0)</f>
        <v>1300</v>
      </c>
      <c r="M1126" s="85" t="n">
        <v>0</v>
      </c>
      <c r="N1126" s="81" t="s">
        <v>644</v>
      </c>
      <c r="O1126" s="84" t="n">
        <f aca="false">IF($N1126="مرتجع",0,K1126*L1126*(1-M1126))</f>
        <v>1300</v>
      </c>
      <c r="P1126" s="84" t="n">
        <f aca="false">IF($N1126="مرتجع",0,K1126*IFERROR(INDEX(p_Cost,MATCH($F1126,p_ID,0)),0))</f>
        <v>950</v>
      </c>
      <c r="Q1126" s="84" t="n">
        <f aca="false">O1126-P1126</f>
        <v>350</v>
      </c>
      <c r="R1126" s="86" t="n">
        <f aca="false">DATE(YEAR(B1126),MONTH(B1126),1)</f>
        <v>46174</v>
      </c>
      <c r="S1126" s="83" t="str">
        <f aca="false">YEAR(B1126)&amp;"-Q"&amp;ROUNDUP(MONTH(B1126)/3,0)</f>
        <v>2026-Q2</v>
      </c>
      <c r="T1126" s="87" t="n">
        <f aca="false">IF(O1126&gt;0,Q1126/O1126,"")</f>
        <v>0.269230769230769</v>
      </c>
      <c r="U1126" s="84" t="n">
        <f aca="false">IF(O1126&gt;0,O1126,"")</f>
        <v>1300</v>
      </c>
    </row>
    <row r="1127" customFormat="false" ht="15" hidden="false" customHeight="false" outlineLevel="0" collapsed="false">
      <c r="A1127" s="81" t="s">
        <v>1770</v>
      </c>
      <c r="B1127" s="82" t="n">
        <v>46195</v>
      </c>
      <c r="C1127" s="81" t="s">
        <v>244</v>
      </c>
      <c r="D1127" s="83" t="str">
        <f aca="false">IFERROR(INDEX(c_Name,MATCH($C1127,c_ID,0)),"غير معرّف")</f>
        <v>طارق الشهري</v>
      </c>
      <c r="E1127" s="83" t="str">
        <f aca="false">IFERROR(INDEX(c_Region,MATCH($C1127,c_ID,0)),"غير معرّف")</f>
        <v>الوسطى</v>
      </c>
      <c r="F1127" s="81" t="s">
        <v>178</v>
      </c>
      <c r="G1127" s="83" t="str">
        <f aca="false">IFERROR(INDEX(p_Name,MATCH($F1127,p_ID,0)),"غير معرّف")</f>
        <v>حقيبة لابتوب</v>
      </c>
      <c r="H1127" s="83" t="str">
        <f aca="false">IFERROR(INDEX(p_Cat,MATCH($F1127,p_ID,0)),"غير معرّف")</f>
        <v>مستلزمات مكتبية</v>
      </c>
      <c r="I1127" s="81" t="s">
        <v>446</v>
      </c>
      <c r="J1127" s="81" t="s">
        <v>93</v>
      </c>
      <c r="K1127" s="81" t="n">
        <v>6</v>
      </c>
      <c r="L1127" s="84" t="n">
        <f aca="false">IFERROR(INDEX(p_Price,MATCH($F1127,p_ID,0)),0)</f>
        <v>260</v>
      </c>
      <c r="M1127" s="85" t="n">
        <v>0.05</v>
      </c>
      <c r="N1127" s="81" t="s">
        <v>644</v>
      </c>
      <c r="O1127" s="84" t="n">
        <f aca="false">IF($N1127="مرتجع",0,K1127*L1127*(1-M1127))</f>
        <v>1482</v>
      </c>
      <c r="P1127" s="84" t="n">
        <f aca="false">IF($N1127="مرتجع",0,K1127*IFERROR(INDEX(p_Cost,MATCH($F1127,p_ID,0)),0))</f>
        <v>720</v>
      </c>
      <c r="Q1127" s="84" t="n">
        <f aca="false">O1127-P1127</f>
        <v>762</v>
      </c>
      <c r="R1127" s="86" t="n">
        <f aca="false">DATE(YEAR(B1127),MONTH(B1127),1)</f>
        <v>46174</v>
      </c>
      <c r="S1127" s="83" t="str">
        <f aca="false">YEAR(B1127)&amp;"-Q"&amp;ROUNDUP(MONTH(B1127)/3,0)</f>
        <v>2026-Q2</v>
      </c>
      <c r="T1127" s="87" t="n">
        <f aca="false">IF(O1127&gt;0,Q1127/O1127,"")</f>
        <v>0.51417004048583</v>
      </c>
      <c r="U1127" s="84" t="n">
        <f aca="false">IF(O1127&gt;0,O1127,"")</f>
        <v>1482</v>
      </c>
    </row>
    <row r="1128" customFormat="false" ht="15" hidden="false" customHeight="false" outlineLevel="0" collapsed="false">
      <c r="A1128" s="81" t="s">
        <v>1771</v>
      </c>
      <c r="B1128" s="82" t="n">
        <v>46195</v>
      </c>
      <c r="C1128" s="81" t="s">
        <v>428</v>
      </c>
      <c r="D1128" s="83" t="str">
        <f aca="false">IFERROR(INDEX(c_Name,MATCH($C1128,c_ID,0)),"غير معرّف")</f>
        <v>عبدالله القحطاني</v>
      </c>
      <c r="E1128" s="83" t="str">
        <f aca="false">IFERROR(INDEX(c_Region,MATCH($C1128,c_ID,0)),"غير معرّف")</f>
        <v>الوسطى</v>
      </c>
      <c r="F1128" s="81" t="s">
        <v>179</v>
      </c>
      <c r="G1128" s="83" t="str">
        <f aca="false">IFERROR(INDEX(p_Name,MATCH($F1128,p_ID,0)),"غير معرّف")</f>
        <v>طقم أدوات مكتبية</v>
      </c>
      <c r="H1128" s="83" t="str">
        <f aca="false">IFERROR(INDEX(p_Cat,MATCH($F1128,p_ID,0)),"غير معرّف")</f>
        <v>مستلزمات مكتبية</v>
      </c>
      <c r="I1128" s="81" t="s">
        <v>449</v>
      </c>
      <c r="J1128" s="81" t="s">
        <v>93</v>
      </c>
      <c r="K1128" s="81" t="n">
        <v>1</v>
      </c>
      <c r="L1128" s="84" t="n">
        <f aca="false">IFERROR(INDEX(p_Price,MATCH($F1128,p_ID,0)),0)</f>
        <v>90</v>
      </c>
      <c r="M1128" s="85" t="n">
        <v>0</v>
      </c>
      <c r="N1128" s="81" t="s">
        <v>644</v>
      </c>
      <c r="O1128" s="84" t="n">
        <f aca="false">IF($N1128="مرتجع",0,K1128*L1128*(1-M1128))</f>
        <v>90</v>
      </c>
      <c r="P1128" s="84" t="n">
        <f aca="false">IF($N1128="مرتجع",0,K1128*IFERROR(INDEX(p_Cost,MATCH($F1128,p_ID,0)),0))</f>
        <v>45</v>
      </c>
      <c r="Q1128" s="84" t="n">
        <f aca="false">O1128-P1128</f>
        <v>45</v>
      </c>
      <c r="R1128" s="86" t="n">
        <f aca="false">DATE(YEAR(B1128),MONTH(B1128),1)</f>
        <v>46174</v>
      </c>
      <c r="S1128" s="83" t="str">
        <f aca="false">YEAR(B1128)&amp;"-Q"&amp;ROUNDUP(MONTH(B1128)/3,0)</f>
        <v>2026-Q2</v>
      </c>
      <c r="T1128" s="87" t="n">
        <f aca="false">IF(O1128&gt;0,Q1128/O1128,"")</f>
        <v>0.5</v>
      </c>
      <c r="U1128" s="84" t="n">
        <f aca="false">IF(O1128&gt;0,O1128,"")</f>
        <v>90</v>
      </c>
    </row>
    <row r="1129" customFormat="false" ht="15" hidden="false" customHeight="false" outlineLevel="0" collapsed="false">
      <c r="A1129" s="81" t="s">
        <v>1772</v>
      </c>
      <c r="B1129" s="82" t="n">
        <v>46195</v>
      </c>
      <c r="C1129" s="81" t="s">
        <v>272</v>
      </c>
      <c r="D1129" s="83" t="str">
        <f aca="false">IFERROR(INDEX(c_Name,MATCH($C1129,c_ID,0)),"غير معرّف")</f>
        <v>عبدالله البلوي</v>
      </c>
      <c r="E1129" s="83" t="str">
        <f aca="false">IFERROR(INDEX(c_Region,MATCH($C1129,c_ID,0)),"غير معرّف")</f>
        <v>الشرقية</v>
      </c>
      <c r="F1129" s="81" t="s">
        <v>174</v>
      </c>
      <c r="G1129" s="83" t="str">
        <f aca="false">IFERROR(INDEX(p_Name,MATCH($F1129,p_ID,0)),"غير معرّف")</f>
        <v>خزانة ملفات</v>
      </c>
      <c r="H1129" s="83" t="str">
        <f aca="false">IFERROR(INDEX(p_Cat,MATCH($F1129,p_ID,0)),"غير معرّف")</f>
        <v>أثاث</v>
      </c>
      <c r="I1129" s="81" t="s">
        <v>461</v>
      </c>
      <c r="J1129" s="81" t="s">
        <v>93</v>
      </c>
      <c r="K1129" s="81" t="n">
        <v>4</v>
      </c>
      <c r="L1129" s="84" t="n">
        <f aca="false">IFERROR(INDEX(p_Price,MATCH($F1129,p_ID,0)),0)</f>
        <v>700</v>
      </c>
      <c r="M1129" s="85" t="n">
        <v>0.05</v>
      </c>
      <c r="N1129" s="81" t="s">
        <v>644</v>
      </c>
      <c r="O1129" s="84" t="n">
        <f aca="false">IF($N1129="مرتجع",0,K1129*L1129*(1-M1129))</f>
        <v>2660</v>
      </c>
      <c r="P1129" s="84" t="n">
        <f aca="false">IF($N1129="مرتجع",0,K1129*IFERROR(INDEX(p_Cost,MATCH($F1129,p_ID,0)),0))</f>
        <v>1640</v>
      </c>
      <c r="Q1129" s="84" t="n">
        <f aca="false">O1129-P1129</f>
        <v>1020</v>
      </c>
      <c r="R1129" s="86" t="n">
        <f aca="false">DATE(YEAR(B1129),MONTH(B1129),1)</f>
        <v>46174</v>
      </c>
      <c r="S1129" s="83" t="str">
        <f aca="false">YEAR(B1129)&amp;"-Q"&amp;ROUNDUP(MONTH(B1129)/3,0)</f>
        <v>2026-Q2</v>
      </c>
      <c r="T1129" s="87" t="n">
        <f aca="false">IF(O1129&gt;0,Q1129/O1129,"")</f>
        <v>0.383458646616541</v>
      </c>
      <c r="U1129" s="84" t="n">
        <f aca="false">IF(O1129&gt;0,O1129,"")</f>
        <v>2660</v>
      </c>
    </row>
    <row r="1130" customFormat="false" ht="15" hidden="false" customHeight="false" outlineLevel="0" collapsed="false">
      <c r="A1130" s="81" t="s">
        <v>1773</v>
      </c>
      <c r="B1130" s="82" t="n">
        <v>46195</v>
      </c>
      <c r="C1130" s="81" t="s">
        <v>234</v>
      </c>
      <c r="D1130" s="83" t="str">
        <f aca="false">IFERROR(INDEX(c_Name,MATCH($C1130,c_ID,0)),"غير معرّف")</f>
        <v>هند الخالدي</v>
      </c>
      <c r="E1130" s="83" t="str">
        <f aca="false">IFERROR(INDEX(c_Region,MATCH($C1130,c_ID,0)),"غير معرّف")</f>
        <v>الوسطى</v>
      </c>
      <c r="F1130" s="81" t="s">
        <v>169</v>
      </c>
      <c r="G1130" s="83" t="str">
        <f aca="false">IFERROR(INDEX(p_Name,MATCH($F1130,p_ID,0)),"غير معرّف")</f>
        <v>خلاط</v>
      </c>
      <c r="H1130" s="83" t="str">
        <f aca="false">IFERROR(INDEX(p_Cat,MATCH($F1130,p_ID,0)),"غير معرّف")</f>
        <v>أجهزة منزلية</v>
      </c>
      <c r="I1130" s="81" t="s">
        <v>449</v>
      </c>
      <c r="J1130" s="81" t="s">
        <v>91</v>
      </c>
      <c r="K1130" s="81" t="n">
        <v>1</v>
      </c>
      <c r="L1130" s="84" t="n">
        <f aca="false">IFERROR(INDEX(p_Price,MATCH($F1130,p_ID,0)),0)</f>
        <v>300</v>
      </c>
      <c r="M1130" s="85" t="n">
        <v>0</v>
      </c>
      <c r="N1130" s="81" t="s">
        <v>644</v>
      </c>
      <c r="O1130" s="84" t="n">
        <f aca="false">IF($N1130="مرتجع",0,K1130*L1130*(1-M1130))</f>
        <v>300</v>
      </c>
      <c r="P1130" s="84" t="n">
        <f aca="false">IF($N1130="مرتجع",0,K1130*IFERROR(INDEX(p_Cost,MATCH($F1130,p_ID,0)),0))</f>
        <v>175</v>
      </c>
      <c r="Q1130" s="84" t="n">
        <f aca="false">O1130-P1130</f>
        <v>125</v>
      </c>
      <c r="R1130" s="86" t="n">
        <f aca="false">DATE(YEAR(B1130),MONTH(B1130),1)</f>
        <v>46174</v>
      </c>
      <c r="S1130" s="83" t="str">
        <f aca="false">YEAR(B1130)&amp;"-Q"&amp;ROUNDUP(MONTH(B1130)/3,0)</f>
        <v>2026-Q2</v>
      </c>
      <c r="T1130" s="87" t="n">
        <f aca="false">IF(O1130&gt;0,Q1130/O1130,"")</f>
        <v>0.416666666666667</v>
      </c>
      <c r="U1130" s="84" t="n">
        <f aca="false">IF(O1130&gt;0,O1130,"")</f>
        <v>300</v>
      </c>
    </row>
    <row r="1131" customFormat="false" ht="15" hidden="false" customHeight="false" outlineLevel="0" collapsed="false">
      <c r="A1131" s="81" t="s">
        <v>1774</v>
      </c>
      <c r="B1131" s="82" t="n">
        <v>46195</v>
      </c>
      <c r="C1131" s="81" t="s">
        <v>240</v>
      </c>
      <c r="D1131" s="83" t="str">
        <f aca="false">IFERROR(INDEX(c_Name,MATCH($C1131,c_ID,0)),"غير معرّف")</f>
        <v>سارة العنزي</v>
      </c>
      <c r="E1131" s="83" t="str">
        <f aca="false">IFERROR(INDEX(c_Region,MATCH($C1131,c_ID,0)),"غير معرّف")</f>
        <v>الغربية</v>
      </c>
      <c r="F1131" s="81" t="s">
        <v>169</v>
      </c>
      <c r="G1131" s="83" t="str">
        <f aca="false">IFERROR(INDEX(p_Name,MATCH($F1131,p_ID,0)),"غير معرّف")</f>
        <v>خلاط</v>
      </c>
      <c r="H1131" s="83" t="str">
        <f aca="false">IFERROR(INDEX(p_Cat,MATCH($F1131,p_ID,0)),"غير معرّف")</f>
        <v>أجهزة منزلية</v>
      </c>
      <c r="I1131" s="81" t="s">
        <v>458</v>
      </c>
      <c r="J1131" s="81" t="s">
        <v>93</v>
      </c>
      <c r="K1131" s="81" t="n">
        <v>2</v>
      </c>
      <c r="L1131" s="84" t="n">
        <f aca="false">IFERROR(INDEX(p_Price,MATCH($F1131,p_ID,0)),0)</f>
        <v>300</v>
      </c>
      <c r="M1131" s="85" t="n">
        <v>0</v>
      </c>
      <c r="N1131" s="81" t="s">
        <v>644</v>
      </c>
      <c r="O1131" s="84" t="n">
        <f aca="false">IF($N1131="مرتجع",0,K1131*L1131*(1-M1131))</f>
        <v>600</v>
      </c>
      <c r="P1131" s="84" t="n">
        <f aca="false">IF($N1131="مرتجع",0,K1131*IFERROR(INDEX(p_Cost,MATCH($F1131,p_ID,0)),0))</f>
        <v>350</v>
      </c>
      <c r="Q1131" s="84" t="n">
        <f aca="false">O1131-P1131</f>
        <v>250</v>
      </c>
      <c r="R1131" s="86" t="n">
        <f aca="false">DATE(YEAR(B1131),MONTH(B1131),1)</f>
        <v>46174</v>
      </c>
      <c r="S1131" s="83" t="str">
        <f aca="false">YEAR(B1131)&amp;"-Q"&amp;ROUNDUP(MONTH(B1131)/3,0)</f>
        <v>2026-Q2</v>
      </c>
      <c r="T1131" s="87" t="n">
        <f aca="false">IF(O1131&gt;0,Q1131/O1131,"")</f>
        <v>0.416666666666667</v>
      </c>
      <c r="U1131" s="84" t="n">
        <f aca="false">IF(O1131&gt;0,O1131,"")</f>
        <v>600</v>
      </c>
    </row>
    <row r="1132" customFormat="false" ht="15" hidden="false" customHeight="false" outlineLevel="0" collapsed="false">
      <c r="A1132" s="81" t="s">
        <v>1775</v>
      </c>
      <c r="B1132" s="82" t="n">
        <v>46196</v>
      </c>
      <c r="C1132" s="81" t="s">
        <v>297</v>
      </c>
      <c r="D1132" s="83" t="str">
        <f aca="false">IFERROR(INDEX(c_Name,MATCH($C1132,c_ID,0)),"غير معرّف")</f>
        <v>ياسر الحسيني</v>
      </c>
      <c r="E1132" s="83" t="str">
        <f aca="false">IFERROR(INDEX(c_Region,MATCH($C1132,c_ID,0)),"غير معرّف")</f>
        <v>الشرقية</v>
      </c>
      <c r="F1132" s="81" t="s">
        <v>185</v>
      </c>
      <c r="G1132" s="83" t="str">
        <f aca="false">IFERROR(INDEX(p_Name,MATCH($F1132,p_ID,0)),"غير معرّف")</f>
        <v>ماكينة حلاقة</v>
      </c>
      <c r="H1132" s="83" t="str">
        <f aca="false">IFERROR(INDEX(p_Cat,MATCH($F1132,p_ID,0)),"غير معرّف")</f>
        <v>عناية شخصية</v>
      </c>
      <c r="I1132" s="81" t="s">
        <v>461</v>
      </c>
      <c r="J1132" s="81" t="s">
        <v>93</v>
      </c>
      <c r="K1132" s="81" t="n">
        <v>3</v>
      </c>
      <c r="L1132" s="84" t="n">
        <f aca="false">IFERROR(INDEX(p_Price,MATCH($F1132,p_ID,0)),0)</f>
        <v>340</v>
      </c>
      <c r="M1132" s="85" t="n">
        <v>0.1</v>
      </c>
      <c r="N1132" s="81" t="s">
        <v>644</v>
      </c>
      <c r="O1132" s="84" t="n">
        <f aca="false">IF($N1132="مرتجع",0,K1132*L1132*(1-M1132))</f>
        <v>918</v>
      </c>
      <c r="P1132" s="84" t="n">
        <f aca="false">IF($N1132="مرتجع",0,K1132*IFERROR(INDEX(p_Cost,MATCH($F1132,p_ID,0)),0))</f>
        <v>510</v>
      </c>
      <c r="Q1132" s="84" t="n">
        <f aca="false">O1132-P1132</f>
        <v>408</v>
      </c>
      <c r="R1132" s="86" t="n">
        <f aca="false">DATE(YEAR(B1132),MONTH(B1132),1)</f>
        <v>46174</v>
      </c>
      <c r="S1132" s="83" t="str">
        <f aca="false">YEAR(B1132)&amp;"-Q"&amp;ROUNDUP(MONTH(B1132)/3,0)</f>
        <v>2026-Q2</v>
      </c>
      <c r="T1132" s="87" t="n">
        <f aca="false">IF(O1132&gt;0,Q1132/O1132,"")</f>
        <v>0.444444444444444</v>
      </c>
      <c r="U1132" s="84" t="n">
        <f aca="false">IF(O1132&gt;0,O1132,"")</f>
        <v>918</v>
      </c>
    </row>
    <row r="1133" customFormat="false" ht="15" hidden="false" customHeight="false" outlineLevel="0" collapsed="false">
      <c r="A1133" s="81" t="s">
        <v>1776</v>
      </c>
      <c r="B1133" s="82" t="n">
        <v>46196</v>
      </c>
      <c r="C1133" s="81" t="s">
        <v>357</v>
      </c>
      <c r="D1133" s="83" t="str">
        <f aca="false">IFERROR(INDEX(c_Name,MATCH($C1133,c_ID,0)),"غير معرّف")</f>
        <v>منى الحربي</v>
      </c>
      <c r="E1133" s="83" t="str">
        <f aca="false">IFERROR(INDEX(c_Region,MATCH($C1133,c_ID,0)),"غير معرّف")</f>
        <v>الوسطى</v>
      </c>
      <c r="F1133" s="81" t="s">
        <v>166</v>
      </c>
      <c r="G1133" s="83" t="str">
        <f aca="false">IFERROR(INDEX(p_Name,MATCH($F1133,p_ID,0)),"غير معرّف")</f>
        <v>سماعات لاسلكية</v>
      </c>
      <c r="H1133" s="83" t="str">
        <f aca="false">IFERROR(INDEX(p_Cat,MATCH($F1133,p_ID,0)),"غير معرّف")</f>
        <v>إلكترونيات</v>
      </c>
      <c r="I1133" s="81" t="s">
        <v>449</v>
      </c>
      <c r="J1133" s="81" t="s">
        <v>93</v>
      </c>
      <c r="K1133" s="81" t="n">
        <v>2</v>
      </c>
      <c r="L1133" s="84" t="n">
        <f aca="false">IFERROR(INDEX(p_Price,MATCH($F1133,p_ID,0)),0)</f>
        <v>450</v>
      </c>
      <c r="M1133" s="85" t="n">
        <v>0.1</v>
      </c>
      <c r="N1133" s="81" t="s">
        <v>650</v>
      </c>
      <c r="O1133" s="84" t="n">
        <f aca="false">IF($N1133="مرتجع",0,K1133*L1133*(1-M1133))</f>
        <v>0</v>
      </c>
      <c r="P1133" s="84" t="n">
        <f aca="false">IF($N1133="مرتجع",0,K1133*IFERROR(INDEX(p_Cost,MATCH($F1133,p_ID,0)),0))</f>
        <v>0</v>
      </c>
      <c r="Q1133" s="84" t="n">
        <f aca="false">O1133-P1133</f>
        <v>0</v>
      </c>
      <c r="R1133" s="86" t="n">
        <f aca="false">DATE(YEAR(B1133),MONTH(B1133),1)</f>
        <v>46174</v>
      </c>
      <c r="S1133" s="83" t="str">
        <f aca="false">YEAR(B1133)&amp;"-Q"&amp;ROUNDUP(MONTH(B1133)/3,0)</f>
        <v>2026-Q2</v>
      </c>
      <c r="T1133" s="87" t="str">
        <f aca="false">IF(O1133&gt;0,Q1133/O1133,"")</f>
        <v/>
      </c>
      <c r="U1133" s="84" t="str">
        <f aca="false">IF(O1133&gt;0,O1133,"")</f>
        <v/>
      </c>
    </row>
    <row r="1134" customFormat="false" ht="15" hidden="false" customHeight="false" outlineLevel="0" collapsed="false">
      <c r="A1134" s="81" t="s">
        <v>1777</v>
      </c>
      <c r="B1134" s="82" t="n">
        <v>46196</v>
      </c>
      <c r="C1134" s="81" t="s">
        <v>267</v>
      </c>
      <c r="D1134" s="83" t="str">
        <f aca="false">IFERROR(INDEX(c_Name,MATCH($C1134,c_ID,0)),"غير معرّف")</f>
        <v>منى الدوسري</v>
      </c>
      <c r="E1134" s="83" t="str">
        <f aca="false">IFERROR(INDEX(c_Region,MATCH($C1134,c_ID,0)),"غير معرّف")</f>
        <v>الوسطى</v>
      </c>
      <c r="F1134" s="81" t="s">
        <v>174</v>
      </c>
      <c r="G1134" s="83" t="str">
        <f aca="false">IFERROR(INDEX(p_Name,MATCH($F1134,p_ID,0)),"غير معرّف")</f>
        <v>خزانة ملفات</v>
      </c>
      <c r="H1134" s="83" t="str">
        <f aca="false">IFERROR(INDEX(p_Cat,MATCH($F1134,p_ID,0)),"غير معرّف")</f>
        <v>أثاث</v>
      </c>
      <c r="I1134" s="81" t="s">
        <v>443</v>
      </c>
      <c r="J1134" s="81" t="s">
        <v>91</v>
      </c>
      <c r="K1134" s="81" t="n">
        <v>2</v>
      </c>
      <c r="L1134" s="84" t="n">
        <f aca="false">IFERROR(INDEX(p_Price,MATCH($F1134,p_ID,0)),0)</f>
        <v>700</v>
      </c>
      <c r="M1134" s="85" t="n">
        <v>0.05</v>
      </c>
      <c r="N1134" s="81" t="s">
        <v>644</v>
      </c>
      <c r="O1134" s="84" t="n">
        <f aca="false">IF($N1134="مرتجع",0,K1134*L1134*(1-M1134))</f>
        <v>1330</v>
      </c>
      <c r="P1134" s="84" t="n">
        <f aca="false">IF($N1134="مرتجع",0,K1134*IFERROR(INDEX(p_Cost,MATCH($F1134,p_ID,0)),0))</f>
        <v>820</v>
      </c>
      <c r="Q1134" s="84" t="n">
        <f aca="false">O1134-P1134</f>
        <v>510</v>
      </c>
      <c r="R1134" s="86" t="n">
        <f aca="false">DATE(YEAR(B1134),MONTH(B1134),1)</f>
        <v>46174</v>
      </c>
      <c r="S1134" s="83" t="str">
        <f aca="false">YEAR(B1134)&amp;"-Q"&amp;ROUNDUP(MONTH(B1134)/3,0)</f>
        <v>2026-Q2</v>
      </c>
      <c r="T1134" s="87" t="n">
        <f aca="false">IF(O1134&gt;0,Q1134/O1134,"")</f>
        <v>0.383458646616541</v>
      </c>
      <c r="U1134" s="84" t="n">
        <f aca="false">IF(O1134&gt;0,O1134,"")</f>
        <v>1330</v>
      </c>
    </row>
    <row r="1135" customFormat="false" ht="15" hidden="false" customHeight="false" outlineLevel="0" collapsed="false">
      <c r="A1135" s="81" t="s">
        <v>1778</v>
      </c>
      <c r="B1135" s="82" t="n">
        <v>46196</v>
      </c>
      <c r="C1135" s="81" t="s">
        <v>357</v>
      </c>
      <c r="D1135" s="83" t="str">
        <f aca="false">IFERROR(INDEX(c_Name,MATCH($C1135,c_ID,0)),"غير معرّف")</f>
        <v>منى الحربي</v>
      </c>
      <c r="E1135" s="83" t="str">
        <f aca="false">IFERROR(INDEX(c_Region,MATCH($C1135,c_ID,0)),"غير معرّف")</f>
        <v>الوسطى</v>
      </c>
      <c r="F1135" s="81" t="s">
        <v>169</v>
      </c>
      <c r="G1135" s="83" t="str">
        <f aca="false">IFERROR(INDEX(p_Name,MATCH($F1135,p_ID,0)),"غير معرّف")</f>
        <v>خلاط</v>
      </c>
      <c r="H1135" s="83" t="str">
        <f aca="false">IFERROR(INDEX(p_Cat,MATCH($F1135,p_ID,0)),"غير معرّف")</f>
        <v>أجهزة منزلية</v>
      </c>
      <c r="I1135" s="81" t="s">
        <v>449</v>
      </c>
      <c r="J1135" s="81" t="s">
        <v>93</v>
      </c>
      <c r="K1135" s="81" t="n">
        <v>2</v>
      </c>
      <c r="L1135" s="84" t="n">
        <f aca="false">IFERROR(INDEX(p_Price,MATCH($F1135,p_ID,0)),0)</f>
        <v>300</v>
      </c>
      <c r="M1135" s="85" t="n">
        <v>0</v>
      </c>
      <c r="N1135" s="81" t="s">
        <v>644</v>
      </c>
      <c r="O1135" s="84" t="n">
        <f aca="false">IF($N1135="مرتجع",0,K1135*L1135*(1-M1135))</f>
        <v>600</v>
      </c>
      <c r="P1135" s="84" t="n">
        <f aca="false">IF($N1135="مرتجع",0,K1135*IFERROR(INDEX(p_Cost,MATCH($F1135,p_ID,0)),0))</f>
        <v>350</v>
      </c>
      <c r="Q1135" s="84" t="n">
        <f aca="false">O1135-P1135</f>
        <v>250</v>
      </c>
      <c r="R1135" s="86" t="n">
        <f aca="false">DATE(YEAR(B1135),MONTH(B1135),1)</f>
        <v>46174</v>
      </c>
      <c r="S1135" s="83" t="str">
        <f aca="false">YEAR(B1135)&amp;"-Q"&amp;ROUNDUP(MONTH(B1135)/3,0)</f>
        <v>2026-Q2</v>
      </c>
      <c r="T1135" s="87" t="n">
        <f aca="false">IF(O1135&gt;0,Q1135/O1135,"")</f>
        <v>0.416666666666667</v>
      </c>
      <c r="U1135" s="84" t="n">
        <f aca="false">IF(O1135&gt;0,O1135,"")</f>
        <v>600</v>
      </c>
    </row>
    <row r="1136" customFormat="false" ht="15" hidden="false" customHeight="false" outlineLevel="0" collapsed="false">
      <c r="A1136" s="81" t="s">
        <v>1779</v>
      </c>
      <c r="B1136" s="82" t="n">
        <v>46196</v>
      </c>
      <c r="C1136" s="81" t="s">
        <v>326</v>
      </c>
      <c r="D1136" s="83" t="str">
        <f aca="false">IFERROR(INDEX(c_Name,MATCH($C1136,c_ID,0)),"غير معرّف")</f>
        <v>دانة القحطاني</v>
      </c>
      <c r="E1136" s="83" t="str">
        <f aca="false">IFERROR(INDEX(c_Region,MATCH($C1136,c_ID,0)),"غير معرّف")</f>
        <v>الوسطى</v>
      </c>
      <c r="F1136" s="81" t="s">
        <v>178</v>
      </c>
      <c r="G1136" s="83" t="str">
        <f aca="false">IFERROR(INDEX(p_Name,MATCH($F1136,p_ID,0)),"غير معرّف")</f>
        <v>حقيبة لابتوب</v>
      </c>
      <c r="H1136" s="83" t="str">
        <f aca="false">IFERROR(INDEX(p_Cat,MATCH($F1136,p_ID,0)),"غير معرّف")</f>
        <v>مستلزمات مكتبية</v>
      </c>
      <c r="I1136" s="81" t="s">
        <v>446</v>
      </c>
      <c r="J1136" s="81" t="s">
        <v>91</v>
      </c>
      <c r="K1136" s="81" t="n">
        <v>1</v>
      </c>
      <c r="L1136" s="84" t="n">
        <f aca="false">IFERROR(INDEX(p_Price,MATCH($F1136,p_ID,0)),0)</f>
        <v>260</v>
      </c>
      <c r="M1136" s="85" t="n">
        <v>0.05</v>
      </c>
      <c r="N1136" s="81" t="s">
        <v>644</v>
      </c>
      <c r="O1136" s="84" t="n">
        <f aca="false">IF($N1136="مرتجع",0,K1136*L1136*(1-M1136))</f>
        <v>247</v>
      </c>
      <c r="P1136" s="84" t="n">
        <f aca="false">IF($N1136="مرتجع",0,K1136*IFERROR(INDEX(p_Cost,MATCH($F1136,p_ID,0)),0))</f>
        <v>120</v>
      </c>
      <c r="Q1136" s="84" t="n">
        <f aca="false">O1136-P1136</f>
        <v>127</v>
      </c>
      <c r="R1136" s="86" t="n">
        <f aca="false">DATE(YEAR(B1136),MONTH(B1136),1)</f>
        <v>46174</v>
      </c>
      <c r="S1136" s="83" t="str">
        <f aca="false">YEAR(B1136)&amp;"-Q"&amp;ROUNDUP(MONTH(B1136)/3,0)</f>
        <v>2026-Q2</v>
      </c>
      <c r="T1136" s="87" t="n">
        <f aca="false">IF(O1136&gt;0,Q1136/O1136,"")</f>
        <v>0.51417004048583</v>
      </c>
      <c r="U1136" s="84" t="n">
        <f aca="false">IF(O1136&gt;0,O1136,"")</f>
        <v>247</v>
      </c>
    </row>
    <row r="1137" customFormat="false" ht="15" hidden="false" customHeight="false" outlineLevel="0" collapsed="false">
      <c r="A1137" s="81" t="s">
        <v>1780</v>
      </c>
      <c r="B1137" s="82" t="n">
        <v>46196</v>
      </c>
      <c r="C1137" s="81" t="s">
        <v>257</v>
      </c>
      <c r="D1137" s="83" t="str">
        <f aca="false">IFERROR(INDEX(c_Name,MATCH($C1137,c_ID,0)),"غير معرّف")</f>
        <v>عبير السبيعي</v>
      </c>
      <c r="E1137" s="83" t="str">
        <f aca="false">IFERROR(INDEX(c_Region,MATCH($C1137,c_ID,0)),"غير معرّف")</f>
        <v>الغربية</v>
      </c>
      <c r="F1137" s="81" t="s">
        <v>169</v>
      </c>
      <c r="G1137" s="83" t="str">
        <f aca="false">IFERROR(INDEX(p_Name,MATCH($F1137,p_ID,0)),"غير معرّف")</f>
        <v>خلاط</v>
      </c>
      <c r="H1137" s="83" t="str">
        <f aca="false">IFERROR(INDEX(p_Cat,MATCH($F1137,p_ID,0)),"غير معرّف")</f>
        <v>أجهزة منزلية</v>
      </c>
      <c r="I1137" s="81" t="s">
        <v>458</v>
      </c>
      <c r="J1137" s="81" t="s">
        <v>91</v>
      </c>
      <c r="K1137" s="81" t="n">
        <v>4</v>
      </c>
      <c r="L1137" s="84" t="n">
        <f aca="false">IFERROR(INDEX(p_Price,MATCH($F1137,p_ID,0)),0)</f>
        <v>300</v>
      </c>
      <c r="M1137" s="85" t="n">
        <v>0</v>
      </c>
      <c r="N1137" s="81" t="s">
        <v>644</v>
      </c>
      <c r="O1137" s="84" t="n">
        <f aca="false">IF($N1137="مرتجع",0,K1137*L1137*(1-M1137))</f>
        <v>1200</v>
      </c>
      <c r="P1137" s="84" t="n">
        <f aca="false">IF($N1137="مرتجع",0,K1137*IFERROR(INDEX(p_Cost,MATCH($F1137,p_ID,0)),0))</f>
        <v>700</v>
      </c>
      <c r="Q1137" s="84" t="n">
        <f aca="false">O1137-P1137</f>
        <v>500</v>
      </c>
      <c r="R1137" s="86" t="n">
        <f aca="false">DATE(YEAR(B1137),MONTH(B1137),1)</f>
        <v>46174</v>
      </c>
      <c r="S1137" s="83" t="str">
        <f aca="false">YEAR(B1137)&amp;"-Q"&amp;ROUNDUP(MONTH(B1137)/3,0)</f>
        <v>2026-Q2</v>
      </c>
      <c r="T1137" s="87" t="n">
        <f aca="false">IF(O1137&gt;0,Q1137/O1137,"")</f>
        <v>0.416666666666667</v>
      </c>
      <c r="U1137" s="84" t="n">
        <f aca="false">IF(O1137&gt;0,O1137,"")</f>
        <v>1200</v>
      </c>
    </row>
    <row r="1138" customFormat="false" ht="15" hidden="false" customHeight="false" outlineLevel="0" collapsed="false">
      <c r="A1138" s="81" t="s">
        <v>1781</v>
      </c>
      <c r="B1138" s="82" t="n">
        <v>46196</v>
      </c>
      <c r="C1138" s="81" t="s">
        <v>406</v>
      </c>
      <c r="D1138" s="83" t="str">
        <f aca="false">IFERROR(INDEX(c_Name,MATCH($C1138,c_ID,0)),"غير معرّف")</f>
        <v>نورة الشهري</v>
      </c>
      <c r="E1138" s="83" t="str">
        <f aca="false">IFERROR(INDEX(c_Region,MATCH($C1138,c_ID,0)),"غير معرّف")</f>
        <v>الجنوبية</v>
      </c>
      <c r="F1138" s="81" t="s">
        <v>175</v>
      </c>
      <c r="G1138" s="83" t="str">
        <f aca="false">IFERROR(INDEX(p_Name,MATCH($F1138,p_ID,0)),"غير معرّف")</f>
        <v>رف كتب</v>
      </c>
      <c r="H1138" s="83" t="str">
        <f aca="false">IFERROR(INDEX(p_Cat,MATCH($F1138,p_ID,0)),"غير معرّف")</f>
        <v>أثاث</v>
      </c>
      <c r="I1138" s="81" t="s">
        <v>465</v>
      </c>
      <c r="J1138" s="81" t="s">
        <v>95</v>
      </c>
      <c r="K1138" s="81" t="n">
        <v>10</v>
      </c>
      <c r="L1138" s="84" t="n">
        <f aca="false">IFERROR(INDEX(p_Price,MATCH($F1138,p_ID,0)),0)</f>
        <v>400</v>
      </c>
      <c r="M1138" s="85" t="n">
        <v>0.15</v>
      </c>
      <c r="N1138" s="81" t="s">
        <v>644</v>
      </c>
      <c r="O1138" s="84" t="n">
        <f aca="false">IF($N1138="مرتجع",0,K1138*L1138*(1-M1138))</f>
        <v>3400</v>
      </c>
      <c r="P1138" s="84" t="n">
        <f aca="false">IF($N1138="مرتجع",0,K1138*IFERROR(INDEX(p_Cost,MATCH($F1138,p_ID,0)),0))</f>
        <v>2200</v>
      </c>
      <c r="Q1138" s="84" t="n">
        <f aca="false">O1138-P1138</f>
        <v>1200</v>
      </c>
      <c r="R1138" s="86" t="n">
        <f aca="false">DATE(YEAR(B1138),MONTH(B1138),1)</f>
        <v>46174</v>
      </c>
      <c r="S1138" s="83" t="str">
        <f aca="false">YEAR(B1138)&amp;"-Q"&amp;ROUNDUP(MONTH(B1138)/3,0)</f>
        <v>2026-Q2</v>
      </c>
      <c r="T1138" s="87" t="n">
        <f aca="false">IF(O1138&gt;0,Q1138/O1138,"")</f>
        <v>0.352941176470588</v>
      </c>
      <c r="U1138" s="84" t="n">
        <f aca="false">IF(O1138&gt;0,O1138,"")</f>
        <v>3400</v>
      </c>
    </row>
    <row r="1139" customFormat="false" ht="15" hidden="false" customHeight="false" outlineLevel="0" collapsed="false">
      <c r="A1139" s="81" t="s">
        <v>1782</v>
      </c>
      <c r="B1139" s="82" t="n">
        <v>46196</v>
      </c>
      <c r="C1139" s="81" t="s">
        <v>423</v>
      </c>
      <c r="D1139" s="83" t="str">
        <f aca="false">IFERROR(INDEX(c_Name,MATCH($C1139,c_ID,0)),"غير معرّف")</f>
        <v>ناصر المطيري</v>
      </c>
      <c r="E1139" s="83" t="str">
        <f aca="false">IFERROR(INDEX(c_Region,MATCH($C1139,c_ID,0)),"غير معرّف")</f>
        <v>الغربية</v>
      </c>
      <c r="F1139" s="81" t="s">
        <v>168</v>
      </c>
      <c r="G1139" s="83" t="str">
        <f aca="false">IFERROR(INDEX(p_Name,MATCH($F1139,p_ID,0)),"غير معرّف")</f>
        <v>مكنسة كهربائية</v>
      </c>
      <c r="H1139" s="83" t="str">
        <f aca="false">IFERROR(INDEX(p_Cat,MATCH($F1139,p_ID,0)),"غير معرّف")</f>
        <v>أجهزة منزلية</v>
      </c>
      <c r="I1139" s="81" t="s">
        <v>458</v>
      </c>
      <c r="J1139" s="81" t="s">
        <v>91</v>
      </c>
      <c r="K1139" s="81" t="n">
        <v>2</v>
      </c>
      <c r="L1139" s="84" t="n">
        <f aca="false">IFERROR(INDEX(p_Price,MATCH($F1139,p_ID,0)),0)</f>
        <v>650</v>
      </c>
      <c r="M1139" s="85" t="n">
        <v>0</v>
      </c>
      <c r="N1139" s="81" t="s">
        <v>644</v>
      </c>
      <c r="O1139" s="84" t="n">
        <f aca="false">IF($N1139="مرتجع",0,K1139*L1139*(1-M1139))</f>
        <v>1300</v>
      </c>
      <c r="P1139" s="84" t="n">
        <f aca="false">IF($N1139="مرتجع",0,K1139*IFERROR(INDEX(p_Cost,MATCH($F1139,p_ID,0)),0))</f>
        <v>840</v>
      </c>
      <c r="Q1139" s="84" t="n">
        <f aca="false">O1139-P1139</f>
        <v>460</v>
      </c>
      <c r="R1139" s="86" t="n">
        <f aca="false">DATE(YEAR(B1139),MONTH(B1139),1)</f>
        <v>46174</v>
      </c>
      <c r="S1139" s="83" t="str">
        <f aca="false">YEAR(B1139)&amp;"-Q"&amp;ROUNDUP(MONTH(B1139)/3,0)</f>
        <v>2026-Q2</v>
      </c>
      <c r="T1139" s="87" t="n">
        <f aca="false">IF(O1139&gt;0,Q1139/O1139,"")</f>
        <v>0.353846153846154</v>
      </c>
      <c r="U1139" s="84" t="n">
        <f aca="false">IF(O1139&gt;0,O1139,"")</f>
        <v>1300</v>
      </c>
    </row>
    <row r="1140" customFormat="false" ht="15" hidden="false" customHeight="false" outlineLevel="0" collapsed="false">
      <c r="A1140" s="81" t="s">
        <v>1783</v>
      </c>
      <c r="B1140" s="82" t="n">
        <v>46197</v>
      </c>
      <c r="C1140" s="81" t="s">
        <v>281</v>
      </c>
      <c r="D1140" s="83" t="str">
        <f aca="false">IFERROR(INDEX(c_Name,MATCH($C1140,c_ID,0)),"غير معرّف")</f>
        <v>ريم الخالدي</v>
      </c>
      <c r="E1140" s="83" t="str">
        <f aca="false">IFERROR(INDEX(c_Region,MATCH($C1140,c_ID,0)),"غير معرّف")</f>
        <v>الوسطى</v>
      </c>
      <c r="F1140" s="81" t="s">
        <v>173</v>
      </c>
      <c r="G1140" s="83" t="str">
        <f aca="false">IFERROR(INDEX(p_Name,MATCH($F1140,p_ID,0)),"غير معرّف")</f>
        <v>كرسي مريح</v>
      </c>
      <c r="H1140" s="83" t="str">
        <f aca="false">IFERROR(INDEX(p_Cat,MATCH($F1140,p_ID,0)),"غير معرّف")</f>
        <v>أثاث</v>
      </c>
      <c r="I1140" s="81" t="s">
        <v>443</v>
      </c>
      <c r="J1140" s="81" t="s">
        <v>91</v>
      </c>
      <c r="K1140" s="81" t="n">
        <v>1</v>
      </c>
      <c r="L1140" s="84" t="n">
        <f aca="false">IFERROR(INDEX(p_Price,MATCH($F1140,p_ID,0)),0)</f>
        <v>850</v>
      </c>
      <c r="M1140" s="85" t="n">
        <v>0.1</v>
      </c>
      <c r="N1140" s="81" t="s">
        <v>644</v>
      </c>
      <c r="O1140" s="84" t="n">
        <f aca="false">IF($N1140="مرتجع",0,K1140*L1140*(1-M1140))</f>
        <v>765</v>
      </c>
      <c r="P1140" s="84" t="n">
        <f aca="false">IF($N1140="مرتجع",0,K1140*IFERROR(INDEX(p_Cost,MATCH($F1140,p_ID,0)),0))</f>
        <v>480</v>
      </c>
      <c r="Q1140" s="84" t="n">
        <f aca="false">O1140-P1140</f>
        <v>285</v>
      </c>
      <c r="R1140" s="86" t="n">
        <f aca="false">DATE(YEAR(B1140),MONTH(B1140),1)</f>
        <v>46174</v>
      </c>
      <c r="S1140" s="83" t="str">
        <f aca="false">YEAR(B1140)&amp;"-Q"&amp;ROUNDUP(MONTH(B1140)/3,0)</f>
        <v>2026-Q2</v>
      </c>
      <c r="T1140" s="87" t="n">
        <f aca="false">IF(O1140&gt;0,Q1140/O1140,"")</f>
        <v>0.372549019607843</v>
      </c>
      <c r="U1140" s="84" t="n">
        <f aca="false">IF(O1140&gt;0,O1140,"")</f>
        <v>765</v>
      </c>
    </row>
    <row r="1141" customFormat="false" ht="15" hidden="false" customHeight="false" outlineLevel="0" collapsed="false">
      <c r="A1141" s="81" t="s">
        <v>1784</v>
      </c>
      <c r="B1141" s="82" t="n">
        <v>46197</v>
      </c>
      <c r="C1141" s="81" t="s">
        <v>259</v>
      </c>
      <c r="D1141" s="83" t="str">
        <f aca="false">IFERROR(INDEX(c_Name,MATCH($C1141,c_ID,0)),"غير معرّف")</f>
        <v>عبير العتيبي</v>
      </c>
      <c r="E1141" s="83" t="str">
        <f aca="false">IFERROR(INDEX(c_Region,MATCH($C1141,c_ID,0)),"غير معرّف")</f>
        <v>الوسطى</v>
      </c>
      <c r="F1141" s="81" t="s">
        <v>178</v>
      </c>
      <c r="G1141" s="83" t="str">
        <f aca="false">IFERROR(INDEX(p_Name,MATCH($F1141,p_ID,0)),"غير معرّف")</f>
        <v>حقيبة لابتوب</v>
      </c>
      <c r="H1141" s="83" t="str">
        <f aca="false">IFERROR(INDEX(p_Cat,MATCH($F1141,p_ID,0)),"غير معرّف")</f>
        <v>مستلزمات مكتبية</v>
      </c>
      <c r="I1141" s="81" t="s">
        <v>449</v>
      </c>
      <c r="J1141" s="81" t="s">
        <v>91</v>
      </c>
      <c r="K1141" s="81" t="n">
        <v>1</v>
      </c>
      <c r="L1141" s="84" t="n">
        <f aca="false">IFERROR(INDEX(p_Price,MATCH($F1141,p_ID,0)),0)</f>
        <v>260</v>
      </c>
      <c r="M1141" s="85" t="n">
        <v>0</v>
      </c>
      <c r="N1141" s="81" t="s">
        <v>644</v>
      </c>
      <c r="O1141" s="84" t="n">
        <f aca="false">IF($N1141="مرتجع",0,K1141*L1141*(1-M1141))</f>
        <v>260</v>
      </c>
      <c r="P1141" s="84" t="n">
        <f aca="false">IF($N1141="مرتجع",0,K1141*IFERROR(INDEX(p_Cost,MATCH($F1141,p_ID,0)),0))</f>
        <v>120</v>
      </c>
      <c r="Q1141" s="84" t="n">
        <f aca="false">O1141-P1141</f>
        <v>140</v>
      </c>
      <c r="R1141" s="86" t="n">
        <f aca="false">DATE(YEAR(B1141),MONTH(B1141),1)</f>
        <v>46174</v>
      </c>
      <c r="S1141" s="83" t="str">
        <f aca="false">YEAR(B1141)&amp;"-Q"&amp;ROUNDUP(MONTH(B1141)/3,0)</f>
        <v>2026-Q2</v>
      </c>
      <c r="T1141" s="87" t="n">
        <f aca="false">IF(O1141&gt;0,Q1141/O1141,"")</f>
        <v>0.538461538461538</v>
      </c>
      <c r="U1141" s="84" t="n">
        <f aca="false">IF(O1141&gt;0,O1141,"")</f>
        <v>260</v>
      </c>
    </row>
    <row r="1142" customFormat="false" ht="15" hidden="false" customHeight="false" outlineLevel="0" collapsed="false">
      <c r="A1142" s="81" t="s">
        <v>1785</v>
      </c>
      <c r="B1142" s="82" t="n">
        <v>46197</v>
      </c>
      <c r="C1142" s="81" t="s">
        <v>266</v>
      </c>
      <c r="D1142" s="83" t="str">
        <f aca="false">IFERROR(INDEX(c_Name,MATCH($C1142,c_ID,0)),"غير معرّف")</f>
        <v>ياسر الشهري</v>
      </c>
      <c r="E1142" s="83" t="str">
        <f aca="false">IFERROR(INDEX(c_Region,MATCH($C1142,c_ID,0)),"غير معرّف")</f>
        <v>الوسطى</v>
      </c>
      <c r="F1142" s="81" t="s">
        <v>182</v>
      </c>
      <c r="G1142" s="83" t="str">
        <f aca="false">IFERROR(INDEX(p_Name,MATCH($F1142,p_ID,0)),"غير معرّف")</f>
        <v>طقم أوزان</v>
      </c>
      <c r="H1142" s="83" t="str">
        <f aca="false">IFERROR(INDEX(p_Cat,MATCH($F1142,p_ID,0)),"غير معرّف")</f>
        <v>رياضة</v>
      </c>
      <c r="I1142" s="81" t="s">
        <v>446</v>
      </c>
      <c r="J1142" s="81" t="s">
        <v>93</v>
      </c>
      <c r="K1142" s="81" t="n">
        <v>2</v>
      </c>
      <c r="L1142" s="84" t="n">
        <f aca="false">IFERROR(INDEX(p_Price,MATCH($F1142,p_ID,0)),0)</f>
        <v>380</v>
      </c>
      <c r="M1142" s="85" t="n">
        <v>0</v>
      </c>
      <c r="N1142" s="81" t="s">
        <v>644</v>
      </c>
      <c r="O1142" s="84" t="n">
        <f aca="false">IF($N1142="مرتجع",0,K1142*L1142*(1-M1142))</f>
        <v>760</v>
      </c>
      <c r="P1142" s="84" t="n">
        <f aca="false">IF($N1142="مرتجع",0,K1142*IFERROR(INDEX(p_Cost,MATCH($F1142,p_ID,0)),0))</f>
        <v>420</v>
      </c>
      <c r="Q1142" s="84" t="n">
        <f aca="false">O1142-P1142</f>
        <v>340</v>
      </c>
      <c r="R1142" s="86" t="n">
        <f aca="false">DATE(YEAR(B1142),MONTH(B1142),1)</f>
        <v>46174</v>
      </c>
      <c r="S1142" s="83" t="str">
        <f aca="false">YEAR(B1142)&amp;"-Q"&amp;ROUNDUP(MONTH(B1142)/3,0)</f>
        <v>2026-Q2</v>
      </c>
      <c r="T1142" s="87" t="n">
        <f aca="false">IF(O1142&gt;0,Q1142/O1142,"")</f>
        <v>0.447368421052632</v>
      </c>
      <c r="U1142" s="84" t="n">
        <f aca="false">IF(O1142&gt;0,O1142,"")</f>
        <v>760</v>
      </c>
    </row>
    <row r="1143" customFormat="false" ht="15" hidden="false" customHeight="false" outlineLevel="0" collapsed="false">
      <c r="A1143" s="81" t="s">
        <v>1786</v>
      </c>
      <c r="B1143" s="82" t="n">
        <v>46198</v>
      </c>
      <c r="C1143" s="81" t="s">
        <v>334</v>
      </c>
      <c r="D1143" s="83" t="str">
        <f aca="false">IFERROR(INDEX(c_Name,MATCH($C1143,c_ID,0)),"غير معرّف")</f>
        <v>ناصر الغامدي</v>
      </c>
      <c r="E1143" s="83" t="str">
        <f aca="false">IFERROR(INDEX(c_Region,MATCH($C1143,c_ID,0)),"غير معرّف")</f>
        <v>الغربية</v>
      </c>
      <c r="F1143" s="81" t="s">
        <v>166</v>
      </c>
      <c r="G1143" s="83" t="str">
        <f aca="false">IFERROR(INDEX(p_Name,MATCH($F1143,p_ID,0)),"غير معرّف")</f>
        <v>سماعات لاسلكية</v>
      </c>
      <c r="H1143" s="83" t="str">
        <f aca="false">IFERROR(INDEX(p_Cat,MATCH($F1143,p_ID,0)),"غير معرّف")</f>
        <v>إلكترونيات</v>
      </c>
      <c r="I1143" s="81" t="s">
        <v>455</v>
      </c>
      <c r="J1143" s="81" t="s">
        <v>91</v>
      </c>
      <c r="K1143" s="81" t="n">
        <v>1</v>
      </c>
      <c r="L1143" s="84" t="n">
        <f aca="false">IFERROR(INDEX(p_Price,MATCH($F1143,p_ID,0)),0)</f>
        <v>450</v>
      </c>
      <c r="M1143" s="85" t="n">
        <v>0.05</v>
      </c>
      <c r="N1143" s="81" t="s">
        <v>644</v>
      </c>
      <c r="O1143" s="84" t="n">
        <f aca="false">IF($N1143="مرتجع",0,K1143*L1143*(1-M1143))</f>
        <v>427.5</v>
      </c>
      <c r="P1143" s="84" t="n">
        <f aca="false">IF($N1143="مرتجع",0,K1143*IFERROR(INDEX(p_Cost,MATCH($F1143,p_ID,0)),0))</f>
        <v>260</v>
      </c>
      <c r="Q1143" s="84" t="n">
        <f aca="false">O1143-P1143</f>
        <v>167.5</v>
      </c>
      <c r="R1143" s="86" t="n">
        <f aca="false">DATE(YEAR(B1143),MONTH(B1143),1)</f>
        <v>46174</v>
      </c>
      <c r="S1143" s="83" t="str">
        <f aca="false">YEAR(B1143)&amp;"-Q"&amp;ROUNDUP(MONTH(B1143)/3,0)</f>
        <v>2026-Q2</v>
      </c>
      <c r="T1143" s="87" t="n">
        <f aca="false">IF(O1143&gt;0,Q1143/O1143,"")</f>
        <v>0.391812865497076</v>
      </c>
      <c r="U1143" s="84" t="n">
        <f aca="false">IF(O1143&gt;0,O1143,"")</f>
        <v>427.5</v>
      </c>
    </row>
    <row r="1144" customFormat="false" ht="15" hidden="false" customHeight="false" outlineLevel="0" collapsed="false">
      <c r="A1144" s="81" t="s">
        <v>1787</v>
      </c>
      <c r="B1144" s="82" t="n">
        <v>46198</v>
      </c>
      <c r="C1144" s="81" t="s">
        <v>243</v>
      </c>
      <c r="D1144" s="83" t="str">
        <f aca="false">IFERROR(INDEX(c_Name,MATCH($C1144,c_ID,0)),"غير معرّف")</f>
        <v>محمد الحربي</v>
      </c>
      <c r="E1144" s="83" t="str">
        <f aca="false">IFERROR(INDEX(c_Region,MATCH($C1144,c_ID,0)),"غير معرّف")</f>
        <v>الغربية</v>
      </c>
      <c r="F1144" s="81" t="s">
        <v>184</v>
      </c>
      <c r="G1144" s="83" t="str">
        <f aca="false">IFERROR(INDEX(p_Name,MATCH($F1144,p_ID,0)),"غير معرّف")</f>
        <v>عطر فاخر</v>
      </c>
      <c r="H1144" s="83" t="str">
        <f aca="false">IFERROR(INDEX(p_Cat,MATCH($F1144,p_ID,0)),"غير معرّف")</f>
        <v>عناية شخصية</v>
      </c>
      <c r="I1144" s="81" t="s">
        <v>455</v>
      </c>
      <c r="J1144" s="81" t="s">
        <v>91</v>
      </c>
      <c r="K1144" s="81" t="n">
        <v>2</v>
      </c>
      <c r="L1144" s="84" t="n">
        <f aca="false">IFERROR(INDEX(p_Price,MATCH($F1144,p_ID,0)),0)</f>
        <v>520</v>
      </c>
      <c r="M1144" s="85" t="n">
        <v>0.05</v>
      </c>
      <c r="N1144" s="81" t="s">
        <v>644</v>
      </c>
      <c r="O1144" s="84" t="n">
        <f aca="false">IF($N1144="مرتجع",0,K1144*L1144*(1-M1144))</f>
        <v>988</v>
      </c>
      <c r="P1144" s="84" t="n">
        <f aca="false">IF($N1144="مرتجع",0,K1144*IFERROR(INDEX(p_Cost,MATCH($F1144,p_ID,0)),0))</f>
        <v>420</v>
      </c>
      <c r="Q1144" s="84" t="n">
        <f aca="false">O1144-P1144</f>
        <v>568</v>
      </c>
      <c r="R1144" s="86" t="n">
        <f aca="false">DATE(YEAR(B1144),MONTH(B1144),1)</f>
        <v>46174</v>
      </c>
      <c r="S1144" s="83" t="str">
        <f aca="false">YEAR(B1144)&amp;"-Q"&amp;ROUNDUP(MONTH(B1144)/3,0)</f>
        <v>2026-Q2</v>
      </c>
      <c r="T1144" s="87" t="n">
        <f aca="false">IF(O1144&gt;0,Q1144/O1144,"")</f>
        <v>0.574898785425101</v>
      </c>
      <c r="U1144" s="84" t="n">
        <f aca="false">IF(O1144&gt;0,O1144,"")</f>
        <v>988</v>
      </c>
    </row>
    <row r="1145" customFormat="false" ht="15" hidden="false" customHeight="false" outlineLevel="0" collapsed="false">
      <c r="A1145" s="81" t="s">
        <v>1788</v>
      </c>
      <c r="B1145" s="82" t="n">
        <v>46198</v>
      </c>
      <c r="C1145" s="81" t="s">
        <v>306</v>
      </c>
      <c r="D1145" s="83" t="str">
        <f aca="false">IFERROR(INDEX(c_Name,MATCH($C1145,c_ID,0)),"غير معرّف")</f>
        <v>أحمد العنزي</v>
      </c>
      <c r="E1145" s="83" t="str">
        <f aca="false">IFERROR(INDEX(c_Region,MATCH($C1145,c_ID,0)),"غير معرّف")</f>
        <v>الغربية</v>
      </c>
      <c r="F1145" s="81" t="s">
        <v>179</v>
      </c>
      <c r="G1145" s="83" t="str">
        <f aca="false">IFERROR(INDEX(p_Name,MATCH($F1145,p_ID,0)),"غير معرّف")</f>
        <v>طقم أدوات مكتبية</v>
      </c>
      <c r="H1145" s="83" t="str">
        <f aca="false">IFERROR(INDEX(p_Cat,MATCH($F1145,p_ID,0)),"غير معرّف")</f>
        <v>مستلزمات مكتبية</v>
      </c>
      <c r="I1145" s="81" t="s">
        <v>455</v>
      </c>
      <c r="J1145" s="81" t="s">
        <v>91</v>
      </c>
      <c r="K1145" s="81" t="n">
        <v>5</v>
      </c>
      <c r="L1145" s="84" t="n">
        <f aca="false">IFERROR(INDEX(p_Price,MATCH($F1145,p_ID,0)),0)</f>
        <v>90</v>
      </c>
      <c r="M1145" s="85" t="n">
        <v>0.1</v>
      </c>
      <c r="N1145" s="81" t="s">
        <v>644</v>
      </c>
      <c r="O1145" s="84" t="n">
        <f aca="false">IF($N1145="مرتجع",0,K1145*L1145*(1-M1145))</f>
        <v>405</v>
      </c>
      <c r="P1145" s="84" t="n">
        <f aca="false">IF($N1145="مرتجع",0,K1145*IFERROR(INDEX(p_Cost,MATCH($F1145,p_ID,0)),0))</f>
        <v>225</v>
      </c>
      <c r="Q1145" s="84" t="n">
        <f aca="false">O1145-P1145</f>
        <v>180</v>
      </c>
      <c r="R1145" s="86" t="n">
        <f aca="false">DATE(YEAR(B1145),MONTH(B1145),1)</f>
        <v>46174</v>
      </c>
      <c r="S1145" s="83" t="str">
        <f aca="false">YEAR(B1145)&amp;"-Q"&amp;ROUNDUP(MONTH(B1145)/3,0)</f>
        <v>2026-Q2</v>
      </c>
      <c r="T1145" s="87" t="n">
        <f aca="false">IF(O1145&gt;0,Q1145/O1145,"")</f>
        <v>0.444444444444444</v>
      </c>
      <c r="U1145" s="84" t="n">
        <f aca="false">IF(O1145&gt;0,O1145,"")</f>
        <v>405</v>
      </c>
    </row>
    <row r="1146" customFormat="false" ht="15" hidden="false" customHeight="false" outlineLevel="0" collapsed="false">
      <c r="A1146" s="81" t="s">
        <v>1789</v>
      </c>
      <c r="B1146" s="82" t="n">
        <v>46199</v>
      </c>
      <c r="C1146" s="81" t="s">
        <v>279</v>
      </c>
      <c r="D1146" s="83" t="str">
        <f aca="false">IFERROR(INDEX(c_Name,MATCH($C1146,c_ID,0)),"غير معرّف")</f>
        <v>لمى القحطاني</v>
      </c>
      <c r="E1146" s="83" t="str">
        <f aca="false">IFERROR(INDEX(c_Region,MATCH($C1146,c_ID,0)),"غير معرّف")</f>
        <v>الجنوبية</v>
      </c>
      <c r="F1146" s="81" t="s">
        <v>166</v>
      </c>
      <c r="G1146" s="83" t="str">
        <f aca="false">IFERROR(INDEX(p_Name,MATCH($F1146,p_ID,0)),"غير معرّف")</f>
        <v>سماعات لاسلكية</v>
      </c>
      <c r="H1146" s="83" t="str">
        <f aca="false">IFERROR(INDEX(p_Cat,MATCH($F1146,p_ID,0)),"غير معرّف")</f>
        <v>إلكترونيات</v>
      </c>
      <c r="I1146" s="81" t="s">
        <v>467</v>
      </c>
      <c r="J1146" s="81" t="s">
        <v>91</v>
      </c>
      <c r="K1146" s="81" t="n">
        <v>1</v>
      </c>
      <c r="L1146" s="84" t="n">
        <f aca="false">IFERROR(INDEX(p_Price,MATCH($F1146,p_ID,0)),0)</f>
        <v>450</v>
      </c>
      <c r="M1146" s="85" t="n">
        <v>0.05</v>
      </c>
      <c r="N1146" s="81" t="s">
        <v>644</v>
      </c>
      <c r="O1146" s="84" t="n">
        <f aca="false">IF($N1146="مرتجع",0,K1146*L1146*(1-M1146))</f>
        <v>427.5</v>
      </c>
      <c r="P1146" s="84" t="n">
        <f aca="false">IF($N1146="مرتجع",0,K1146*IFERROR(INDEX(p_Cost,MATCH($F1146,p_ID,0)),0))</f>
        <v>260</v>
      </c>
      <c r="Q1146" s="84" t="n">
        <f aca="false">O1146-P1146</f>
        <v>167.5</v>
      </c>
      <c r="R1146" s="86" t="n">
        <f aca="false">DATE(YEAR(B1146),MONTH(B1146),1)</f>
        <v>46174</v>
      </c>
      <c r="S1146" s="83" t="str">
        <f aca="false">YEAR(B1146)&amp;"-Q"&amp;ROUNDUP(MONTH(B1146)/3,0)</f>
        <v>2026-Q2</v>
      </c>
      <c r="T1146" s="87" t="n">
        <f aca="false">IF(O1146&gt;0,Q1146/O1146,"")</f>
        <v>0.391812865497076</v>
      </c>
      <c r="U1146" s="84" t="n">
        <f aca="false">IF(O1146&gt;0,O1146,"")</f>
        <v>427.5</v>
      </c>
    </row>
    <row r="1147" customFormat="false" ht="15" hidden="false" customHeight="false" outlineLevel="0" collapsed="false">
      <c r="A1147" s="81" t="s">
        <v>1790</v>
      </c>
      <c r="B1147" s="82" t="n">
        <v>46199</v>
      </c>
      <c r="C1147" s="81" t="s">
        <v>242</v>
      </c>
      <c r="D1147" s="83" t="str">
        <f aca="false">IFERROR(INDEX(c_Name,MATCH($C1147,c_ID,0)),"غير معرّف")</f>
        <v>ياسر الغامدي</v>
      </c>
      <c r="E1147" s="83" t="str">
        <f aca="false">IFERROR(INDEX(c_Region,MATCH($C1147,c_ID,0)),"غير معرّف")</f>
        <v>الوسطى</v>
      </c>
      <c r="F1147" s="81" t="s">
        <v>183</v>
      </c>
      <c r="G1147" s="83" t="str">
        <f aca="false">IFERROR(INDEX(p_Name,MATCH($F1147,p_ID,0)),"غير معرّف")</f>
        <v>سجادة يوغا</v>
      </c>
      <c r="H1147" s="83" t="str">
        <f aca="false">IFERROR(INDEX(p_Cat,MATCH($F1147,p_ID,0)),"غير معرّف")</f>
        <v>رياضة</v>
      </c>
      <c r="I1147" s="81" t="s">
        <v>449</v>
      </c>
      <c r="J1147" s="81" t="s">
        <v>93</v>
      </c>
      <c r="K1147" s="81" t="n">
        <v>1</v>
      </c>
      <c r="L1147" s="84" t="n">
        <f aca="false">IFERROR(INDEX(p_Price,MATCH($F1147,p_ID,0)),0)</f>
        <v>120</v>
      </c>
      <c r="M1147" s="85" t="n">
        <v>0</v>
      </c>
      <c r="N1147" s="81" t="s">
        <v>644</v>
      </c>
      <c r="O1147" s="84" t="n">
        <f aca="false">IF($N1147="مرتجع",0,K1147*L1147*(1-M1147))</f>
        <v>120</v>
      </c>
      <c r="P1147" s="84" t="n">
        <f aca="false">IF($N1147="مرتجع",0,K1147*IFERROR(INDEX(p_Cost,MATCH($F1147,p_ID,0)),0))</f>
        <v>50</v>
      </c>
      <c r="Q1147" s="84" t="n">
        <f aca="false">O1147-P1147</f>
        <v>70</v>
      </c>
      <c r="R1147" s="86" t="n">
        <f aca="false">DATE(YEAR(B1147),MONTH(B1147),1)</f>
        <v>46174</v>
      </c>
      <c r="S1147" s="83" t="str">
        <f aca="false">YEAR(B1147)&amp;"-Q"&amp;ROUNDUP(MONTH(B1147)/3,0)</f>
        <v>2026-Q2</v>
      </c>
      <c r="T1147" s="87" t="n">
        <f aca="false">IF(O1147&gt;0,Q1147/O1147,"")</f>
        <v>0.583333333333333</v>
      </c>
      <c r="U1147" s="84" t="n">
        <f aca="false">IF(O1147&gt;0,O1147,"")</f>
        <v>120</v>
      </c>
    </row>
    <row r="1148" customFormat="false" ht="15" hidden="false" customHeight="false" outlineLevel="0" collapsed="false">
      <c r="A1148" s="81" t="s">
        <v>1791</v>
      </c>
      <c r="B1148" s="82" t="n">
        <v>46199</v>
      </c>
      <c r="C1148" s="81" t="s">
        <v>410</v>
      </c>
      <c r="D1148" s="83" t="str">
        <f aca="false">IFERROR(INDEX(c_Name,MATCH($C1148,c_ID,0)),"غير معرّف")</f>
        <v>لمى الحربي</v>
      </c>
      <c r="E1148" s="83" t="str">
        <f aca="false">IFERROR(INDEX(c_Region,MATCH($C1148,c_ID,0)),"غير معرّف")</f>
        <v>الوسطى</v>
      </c>
      <c r="F1148" s="81" t="s">
        <v>184</v>
      </c>
      <c r="G1148" s="83" t="str">
        <f aca="false">IFERROR(INDEX(p_Name,MATCH($F1148,p_ID,0)),"غير معرّف")</f>
        <v>عطر فاخر</v>
      </c>
      <c r="H1148" s="83" t="str">
        <f aca="false">IFERROR(INDEX(p_Cat,MATCH($F1148,p_ID,0)),"غير معرّف")</f>
        <v>عناية شخصية</v>
      </c>
      <c r="I1148" s="81" t="s">
        <v>443</v>
      </c>
      <c r="J1148" s="81" t="s">
        <v>93</v>
      </c>
      <c r="K1148" s="81" t="n">
        <v>1</v>
      </c>
      <c r="L1148" s="84" t="n">
        <f aca="false">IFERROR(INDEX(p_Price,MATCH($F1148,p_ID,0)),0)</f>
        <v>520</v>
      </c>
      <c r="M1148" s="85" t="n">
        <v>0.15</v>
      </c>
      <c r="N1148" s="81" t="s">
        <v>644</v>
      </c>
      <c r="O1148" s="84" t="n">
        <f aca="false">IF($N1148="مرتجع",0,K1148*L1148*(1-M1148))</f>
        <v>442</v>
      </c>
      <c r="P1148" s="84" t="n">
        <f aca="false">IF($N1148="مرتجع",0,K1148*IFERROR(INDEX(p_Cost,MATCH($F1148,p_ID,0)),0))</f>
        <v>210</v>
      </c>
      <c r="Q1148" s="84" t="n">
        <f aca="false">O1148-P1148</f>
        <v>232</v>
      </c>
      <c r="R1148" s="86" t="n">
        <f aca="false">DATE(YEAR(B1148),MONTH(B1148),1)</f>
        <v>46174</v>
      </c>
      <c r="S1148" s="83" t="str">
        <f aca="false">YEAR(B1148)&amp;"-Q"&amp;ROUNDUP(MONTH(B1148)/3,0)</f>
        <v>2026-Q2</v>
      </c>
      <c r="T1148" s="87" t="n">
        <f aca="false">IF(O1148&gt;0,Q1148/O1148,"")</f>
        <v>0.524886877828054</v>
      </c>
      <c r="U1148" s="84" t="n">
        <f aca="false">IF(O1148&gt;0,O1148,"")</f>
        <v>442</v>
      </c>
    </row>
    <row r="1149" customFormat="false" ht="15" hidden="false" customHeight="false" outlineLevel="0" collapsed="false">
      <c r="A1149" s="81" t="s">
        <v>1792</v>
      </c>
      <c r="B1149" s="82" t="n">
        <v>46200</v>
      </c>
      <c r="C1149" s="81" t="s">
        <v>387</v>
      </c>
      <c r="D1149" s="83" t="str">
        <f aca="false">IFERROR(INDEX(c_Name,MATCH($C1149,c_ID,0)),"غير معرّف")</f>
        <v>لمى الشمري</v>
      </c>
      <c r="E1149" s="83" t="str">
        <f aca="false">IFERROR(INDEX(c_Region,MATCH($C1149,c_ID,0)),"غير معرّف")</f>
        <v>الوسطى</v>
      </c>
      <c r="F1149" s="81" t="s">
        <v>183</v>
      </c>
      <c r="G1149" s="83" t="str">
        <f aca="false">IFERROR(INDEX(p_Name,MATCH($F1149,p_ID,0)),"غير معرّف")</f>
        <v>سجادة يوغا</v>
      </c>
      <c r="H1149" s="83" t="str">
        <f aca="false">IFERROR(INDEX(p_Cat,MATCH($F1149,p_ID,0)),"غير معرّف")</f>
        <v>رياضة</v>
      </c>
      <c r="I1149" s="81" t="s">
        <v>446</v>
      </c>
      <c r="J1149" s="81" t="s">
        <v>91</v>
      </c>
      <c r="K1149" s="81" t="n">
        <v>1</v>
      </c>
      <c r="L1149" s="84" t="n">
        <f aca="false">IFERROR(INDEX(p_Price,MATCH($F1149,p_ID,0)),0)</f>
        <v>120</v>
      </c>
      <c r="M1149" s="85" t="n">
        <v>0</v>
      </c>
      <c r="N1149" s="81" t="s">
        <v>650</v>
      </c>
      <c r="O1149" s="84" t="n">
        <f aca="false">IF($N1149="مرتجع",0,K1149*L1149*(1-M1149))</f>
        <v>0</v>
      </c>
      <c r="P1149" s="84" t="n">
        <f aca="false">IF($N1149="مرتجع",0,K1149*IFERROR(INDEX(p_Cost,MATCH($F1149,p_ID,0)),0))</f>
        <v>0</v>
      </c>
      <c r="Q1149" s="84" t="n">
        <f aca="false">O1149-P1149</f>
        <v>0</v>
      </c>
      <c r="R1149" s="86" t="n">
        <f aca="false">DATE(YEAR(B1149),MONTH(B1149),1)</f>
        <v>46174</v>
      </c>
      <c r="S1149" s="83" t="str">
        <f aca="false">YEAR(B1149)&amp;"-Q"&amp;ROUNDUP(MONTH(B1149)/3,0)</f>
        <v>2026-Q2</v>
      </c>
      <c r="T1149" s="87" t="str">
        <f aca="false">IF(O1149&gt;0,Q1149/O1149,"")</f>
        <v/>
      </c>
      <c r="U1149" s="84" t="str">
        <f aca="false">IF(O1149&gt;0,O1149,"")</f>
        <v/>
      </c>
    </row>
    <row r="1150" customFormat="false" ht="15" hidden="false" customHeight="false" outlineLevel="0" collapsed="false">
      <c r="A1150" s="81" t="s">
        <v>1793</v>
      </c>
      <c r="B1150" s="82" t="n">
        <v>46200</v>
      </c>
      <c r="C1150" s="81" t="s">
        <v>387</v>
      </c>
      <c r="D1150" s="83" t="str">
        <f aca="false">IFERROR(INDEX(c_Name,MATCH($C1150,c_ID,0)),"غير معرّف")</f>
        <v>لمى الشمري</v>
      </c>
      <c r="E1150" s="83" t="str">
        <f aca="false">IFERROR(INDEX(c_Region,MATCH($C1150,c_ID,0)),"غير معرّف")</f>
        <v>الوسطى</v>
      </c>
      <c r="F1150" s="81" t="s">
        <v>169</v>
      </c>
      <c r="G1150" s="83" t="str">
        <f aca="false">IFERROR(INDEX(p_Name,MATCH($F1150,p_ID,0)),"غير معرّف")</f>
        <v>خلاط</v>
      </c>
      <c r="H1150" s="83" t="str">
        <f aca="false">IFERROR(INDEX(p_Cat,MATCH($F1150,p_ID,0)),"غير معرّف")</f>
        <v>أجهزة منزلية</v>
      </c>
      <c r="I1150" s="81" t="s">
        <v>449</v>
      </c>
      <c r="J1150" s="81" t="s">
        <v>91</v>
      </c>
      <c r="K1150" s="81" t="n">
        <v>2</v>
      </c>
      <c r="L1150" s="84" t="n">
        <f aca="false">IFERROR(INDEX(p_Price,MATCH($F1150,p_ID,0)),0)</f>
        <v>300</v>
      </c>
      <c r="M1150" s="85" t="n">
        <v>0</v>
      </c>
      <c r="N1150" s="81" t="s">
        <v>644</v>
      </c>
      <c r="O1150" s="84" t="n">
        <f aca="false">IF($N1150="مرتجع",0,K1150*L1150*(1-M1150))</f>
        <v>600</v>
      </c>
      <c r="P1150" s="84" t="n">
        <f aca="false">IF($N1150="مرتجع",0,K1150*IFERROR(INDEX(p_Cost,MATCH($F1150,p_ID,0)),0))</f>
        <v>350</v>
      </c>
      <c r="Q1150" s="84" t="n">
        <f aca="false">O1150-P1150</f>
        <v>250</v>
      </c>
      <c r="R1150" s="86" t="n">
        <f aca="false">DATE(YEAR(B1150),MONTH(B1150),1)</f>
        <v>46174</v>
      </c>
      <c r="S1150" s="83" t="str">
        <f aca="false">YEAR(B1150)&amp;"-Q"&amp;ROUNDUP(MONTH(B1150)/3,0)</f>
        <v>2026-Q2</v>
      </c>
      <c r="T1150" s="87" t="n">
        <f aca="false">IF(O1150&gt;0,Q1150/O1150,"")</f>
        <v>0.416666666666667</v>
      </c>
      <c r="U1150" s="84" t="n">
        <f aca="false">IF(O1150&gt;0,O1150,"")</f>
        <v>600</v>
      </c>
    </row>
    <row r="1151" customFormat="false" ht="15" hidden="false" customHeight="false" outlineLevel="0" collapsed="false">
      <c r="A1151" s="81" t="s">
        <v>1794</v>
      </c>
      <c r="B1151" s="82" t="n">
        <v>46200</v>
      </c>
      <c r="C1151" s="81" t="s">
        <v>366</v>
      </c>
      <c r="D1151" s="83" t="str">
        <f aca="false">IFERROR(INDEX(c_Name,MATCH($C1151,c_ID,0)),"غير معرّف")</f>
        <v>ناصر العتيبي</v>
      </c>
      <c r="E1151" s="83" t="str">
        <f aca="false">IFERROR(INDEX(c_Region,MATCH($C1151,c_ID,0)),"غير معرّف")</f>
        <v>الغربية</v>
      </c>
      <c r="F1151" s="81" t="s">
        <v>173</v>
      </c>
      <c r="G1151" s="83" t="str">
        <f aca="false">IFERROR(INDEX(p_Name,MATCH($F1151,p_ID,0)),"غير معرّف")</f>
        <v>كرسي مريح</v>
      </c>
      <c r="H1151" s="83" t="str">
        <f aca="false">IFERROR(INDEX(p_Cat,MATCH($F1151,p_ID,0)),"غير معرّف")</f>
        <v>أثاث</v>
      </c>
      <c r="I1151" s="81" t="s">
        <v>455</v>
      </c>
      <c r="J1151" s="81" t="s">
        <v>91</v>
      </c>
      <c r="K1151" s="81" t="n">
        <v>1</v>
      </c>
      <c r="L1151" s="84" t="n">
        <f aca="false">IFERROR(INDEX(p_Price,MATCH($F1151,p_ID,0)),0)</f>
        <v>850</v>
      </c>
      <c r="M1151" s="85" t="n">
        <v>0.15</v>
      </c>
      <c r="N1151" s="81" t="s">
        <v>644</v>
      </c>
      <c r="O1151" s="84" t="n">
        <f aca="false">IF($N1151="مرتجع",0,K1151*L1151*(1-M1151))</f>
        <v>722.5</v>
      </c>
      <c r="P1151" s="84" t="n">
        <f aca="false">IF($N1151="مرتجع",0,K1151*IFERROR(INDEX(p_Cost,MATCH($F1151,p_ID,0)),0))</f>
        <v>480</v>
      </c>
      <c r="Q1151" s="84" t="n">
        <f aca="false">O1151-P1151</f>
        <v>242.5</v>
      </c>
      <c r="R1151" s="86" t="n">
        <f aca="false">DATE(YEAR(B1151),MONTH(B1151),1)</f>
        <v>46174</v>
      </c>
      <c r="S1151" s="83" t="str">
        <f aca="false">YEAR(B1151)&amp;"-Q"&amp;ROUNDUP(MONTH(B1151)/3,0)</f>
        <v>2026-Q2</v>
      </c>
      <c r="T1151" s="87" t="n">
        <f aca="false">IF(O1151&gt;0,Q1151/O1151,"")</f>
        <v>0.335640138408305</v>
      </c>
      <c r="U1151" s="84" t="n">
        <f aca="false">IF(O1151&gt;0,O1151,"")</f>
        <v>722.5</v>
      </c>
    </row>
    <row r="1152" customFormat="false" ht="15" hidden="false" customHeight="false" outlineLevel="0" collapsed="false">
      <c r="A1152" s="81" t="s">
        <v>1795</v>
      </c>
      <c r="B1152" s="82" t="n">
        <v>46201</v>
      </c>
      <c r="C1152" s="81" t="s">
        <v>291</v>
      </c>
      <c r="D1152" s="83" t="str">
        <f aca="false">IFERROR(INDEX(c_Name,MATCH($C1152,c_ID,0)),"غير معرّف")</f>
        <v>ياسر الشمري</v>
      </c>
      <c r="E1152" s="83" t="str">
        <f aca="false">IFERROR(INDEX(c_Region,MATCH($C1152,c_ID,0)),"غير معرّف")</f>
        <v>الوسطى</v>
      </c>
      <c r="F1152" s="81" t="s">
        <v>185</v>
      </c>
      <c r="G1152" s="83" t="str">
        <f aca="false">IFERROR(INDEX(p_Name,MATCH($F1152,p_ID,0)),"غير معرّف")</f>
        <v>ماكينة حلاقة</v>
      </c>
      <c r="H1152" s="83" t="str">
        <f aca="false">IFERROR(INDEX(p_Cat,MATCH($F1152,p_ID,0)),"غير معرّف")</f>
        <v>عناية شخصية</v>
      </c>
      <c r="I1152" s="81" t="s">
        <v>446</v>
      </c>
      <c r="J1152" s="81" t="s">
        <v>93</v>
      </c>
      <c r="K1152" s="81" t="n">
        <v>1</v>
      </c>
      <c r="L1152" s="84" t="n">
        <f aca="false">IFERROR(INDEX(p_Price,MATCH($F1152,p_ID,0)),0)</f>
        <v>340</v>
      </c>
      <c r="M1152" s="85" t="n">
        <v>0.05</v>
      </c>
      <c r="N1152" s="81" t="s">
        <v>644</v>
      </c>
      <c r="O1152" s="84" t="n">
        <f aca="false">IF($N1152="مرتجع",0,K1152*L1152*(1-M1152))</f>
        <v>323</v>
      </c>
      <c r="P1152" s="84" t="n">
        <f aca="false">IF($N1152="مرتجع",0,K1152*IFERROR(INDEX(p_Cost,MATCH($F1152,p_ID,0)),0))</f>
        <v>170</v>
      </c>
      <c r="Q1152" s="84" t="n">
        <f aca="false">O1152-P1152</f>
        <v>153</v>
      </c>
      <c r="R1152" s="86" t="n">
        <f aca="false">DATE(YEAR(B1152),MONTH(B1152),1)</f>
        <v>46174</v>
      </c>
      <c r="S1152" s="83" t="str">
        <f aca="false">YEAR(B1152)&amp;"-Q"&amp;ROUNDUP(MONTH(B1152)/3,0)</f>
        <v>2026-Q2</v>
      </c>
      <c r="T1152" s="87" t="n">
        <f aca="false">IF(O1152&gt;0,Q1152/O1152,"")</f>
        <v>0.473684210526316</v>
      </c>
      <c r="U1152" s="84" t="n">
        <f aca="false">IF(O1152&gt;0,O1152,"")</f>
        <v>323</v>
      </c>
    </row>
    <row r="1153" customFormat="false" ht="15" hidden="false" customHeight="false" outlineLevel="0" collapsed="false">
      <c r="A1153" s="81" t="s">
        <v>1796</v>
      </c>
      <c r="B1153" s="82" t="n">
        <v>46201</v>
      </c>
      <c r="C1153" s="81" t="s">
        <v>255</v>
      </c>
      <c r="D1153" s="83" t="str">
        <f aca="false">IFERROR(INDEX(c_Name,MATCH($C1153,c_ID,0)),"غير معرّف")</f>
        <v>سارة العتيبي</v>
      </c>
      <c r="E1153" s="83" t="str">
        <f aca="false">IFERROR(INDEX(c_Region,MATCH($C1153,c_ID,0)),"غير معرّف")</f>
        <v>الغربية</v>
      </c>
      <c r="F1153" s="81" t="s">
        <v>169</v>
      </c>
      <c r="G1153" s="83" t="str">
        <f aca="false">IFERROR(INDEX(p_Name,MATCH($F1153,p_ID,0)),"غير معرّف")</f>
        <v>خلاط</v>
      </c>
      <c r="H1153" s="83" t="str">
        <f aca="false">IFERROR(INDEX(p_Cat,MATCH($F1153,p_ID,0)),"غير معرّف")</f>
        <v>أجهزة منزلية</v>
      </c>
      <c r="I1153" s="81" t="s">
        <v>458</v>
      </c>
      <c r="J1153" s="81" t="s">
        <v>93</v>
      </c>
      <c r="K1153" s="81" t="n">
        <v>1</v>
      </c>
      <c r="L1153" s="84" t="n">
        <f aca="false">IFERROR(INDEX(p_Price,MATCH($F1153,p_ID,0)),0)</f>
        <v>300</v>
      </c>
      <c r="M1153" s="85" t="n">
        <v>0.05</v>
      </c>
      <c r="N1153" s="81" t="s">
        <v>644</v>
      </c>
      <c r="O1153" s="84" t="n">
        <f aca="false">IF($N1153="مرتجع",0,K1153*L1153*(1-M1153))</f>
        <v>285</v>
      </c>
      <c r="P1153" s="84" t="n">
        <f aca="false">IF($N1153="مرتجع",0,K1153*IFERROR(INDEX(p_Cost,MATCH($F1153,p_ID,0)),0))</f>
        <v>175</v>
      </c>
      <c r="Q1153" s="84" t="n">
        <f aca="false">O1153-P1153</f>
        <v>110</v>
      </c>
      <c r="R1153" s="86" t="n">
        <f aca="false">DATE(YEAR(B1153),MONTH(B1153),1)</f>
        <v>46174</v>
      </c>
      <c r="S1153" s="83" t="str">
        <f aca="false">YEAR(B1153)&amp;"-Q"&amp;ROUNDUP(MONTH(B1153)/3,0)</f>
        <v>2026-Q2</v>
      </c>
      <c r="T1153" s="87" t="n">
        <f aca="false">IF(O1153&gt;0,Q1153/O1153,"")</f>
        <v>0.385964912280702</v>
      </c>
      <c r="U1153" s="84" t="n">
        <f aca="false">IF(O1153&gt;0,O1153,"")</f>
        <v>285</v>
      </c>
    </row>
    <row r="1154" customFormat="false" ht="15" hidden="false" customHeight="false" outlineLevel="0" collapsed="false">
      <c r="A1154" s="81" t="s">
        <v>1797</v>
      </c>
      <c r="B1154" s="82" t="n">
        <v>46201</v>
      </c>
      <c r="C1154" s="81" t="s">
        <v>423</v>
      </c>
      <c r="D1154" s="83" t="str">
        <f aca="false">IFERROR(INDEX(c_Name,MATCH($C1154,c_ID,0)),"غير معرّف")</f>
        <v>ناصر المطيري</v>
      </c>
      <c r="E1154" s="83" t="str">
        <f aca="false">IFERROR(INDEX(c_Region,MATCH($C1154,c_ID,0)),"غير معرّف")</f>
        <v>الغربية</v>
      </c>
      <c r="F1154" s="81" t="s">
        <v>179</v>
      </c>
      <c r="G1154" s="83" t="str">
        <f aca="false">IFERROR(INDEX(p_Name,MATCH($F1154,p_ID,0)),"غير معرّف")</f>
        <v>طقم أدوات مكتبية</v>
      </c>
      <c r="H1154" s="83" t="str">
        <f aca="false">IFERROR(INDEX(p_Cat,MATCH($F1154,p_ID,0)),"غير معرّف")</f>
        <v>مستلزمات مكتبية</v>
      </c>
      <c r="I1154" s="81" t="s">
        <v>455</v>
      </c>
      <c r="J1154" s="81" t="s">
        <v>93</v>
      </c>
      <c r="K1154" s="81" t="n">
        <v>3</v>
      </c>
      <c r="L1154" s="84" t="n">
        <f aca="false">IFERROR(INDEX(p_Price,MATCH($F1154,p_ID,0)),0)</f>
        <v>90</v>
      </c>
      <c r="M1154" s="85" t="n">
        <v>0</v>
      </c>
      <c r="N1154" s="81" t="s">
        <v>644</v>
      </c>
      <c r="O1154" s="84" t="n">
        <f aca="false">IF($N1154="مرتجع",0,K1154*L1154*(1-M1154))</f>
        <v>270</v>
      </c>
      <c r="P1154" s="84" t="n">
        <f aca="false">IF($N1154="مرتجع",0,K1154*IFERROR(INDEX(p_Cost,MATCH($F1154,p_ID,0)),0))</f>
        <v>135</v>
      </c>
      <c r="Q1154" s="84" t="n">
        <f aca="false">O1154-P1154</f>
        <v>135</v>
      </c>
      <c r="R1154" s="86" t="n">
        <f aca="false">DATE(YEAR(B1154),MONTH(B1154),1)</f>
        <v>46174</v>
      </c>
      <c r="S1154" s="83" t="str">
        <f aca="false">YEAR(B1154)&amp;"-Q"&amp;ROUNDUP(MONTH(B1154)/3,0)</f>
        <v>2026-Q2</v>
      </c>
      <c r="T1154" s="87" t="n">
        <f aca="false">IF(O1154&gt;0,Q1154/O1154,"")</f>
        <v>0.5</v>
      </c>
      <c r="U1154" s="84" t="n">
        <f aca="false">IF(O1154&gt;0,O1154,"")</f>
        <v>270</v>
      </c>
    </row>
    <row r="1155" customFormat="false" ht="15" hidden="false" customHeight="false" outlineLevel="0" collapsed="false">
      <c r="A1155" s="81" t="s">
        <v>1798</v>
      </c>
      <c r="B1155" s="82" t="n">
        <v>46202</v>
      </c>
      <c r="C1155" s="81" t="s">
        <v>404</v>
      </c>
      <c r="D1155" s="83" t="str">
        <f aca="false">IFERROR(INDEX(c_Name,MATCH($C1155,c_ID,0)),"غير معرّف")</f>
        <v>عبدالله الحسيني</v>
      </c>
      <c r="E1155" s="83" t="str">
        <f aca="false">IFERROR(INDEX(c_Region,MATCH($C1155,c_ID,0)),"غير معرّف")</f>
        <v>الشرقية</v>
      </c>
      <c r="F1155" s="81" t="s">
        <v>178</v>
      </c>
      <c r="G1155" s="83" t="str">
        <f aca="false">IFERROR(INDEX(p_Name,MATCH($F1155,p_ID,0)),"غير معرّف")</f>
        <v>حقيبة لابتوب</v>
      </c>
      <c r="H1155" s="83" t="str">
        <f aca="false">IFERROR(INDEX(p_Cat,MATCH($F1155,p_ID,0)),"غير معرّف")</f>
        <v>مستلزمات مكتبية</v>
      </c>
      <c r="I1155" s="81" t="s">
        <v>463</v>
      </c>
      <c r="J1155" s="81" t="s">
        <v>93</v>
      </c>
      <c r="K1155" s="81" t="n">
        <v>1</v>
      </c>
      <c r="L1155" s="84" t="n">
        <f aca="false">IFERROR(INDEX(p_Price,MATCH($F1155,p_ID,0)),0)</f>
        <v>260</v>
      </c>
      <c r="M1155" s="85" t="n">
        <v>0.2</v>
      </c>
      <c r="N1155" s="81" t="s">
        <v>644</v>
      </c>
      <c r="O1155" s="84" t="n">
        <f aca="false">IF($N1155="مرتجع",0,K1155*L1155*(1-M1155))</f>
        <v>208</v>
      </c>
      <c r="P1155" s="84" t="n">
        <f aca="false">IF($N1155="مرتجع",0,K1155*IFERROR(INDEX(p_Cost,MATCH($F1155,p_ID,0)),0))</f>
        <v>120</v>
      </c>
      <c r="Q1155" s="84" t="n">
        <f aca="false">O1155-P1155</f>
        <v>88</v>
      </c>
      <c r="R1155" s="86" t="n">
        <f aca="false">DATE(YEAR(B1155),MONTH(B1155),1)</f>
        <v>46174</v>
      </c>
      <c r="S1155" s="83" t="str">
        <f aca="false">YEAR(B1155)&amp;"-Q"&amp;ROUNDUP(MONTH(B1155)/3,0)</f>
        <v>2026-Q2</v>
      </c>
      <c r="T1155" s="87" t="n">
        <f aca="false">IF(O1155&gt;0,Q1155/O1155,"")</f>
        <v>0.423076923076923</v>
      </c>
      <c r="U1155" s="84" t="n">
        <f aca="false">IF(O1155&gt;0,O1155,"")</f>
        <v>208</v>
      </c>
    </row>
    <row r="1156" customFormat="false" ht="15" hidden="false" customHeight="false" outlineLevel="0" collapsed="false">
      <c r="A1156" s="81" t="s">
        <v>1799</v>
      </c>
      <c r="B1156" s="82" t="n">
        <v>46202</v>
      </c>
      <c r="C1156" s="81" t="s">
        <v>270</v>
      </c>
      <c r="D1156" s="83" t="str">
        <f aca="false">IFERROR(INDEX(c_Name,MATCH($C1156,c_ID,0)),"غير معرّف")</f>
        <v>ريم التميمي</v>
      </c>
      <c r="E1156" s="83" t="str">
        <f aca="false">IFERROR(INDEX(c_Region,MATCH($C1156,c_ID,0)),"غير معرّف")</f>
        <v>الشرقية</v>
      </c>
      <c r="F1156" s="81" t="s">
        <v>171</v>
      </c>
      <c r="G1156" s="83" t="str">
        <f aca="false">IFERROR(INDEX(p_Name,MATCH($F1156,p_ID,0)),"غير معرّف")</f>
        <v>قلاية هوائية</v>
      </c>
      <c r="H1156" s="83" t="str">
        <f aca="false">IFERROR(INDEX(p_Cat,MATCH($F1156,p_ID,0)),"غير معرّف")</f>
        <v>أجهزة منزلية</v>
      </c>
      <c r="I1156" s="81" t="s">
        <v>461</v>
      </c>
      <c r="J1156" s="81" t="s">
        <v>93</v>
      </c>
      <c r="K1156" s="81" t="n">
        <v>1</v>
      </c>
      <c r="L1156" s="84" t="n">
        <f aca="false">IFERROR(INDEX(p_Price,MATCH($F1156,p_ID,0)),0)</f>
        <v>520</v>
      </c>
      <c r="M1156" s="85" t="n">
        <v>0.15</v>
      </c>
      <c r="N1156" s="81" t="s">
        <v>644</v>
      </c>
      <c r="O1156" s="84" t="n">
        <f aca="false">IF($N1156="مرتجع",0,K1156*L1156*(1-M1156))</f>
        <v>442</v>
      </c>
      <c r="P1156" s="84" t="n">
        <f aca="false">IF($N1156="مرتجع",0,K1156*IFERROR(INDEX(p_Cost,MATCH($F1156,p_ID,0)),0))</f>
        <v>300</v>
      </c>
      <c r="Q1156" s="84" t="n">
        <f aca="false">O1156-P1156</f>
        <v>142</v>
      </c>
      <c r="R1156" s="86" t="n">
        <f aca="false">DATE(YEAR(B1156),MONTH(B1156),1)</f>
        <v>46174</v>
      </c>
      <c r="S1156" s="83" t="str">
        <f aca="false">YEAR(B1156)&amp;"-Q"&amp;ROUNDUP(MONTH(B1156)/3,0)</f>
        <v>2026-Q2</v>
      </c>
      <c r="T1156" s="87" t="n">
        <f aca="false">IF(O1156&gt;0,Q1156/O1156,"")</f>
        <v>0.321266968325792</v>
      </c>
      <c r="U1156" s="84" t="n">
        <f aca="false">IF(O1156&gt;0,O1156,"")</f>
        <v>442</v>
      </c>
    </row>
    <row r="1157" customFormat="false" ht="15" hidden="false" customHeight="false" outlineLevel="0" collapsed="false">
      <c r="A1157" s="81" t="s">
        <v>1800</v>
      </c>
      <c r="B1157" s="82" t="n">
        <v>46202</v>
      </c>
      <c r="C1157" s="81" t="s">
        <v>294</v>
      </c>
      <c r="D1157" s="83" t="str">
        <f aca="false">IFERROR(INDEX(c_Name,MATCH($C1157,c_ID,0)),"غير معرّف")</f>
        <v>خالد البلوي</v>
      </c>
      <c r="E1157" s="83" t="str">
        <f aca="false">IFERROR(INDEX(c_Region,MATCH($C1157,c_ID,0)),"غير معرّف")</f>
        <v>الوسطى</v>
      </c>
      <c r="F1157" s="81" t="s">
        <v>164</v>
      </c>
      <c r="G1157" s="83" t="str">
        <f aca="false">IFERROR(INDEX(p_Name,MATCH($F1157,p_ID,0)),"غير معرّف")</f>
        <v>هاتف ذكي</v>
      </c>
      <c r="H1157" s="83" t="str">
        <f aca="false">IFERROR(INDEX(p_Cat,MATCH($F1157,p_ID,0)),"غير معرّف")</f>
        <v>إلكترونيات</v>
      </c>
      <c r="I1157" s="81" t="s">
        <v>443</v>
      </c>
      <c r="J1157" s="81" t="s">
        <v>95</v>
      </c>
      <c r="K1157" s="81" t="n">
        <v>8</v>
      </c>
      <c r="L1157" s="84" t="n">
        <f aca="false">IFERROR(INDEX(p_Price,MATCH($F1157,p_ID,0)),0)</f>
        <v>2400</v>
      </c>
      <c r="M1157" s="85" t="n">
        <v>0.15</v>
      </c>
      <c r="N1157" s="81" t="s">
        <v>644</v>
      </c>
      <c r="O1157" s="84" t="n">
        <f aca="false">IF($N1157="مرتجع",0,K1157*L1157*(1-M1157))</f>
        <v>16320</v>
      </c>
      <c r="P1157" s="84" t="n">
        <f aca="false">IF($N1157="مرتجع",0,K1157*IFERROR(INDEX(p_Cost,MATCH($F1157,p_ID,0)),0))</f>
        <v>14000</v>
      </c>
      <c r="Q1157" s="84" t="n">
        <f aca="false">O1157-P1157</f>
        <v>2320</v>
      </c>
      <c r="R1157" s="86" t="n">
        <f aca="false">DATE(YEAR(B1157),MONTH(B1157),1)</f>
        <v>46174</v>
      </c>
      <c r="S1157" s="83" t="str">
        <f aca="false">YEAR(B1157)&amp;"-Q"&amp;ROUNDUP(MONTH(B1157)/3,0)</f>
        <v>2026-Q2</v>
      </c>
      <c r="T1157" s="87" t="n">
        <f aca="false">IF(O1157&gt;0,Q1157/O1157,"")</f>
        <v>0.142156862745098</v>
      </c>
      <c r="U1157" s="84" t="n">
        <f aca="false">IF(O1157&gt;0,O1157,"")</f>
        <v>16320</v>
      </c>
    </row>
    <row r="1158" customFormat="false" ht="15" hidden="false" customHeight="false" outlineLevel="0" collapsed="false">
      <c r="A1158" s="81" t="s">
        <v>1801</v>
      </c>
      <c r="B1158" s="82" t="n">
        <v>46203</v>
      </c>
      <c r="C1158" s="81" t="s">
        <v>430</v>
      </c>
      <c r="D1158" s="83" t="str">
        <f aca="false">IFERROR(INDEX(c_Name,MATCH($C1158,c_ID,0)),"غير معرّف")</f>
        <v>ليلى الحربي</v>
      </c>
      <c r="E1158" s="83" t="str">
        <f aca="false">IFERROR(INDEX(c_Region,MATCH($C1158,c_ID,0)),"غير معرّف")</f>
        <v>الجنوبية</v>
      </c>
      <c r="F1158" s="81" t="s">
        <v>178</v>
      </c>
      <c r="G1158" s="83" t="str">
        <f aca="false">IFERROR(INDEX(p_Name,MATCH($F1158,p_ID,0)),"غير معرّف")</f>
        <v>حقيبة لابتوب</v>
      </c>
      <c r="H1158" s="83" t="str">
        <f aca="false">IFERROR(INDEX(p_Cat,MATCH($F1158,p_ID,0)),"غير معرّف")</f>
        <v>مستلزمات مكتبية</v>
      </c>
      <c r="I1158" s="81" t="s">
        <v>467</v>
      </c>
      <c r="J1158" s="81" t="s">
        <v>95</v>
      </c>
      <c r="K1158" s="81" t="n">
        <v>7</v>
      </c>
      <c r="L1158" s="84" t="n">
        <f aca="false">IFERROR(INDEX(p_Price,MATCH($F1158,p_ID,0)),0)</f>
        <v>260</v>
      </c>
      <c r="M1158" s="85" t="n">
        <v>0.05</v>
      </c>
      <c r="N1158" s="81" t="s">
        <v>644</v>
      </c>
      <c r="O1158" s="84" t="n">
        <f aca="false">IF($N1158="مرتجع",0,K1158*L1158*(1-M1158))</f>
        <v>1729</v>
      </c>
      <c r="P1158" s="84" t="n">
        <f aca="false">IF($N1158="مرتجع",0,K1158*IFERROR(INDEX(p_Cost,MATCH($F1158,p_ID,0)),0))</f>
        <v>840</v>
      </c>
      <c r="Q1158" s="84" t="n">
        <f aca="false">O1158-P1158</f>
        <v>889</v>
      </c>
      <c r="R1158" s="86" t="n">
        <f aca="false">DATE(YEAR(B1158),MONTH(B1158),1)</f>
        <v>46174</v>
      </c>
      <c r="S1158" s="83" t="str">
        <f aca="false">YEAR(B1158)&amp;"-Q"&amp;ROUNDUP(MONTH(B1158)/3,0)</f>
        <v>2026-Q2</v>
      </c>
      <c r="T1158" s="87" t="n">
        <f aca="false">IF(O1158&gt;0,Q1158/O1158,"")</f>
        <v>0.51417004048583</v>
      </c>
      <c r="U1158" s="84" t="n">
        <f aca="false">IF(O1158&gt;0,O1158,"")</f>
        <v>1729</v>
      </c>
    </row>
    <row r="1159" customFormat="false" ht="15" hidden="false" customHeight="false" outlineLevel="0" collapsed="false">
      <c r="A1159" s="81" t="s">
        <v>1802</v>
      </c>
      <c r="B1159" s="82" t="n">
        <v>46204</v>
      </c>
      <c r="C1159" s="81" t="s">
        <v>296</v>
      </c>
      <c r="D1159" s="83" t="str">
        <f aca="false">IFERROR(INDEX(c_Name,MATCH($C1159,c_ID,0)),"غير معرّف")</f>
        <v>محمد الزهراني</v>
      </c>
      <c r="E1159" s="83" t="str">
        <f aca="false">IFERROR(INDEX(c_Region,MATCH($C1159,c_ID,0)),"غير معرّف")</f>
        <v>الغربية</v>
      </c>
      <c r="F1159" s="81" t="s">
        <v>172</v>
      </c>
      <c r="G1159" s="83" t="str">
        <f aca="false">IFERROR(INDEX(p_Name,MATCH($F1159,p_ID,0)),"غير معرّف")</f>
        <v>مكتب عمل</v>
      </c>
      <c r="H1159" s="83" t="str">
        <f aca="false">IFERROR(INDEX(p_Cat,MATCH($F1159,p_ID,0)),"غير معرّف")</f>
        <v>أثاث</v>
      </c>
      <c r="I1159" s="81" t="s">
        <v>455</v>
      </c>
      <c r="J1159" s="81" t="s">
        <v>91</v>
      </c>
      <c r="K1159" s="81" t="n">
        <v>1</v>
      </c>
      <c r="L1159" s="84" t="n">
        <f aca="false">IFERROR(INDEX(p_Price,MATCH($F1159,p_ID,0)),0)</f>
        <v>1200</v>
      </c>
      <c r="M1159" s="85" t="n">
        <v>0</v>
      </c>
      <c r="N1159" s="81" t="s">
        <v>644</v>
      </c>
      <c r="O1159" s="84" t="n">
        <f aca="false">IF($N1159="مرتجع",0,K1159*L1159*(1-M1159))</f>
        <v>1200</v>
      </c>
      <c r="P1159" s="84" t="n">
        <f aca="false">IF($N1159="مرتجع",0,K1159*IFERROR(INDEX(p_Cost,MATCH($F1159,p_ID,0)),0))</f>
        <v>700</v>
      </c>
      <c r="Q1159" s="84" t="n">
        <f aca="false">O1159-P1159</f>
        <v>500</v>
      </c>
      <c r="R1159" s="86" t="n">
        <f aca="false">DATE(YEAR(B1159),MONTH(B1159),1)</f>
        <v>46204</v>
      </c>
      <c r="S1159" s="83" t="str">
        <f aca="false">YEAR(B1159)&amp;"-Q"&amp;ROUNDUP(MONTH(B1159)/3,0)</f>
        <v>2026-Q3</v>
      </c>
      <c r="T1159" s="87" t="n">
        <f aca="false">IF(O1159&gt;0,Q1159/O1159,"")</f>
        <v>0.416666666666667</v>
      </c>
      <c r="U1159" s="84" t="n">
        <f aca="false">IF(O1159&gt;0,O1159,"")</f>
        <v>1200</v>
      </c>
    </row>
    <row r="1160" customFormat="false" ht="15" hidden="false" customHeight="false" outlineLevel="0" collapsed="false">
      <c r="A1160" s="81" t="s">
        <v>1803</v>
      </c>
      <c r="B1160" s="82" t="n">
        <v>46204</v>
      </c>
      <c r="C1160" s="81" t="s">
        <v>334</v>
      </c>
      <c r="D1160" s="83" t="str">
        <f aca="false">IFERROR(INDEX(c_Name,MATCH($C1160,c_ID,0)),"غير معرّف")</f>
        <v>ناصر الغامدي</v>
      </c>
      <c r="E1160" s="83" t="str">
        <f aca="false">IFERROR(INDEX(c_Region,MATCH($C1160,c_ID,0)),"غير معرّف")</f>
        <v>الغربية</v>
      </c>
      <c r="F1160" s="81" t="s">
        <v>174</v>
      </c>
      <c r="G1160" s="83" t="str">
        <f aca="false">IFERROR(INDEX(p_Name,MATCH($F1160,p_ID,0)),"غير معرّف")</f>
        <v>خزانة ملفات</v>
      </c>
      <c r="H1160" s="83" t="str">
        <f aca="false">IFERROR(INDEX(p_Cat,MATCH($F1160,p_ID,0)),"غير معرّف")</f>
        <v>أثاث</v>
      </c>
      <c r="I1160" s="81" t="s">
        <v>452</v>
      </c>
      <c r="J1160" s="81" t="s">
        <v>93</v>
      </c>
      <c r="K1160" s="81" t="n">
        <v>2</v>
      </c>
      <c r="L1160" s="84" t="n">
        <f aca="false">IFERROR(INDEX(p_Price,MATCH($F1160,p_ID,0)),0)</f>
        <v>700</v>
      </c>
      <c r="M1160" s="85" t="n">
        <v>0.1</v>
      </c>
      <c r="N1160" s="81" t="s">
        <v>644</v>
      </c>
      <c r="O1160" s="84" t="n">
        <f aca="false">IF($N1160="مرتجع",0,K1160*L1160*(1-M1160))</f>
        <v>1260</v>
      </c>
      <c r="P1160" s="84" t="n">
        <f aca="false">IF($N1160="مرتجع",0,K1160*IFERROR(INDEX(p_Cost,MATCH($F1160,p_ID,0)),0))</f>
        <v>820</v>
      </c>
      <c r="Q1160" s="84" t="n">
        <f aca="false">O1160-P1160</f>
        <v>440</v>
      </c>
      <c r="R1160" s="86" t="n">
        <f aca="false">DATE(YEAR(B1160),MONTH(B1160),1)</f>
        <v>46204</v>
      </c>
      <c r="S1160" s="83" t="str">
        <f aca="false">YEAR(B1160)&amp;"-Q"&amp;ROUNDUP(MONTH(B1160)/3,0)</f>
        <v>2026-Q3</v>
      </c>
      <c r="T1160" s="87" t="n">
        <f aca="false">IF(O1160&gt;0,Q1160/O1160,"")</f>
        <v>0.349206349206349</v>
      </c>
      <c r="U1160" s="84" t="n">
        <f aca="false">IF(O1160&gt;0,O1160,"")</f>
        <v>1260</v>
      </c>
    </row>
    <row r="1161" customFormat="false" ht="15" hidden="false" customHeight="false" outlineLevel="0" collapsed="false">
      <c r="A1161" s="81" t="s">
        <v>1804</v>
      </c>
      <c r="B1161" s="82" t="n">
        <v>46204</v>
      </c>
      <c r="C1161" s="81" t="s">
        <v>299</v>
      </c>
      <c r="D1161" s="83" t="str">
        <f aca="false">IFERROR(INDEX(c_Name,MATCH($C1161,c_ID,0)),"غير معرّف")</f>
        <v>جود الخالدي</v>
      </c>
      <c r="E1161" s="83" t="str">
        <f aca="false">IFERROR(INDEX(c_Region,MATCH($C1161,c_ID,0)),"غير معرّف")</f>
        <v>الوسطى</v>
      </c>
      <c r="F1161" s="81" t="s">
        <v>166</v>
      </c>
      <c r="G1161" s="83" t="str">
        <f aca="false">IFERROR(INDEX(p_Name,MATCH($F1161,p_ID,0)),"غير معرّف")</f>
        <v>سماعات لاسلكية</v>
      </c>
      <c r="H1161" s="83" t="str">
        <f aca="false">IFERROR(INDEX(p_Cat,MATCH($F1161,p_ID,0)),"غير معرّف")</f>
        <v>إلكترونيات</v>
      </c>
      <c r="I1161" s="81" t="s">
        <v>446</v>
      </c>
      <c r="J1161" s="81" t="s">
        <v>91</v>
      </c>
      <c r="K1161" s="81" t="n">
        <v>1</v>
      </c>
      <c r="L1161" s="84" t="n">
        <f aca="false">IFERROR(INDEX(p_Price,MATCH($F1161,p_ID,0)),0)</f>
        <v>450</v>
      </c>
      <c r="M1161" s="85" t="n">
        <v>0</v>
      </c>
      <c r="N1161" s="81" t="s">
        <v>644</v>
      </c>
      <c r="O1161" s="84" t="n">
        <f aca="false">IF($N1161="مرتجع",0,K1161*L1161*(1-M1161))</f>
        <v>450</v>
      </c>
      <c r="P1161" s="84" t="n">
        <f aca="false">IF($N1161="مرتجع",0,K1161*IFERROR(INDEX(p_Cost,MATCH($F1161,p_ID,0)),0))</f>
        <v>260</v>
      </c>
      <c r="Q1161" s="84" t="n">
        <f aca="false">O1161-P1161</f>
        <v>190</v>
      </c>
      <c r="R1161" s="86" t="n">
        <f aca="false">DATE(YEAR(B1161),MONTH(B1161),1)</f>
        <v>46204</v>
      </c>
      <c r="S1161" s="83" t="str">
        <f aca="false">YEAR(B1161)&amp;"-Q"&amp;ROUNDUP(MONTH(B1161)/3,0)</f>
        <v>2026-Q3</v>
      </c>
      <c r="T1161" s="87" t="n">
        <f aca="false">IF(O1161&gt;0,Q1161/O1161,"")</f>
        <v>0.422222222222222</v>
      </c>
      <c r="U1161" s="84" t="n">
        <f aca="false">IF(O1161&gt;0,O1161,"")</f>
        <v>450</v>
      </c>
    </row>
    <row r="1162" customFormat="false" ht="15" hidden="false" customHeight="false" outlineLevel="0" collapsed="false">
      <c r="A1162" s="81" t="s">
        <v>1805</v>
      </c>
      <c r="B1162" s="82" t="n">
        <v>46204</v>
      </c>
      <c r="C1162" s="81" t="s">
        <v>269</v>
      </c>
      <c r="D1162" s="83" t="str">
        <f aca="false">IFERROR(INDEX(c_Name,MATCH($C1162,c_ID,0)),"غير معرّف")</f>
        <v>أحمد السبيعي</v>
      </c>
      <c r="E1162" s="83" t="str">
        <f aca="false">IFERROR(INDEX(c_Region,MATCH($C1162,c_ID,0)),"غير معرّف")</f>
        <v>الشرقية</v>
      </c>
      <c r="F1162" s="81" t="s">
        <v>184</v>
      </c>
      <c r="G1162" s="83" t="str">
        <f aca="false">IFERROR(INDEX(p_Name,MATCH($F1162,p_ID,0)),"غير معرّف")</f>
        <v>عطر فاخر</v>
      </c>
      <c r="H1162" s="83" t="str">
        <f aca="false">IFERROR(INDEX(p_Cat,MATCH($F1162,p_ID,0)),"غير معرّف")</f>
        <v>عناية شخصية</v>
      </c>
      <c r="I1162" s="81" t="s">
        <v>463</v>
      </c>
      <c r="J1162" s="81" t="s">
        <v>93</v>
      </c>
      <c r="K1162" s="81" t="n">
        <v>1</v>
      </c>
      <c r="L1162" s="84" t="n">
        <f aca="false">IFERROR(INDEX(p_Price,MATCH($F1162,p_ID,0)),0)</f>
        <v>520</v>
      </c>
      <c r="M1162" s="85" t="n">
        <v>0.15</v>
      </c>
      <c r="N1162" s="81" t="s">
        <v>644</v>
      </c>
      <c r="O1162" s="84" t="n">
        <f aca="false">IF($N1162="مرتجع",0,K1162*L1162*(1-M1162))</f>
        <v>442</v>
      </c>
      <c r="P1162" s="84" t="n">
        <f aca="false">IF($N1162="مرتجع",0,K1162*IFERROR(INDEX(p_Cost,MATCH($F1162,p_ID,0)),0))</f>
        <v>210</v>
      </c>
      <c r="Q1162" s="84" t="n">
        <f aca="false">O1162-P1162</f>
        <v>232</v>
      </c>
      <c r="R1162" s="86" t="n">
        <f aca="false">DATE(YEAR(B1162),MONTH(B1162),1)</f>
        <v>46204</v>
      </c>
      <c r="S1162" s="83" t="str">
        <f aca="false">YEAR(B1162)&amp;"-Q"&amp;ROUNDUP(MONTH(B1162)/3,0)</f>
        <v>2026-Q3</v>
      </c>
      <c r="T1162" s="87" t="n">
        <f aca="false">IF(O1162&gt;0,Q1162/O1162,"")</f>
        <v>0.524886877828054</v>
      </c>
      <c r="U1162" s="84" t="n">
        <f aca="false">IF(O1162&gt;0,O1162,"")</f>
        <v>442</v>
      </c>
    </row>
    <row r="1163" customFormat="false" ht="15" hidden="false" customHeight="false" outlineLevel="0" collapsed="false">
      <c r="A1163" s="81" t="s">
        <v>1806</v>
      </c>
      <c r="B1163" s="82" t="n">
        <v>46205</v>
      </c>
      <c r="C1163" s="81" t="s">
        <v>387</v>
      </c>
      <c r="D1163" s="83" t="str">
        <f aca="false">IFERROR(INDEX(c_Name,MATCH($C1163,c_ID,0)),"غير معرّف")</f>
        <v>لمى الشمري</v>
      </c>
      <c r="E1163" s="83" t="str">
        <f aca="false">IFERROR(INDEX(c_Region,MATCH($C1163,c_ID,0)),"غير معرّف")</f>
        <v>الوسطى</v>
      </c>
      <c r="F1163" s="81" t="s">
        <v>167</v>
      </c>
      <c r="G1163" s="83" t="str">
        <f aca="false">IFERROR(INDEX(p_Name,MATCH($F1163,p_ID,0)),"غير معرّف")</f>
        <v>شاشة 27 بوصة</v>
      </c>
      <c r="H1163" s="83" t="str">
        <f aca="false">IFERROR(INDEX(p_Cat,MATCH($F1163,p_ID,0)),"غير معرّف")</f>
        <v>إلكترونيات</v>
      </c>
      <c r="I1163" s="81" t="s">
        <v>446</v>
      </c>
      <c r="J1163" s="81" t="s">
        <v>91</v>
      </c>
      <c r="K1163" s="81" t="n">
        <v>2</v>
      </c>
      <c r="L1163" s="84" t="n">
        <f aca="false">IFERROR(INDEX(p_Price,MATCH($F1163,p_ID,0)),0)</f>
        <v>1100</v>
      </c>
      <c r="M1163" s="85" t="n">
        <v>0</v>
      </c>
      <c r="N1163" s="81" t="s">
        <v>644</v>
      </c>
      <c r="O1163" s="84" t="n">
        <f aca="false">IF($N1163="مرتجع",0,K1163*L1163*(1-M1163))</f>
        <v>2200</v>
      </c>
      <c r="P1163" s="84" t="n">
        <f aca="false">IF($N1163="مرتجع",0,K1163*IFERROR(INDEX(p_Cost,MATCH($F1163,p_ID,0)),0))</f>
        <v>1560</v>
      </c>
      <c r="Q1163" s="84" t="n">
        <f aca="false">O1163-P1163</f>
        <v>640</v>
      </c>
      <c r="R1163" s="86" t="n">
        <f aca="false">DATE(YEAR(B1163),MONTH(B1163),1)</f>
        <v>46204</v>
      </c>
      <c r="S1163" s="83" t="str">
        <f aca="false">YEAR(B1163)&amp;"-Q"&amp;ROUNDUP(MONTH(B1163)/3,0)</f>
        <v>2026-Q3</v>
      </c>
      <c r="T1163" s="87" t="n">
        <f aca="false">IF(O1163&gt;0,Q1163/O1163,"")</f>
        <v>0.290909090909091</v>
      </c>
      <c r="U1163" s="84" t="n">
        <f aca="false">IF(O1163&gt;0,O1163,"")</f>
        <v>2200</v>
      </c>
    </row>
    <row r="1164" customFormat="false" ht="15" hidden="false" customHeight="false" outlineLevel="0" collapsed="false">
      <c r="A1164" s="81" t="s">
        <v>1807</v>
      </c>
      <c r="B1164" s="82" t="n">
        <v>46205</v>
      </c>
      <c r="C1164" s="81" t="s">
        <v>234</v>
      </c>
      <c r="D1164" s="83" t="str">
        <f aca="false">IFERROR(INDEX(c_Name,MATCH($C1164,c_ID,0)),"غير معرّف")</f>
        <v>هند الخالدي</v>
      </c>
      <c r="E1164" s="83" t="str">
        <f aca="false">IFERROR(INDEX(c_Region,MATCH($C1164,c_ID,0)),"غير معرّف")</f>
        <v>الوسطى</v>
      </c>
      <c r="F1164" s="81" t="s">
        <v>187</v>
      </c>
      <c r="G1164" s="83" t="str">
        <f aca="false">IFERROR(INDEX(p_Name,MATCH($F1164,p_ID,0)),"غير معرّف")</f>
        <v>جهاز تدليك</v>
      </c>
      <c r="H1164" s="83" t="str">
        <f aca="false">IFERROR(INDEX(p_Cat,MATCH($F1164,p_ID,0)),"غير معرّف")</f>
        <v>عناية شخصية</v>
      </c>
      <c r="I1164" s="81" t="s">
        <v>446</v>
      </c>
      <c r="J1164" s="81" t="s">
        <v>93</v>
      </c>
      <c r="K1164" s="81" t="n">
        <v>1</v>
      </c>
      <c r="L1164" s="84" t="n">
        <f aca="false">IFERROR(INDEX(p_Price,MATCH($F1164,p_ID,0)),0)</f>
        <v>600</v>
      </c>
      <c r="M1164" s="85" t="n">
        <v>0</v>
      </c>
      <c r="N1164" s="81" t="s">
        <v>650</v>
      </c>
      <c r="O1164" s="84" t="n">
        <f aca="false">IF($N1164="مرتجع",0,K1164*L1164*(1-M1164))</f>
        <v>0</v>
      </c>
      <c r="P1164" s="84" t="n">
        <f aca="false">IF($N1164="مرتجع",0,K1164*IFERROR(INDEX(p_Cost,MATCH($F1164,p_ID,0)),0))</f>
        <v>0</v>
      </c>
      <c r="Q1164" s="84" t="n">
        <f aca="false">O1164-P1164</f>
        <v>0</v>
      </c>
      <c r="R1164" s="86" t="n">
        <f aca="false">DATE(YEAR(B1164),MONTH(B1164),1)</f>
        <v>46204</v>
      </c>
      <c r="S1164" s="83" t="str">
        <f aca="false">YEAR(B1164)&amp;"-Q"&amp;ROUNDUP(MONTH(B1164)/3,0)</f>
        <v>2026-Q3</v>
      </c>
      <c r="T1164" s="87" t="str">
        <f aca="false">IF(O1164&gt;0,Q1164/O1164,"")</f>
        <v/>
      </c>
      <c r="U1164" s="84" t="str">
        <f aca="false">IF(O1164&gt;0,O1164,"")</f>
        <v/>
      </c>
    </row>
    <row r="1165" customFormat="false" ht="15" hidden="false" customHeight="false" outlineLevel="0" collapsed="false">
      <c r="A1165" s="81" t="s">
        <v>1808</v>
      </c>
      <c r="B1165" s="82" t="n">
        <v>46205</v>
      </c>
      <c r="C1165" s="81" t="s">
        <v>314</v>
      </c>
      <c r="D1165" s="83" t="str">
        <f aca="false">IFERROR(INDEX(c_Name,MATCH($C1165,c_ID,0)),"غير معرّف")</f>
        <v>عبير الغامدي</v>
      </c>
      <c r="E1165" s="83" t="str">
        <f aca="false">IFERROR(INDEX(c_Region,MATCH($C1165,c_ID,0)),"غير معرّف")</f>
        <v>الشرقية</v>
      </c>
      <c r="F1165" s="81" t="s">
        <v>169</v>
      </c>
      <c r="G1165" s="83" t="str">
        <f aca="false">IFERROR(INDEX(p_Name,MATCH($F1165,p_ID,0)),"غير معرّف")</f>
        <v>خلاط</v>
      </c>
      <c r="H1165" s="83" t="str">
        <f aca="false">IFERROR(INDEX(p_Cat,MATCH($F1165,p_ID,0)),"غير معرّف")</f>
        <v>أجهزة منزلية</v>
      </c>
      <c r="I1165" s="81" t="s">
        <v>463</v>
      </c>
      <c r="J1165" s="81" t="s">
        <v>91</v>
      </c>
      <c r="K1165" s="81" t="n">
        <v>1</v>
      </c>
      <c r="L1165" s="84" t="n">
        <f aca="false">IFERROR(INDEX(p_Price,MATCH($F1165,p_ID,0)),0)</f>
        <v>300</v>
      </c>
      <c r="M1165" s="85" t="n">
        <v>0</v>
      </c>
      <c r="N1165" s="81" t="s">
        <v>644</v>
      </c>
      <c r="O1165" s="84" t="n">
        <f aca="false">IF($N1165="مرتجع",0,K1165*L1165*(1-M1165))</f>
        <v>300</v>
      </c>
      <c r="P1165" s="84" t="n">
        <f aca="false">IF($N1165="مرتجع",0,K1165*IFERROR(INDEX(p_Cost,MATCH($F1165,p_ID,0)),0))</f>
        <v>175</v>
      </c>
      <c r="Q1165" s="84" t="n">
        <f aca="false">O1165-P1165</f>
        <v>125</v>
      </c>
      <c r="R1165" s="86" t="n">
        <f aca="false">DATE(YEAR(B1165),MONTH(B1165),1)</f>
        <v>46204</v>
      </c>
      <c r="S1165" s="83" t="str">
        <f aca="false">YEAR(B1165)&amp;"-Q"&amp;ROUNDUP(MONTH(B1165)/3,0)</f>
        <v>2026-Q3</v>
      </c>
      <c r="T1165" s="87" t="n">
        <f aca="false">IF(O1165&gt;0,Q1165/O1165,"")</f>
        <v>0.416666666666667</v>
      </c>
      <c r="U1165" s="84" t="n">
        <f aca="false">IF(O1165&gt;0,O1165,"")</f>
        <v>300</v>
      </c>
    </row>
    <row r="1166" customFormat="false" ht="15" hidden="false" customHeight="false" outlineLevel="0" collapsed="false">
      <c r="A1166" s="81" t="s">
        <v>1809</v>
      </c>
      <c r="B1166" s="82" t="n">
        <v>46206</v>
      </c>
      <c r="C1166" s="81" t="s">
        <v>404</v>
      </c>
      <c r="D1166" s="83" t="str">
        <f aca="false">IFERROR(INDEX(c_Name,MATCH($C1166,c_ID,0)),"غير معرّف")</f>
        <v>عبدالله الحسيني</v>
      </c>
      <c r="E1166" s="83" t="str">
        <f aca="false">IFERROR(INDEX(c_Region,MATCH($C1166,c_ID,0)),"غير معرّف")</f>
        <v>الشرقية</v>
      </c>
      <c r="F1166" s="81" t="s">
        <v>177</v>
      </c>
      <c r="G1166" s="83" t="str">
        <f aca="false">IFERROR(INDEX(p_Name,MATCH($F1166,p_ID,0)),"غير معرّف")</f>
        <v>ورق A4 (صندوق)</v>
      </c>
      <c r="H1166" s="83" t="str">
        <f aca="false">IFERROR(INDEX(p_Cat,MATCH($F1166,p_ID,0)),"غير معرّف")</f>
        <v>مستلزمات مكتبية</v>
      </c>
      <c r="I1166" s="81" t="s">
        <v>463</v>
      </c>
      <c r="J1166" s="81" t="s">
        <v>93</v>
      </c>
      <c r="K1166" s="81" t="n">
        <v>1</v>
      </c>
      <c r="L1166" s="84" t="n">
        <f aca="false">IFERROR(INDEX(p_Price,MATCH($F1166,p_ID,0)),0)</f>
        <v>140</v>
      </c>
      <c r="M1166" s="85" t="n">
        <v>0.15</v>
      </c>
      <c r="N1166" s="81" t="s">
        <v>644</v>
      </c>
      <c r="O1166" s="84" t="n">
        <f aca="false">IF($N1166="مرتجع",0,K1166*L1166*(1-M1166))</f>
        <v>119</v>
      </c>
      <c r="P1166" s="84" t="n">
        <f aca="false">IF($N1166="مرتجع",0,K1166*IFERROR(INDEX(p_Cost,MATCH($F1166,p_ID,0)),0))</f>
        <v>95</v>
      </c>
      <c r="Q1166" s="84" t="n">
        <f aca="false">O1166-P1166</f>
        <v>24</v>
      </c>
      <c r="R1166" s="86" t="n">
        <f aca="false">DATE(YEAR(B1166),MONTH(B1166),1)</f>
        <v>46204</v>
      </c>
      <c r="S1166" s="83" t="str">
        <f aca="false">YEAR(B1166)&amp;"-Q"&amp;ROUNDUP(MONTH(B1166)/3,0)</f>
        <v>2026-Q3</v>
      </c>
      <c r="T1166" s="87" t="n">
        <f aca="false">IF(O1166&gt;0,Q1166/O1166,"")</f>
        <v>0.201680672268908</v>
      </c>
      <c r="U1166" s="84" t="n">
        <f aca="false">IF(O1166&gt;0,O1166,"")</f>
        <v>119</v>
      </c>
    </row>
    <row r="1167" customFormat="false" ht="15" hidden="false" customHeight="false" outlineLevel="0" collapsed="false">
      <c r="A1167" s="81" t="s">
        <v>1810</v>
      </c>
      <c r="B1167" s="82" t="n">
        <v>46206</v>
      </c>
      <c r="C1167" s="81" t="s">
        <v>281</v>
      </c>
      <c r="D1167" s="83" t="str">
        <f aca="false">IFERROR(INDEX(c_Name,MATCH($C1167,c_ID,0)),"غير معرّف")</f>
        <v>ريم الخالدي</v>
      </c>
      <c r="E1167" s="83" t="str">
        <f aca="false">IFERROR(INDEX(c_Region,MATCH($C1167,c_ID,0)),"غير معرّف")</f>
        <v>الوسطى</v>
      </c>
      <c r="F1167" s="81" t="s">
        <v>168</v>
      </c>
      <c r="G1167" s="83" t="str">
        <f aca="false">IFERROR(INDEX(p_Name,MATCH($F1167,p_ID,0)),"غير معرّف")</f>
        <v>مكنسة كهربائية</v>
      </c>
      <c r="H1167" s="83" t="str">
        <f aca="false">IFERROR(INDEX(p_Cat,MATCH($F1167,p_ID,0)),"غير معرّف")</f>
        <v>أجهزة منزلية</v>
      </c>
      <c r="I1167" s="81" t="s">
        <v>446</v>
      </c>
      <c r="J1167" s="81" t="s">
        <v>93</v>
      </c>
      <c r="K1167" s="81" t="n">
        <v>2</v>
      </c>
      <c r="L1167" s="84" t="n">
        <f aca="false">IFERROR(INDEX(p_Price,MATCH($F1167,p_ID,0)),0)</f>
        <v>650</v>
      </c>
      <c r="M1167" s="85" t="n">
        <v>0</v>
      </c>
      <c r="N1167" s="81" t="s">
        <v>644</v>
      </c>
      <c r="O1167" s="84" t="n">
        <f aca="false">IF($N1167="مرتجع",0,K1167*L1167*(1-M1167))</f>
        <v>1300</v>
      </c>
      <c r="P1167" s="84" t="n">
        <f aca="false">IF($N1167="مرتجع",0,K1167*IFERROR(INDEX(p_Cost,MATCH($F1167,p_ID,0)),0))</f>
        <v>840</v>
      </c>
      <c r="Q1167" s="84" t="n">
        <f aca="false">O1167-P1167</f>
        <v>460</v>
      </c>
      <c r="R1167" s="86" t="n">
        <f aca="false">DATE(YEAR(B1167),MONTH(B1167),1)</f>
        <v>46204</v>
      </c>
      <c r="S1167" s="83" t="str">
        <f aca="false">YEAR(B1167)&amp;"-Q"&amp;ROUNDUP(MONTH(B1167)/3,0)</f>
        <v>2026-Q3</v>
      </c>
      <c r="T1167" s="87" t="n">
        <f aca="false">IF(O1167&gt;0,Q1167/O1167,"")</f>
        <v>0.353846153846154</v>
      </c>
      <c r="U1167" s="84" t="n">
        <f aca="false">IF(O1167&gt;0,O1167,"")</f>
        <v>1300</v>
      </c>
    </row>
    <row r="1168" customFormat="false" ht="15" hidden="false" customHeight="false" outlineLevel="0" collapsed="false">
      <c r="A1168" s="81" t="s">
        <v>1811</v>
      </c>
      <c r="B1168" s="82" t="n">
        <v>46206</v>
      </c>
      <c r="C1168" s="81" t="s">
        <v>238</v>
      </c>
      <c r="D1168" s="83" t="str">
        <f aca="false">IFERROR(INDEX(c_Name,MATCH($C1168,c_ID,0)),"غير معرّف")</f>
        <v>سارة البلوي</v>
      </c>
      <c r="E1168" s="83" t="str">
        <f aca="false">IFERROR(INDEX(c_Region,MATCH($C1168,c_ID,0)),"غير معرّف")</f>
        <v>الغربية</v>
      </c>
      <c r="F1168" s="81" t="s">
        <v>177</v>
      </c>
      <c r="G1168" s="83" t="str">
        <f aca="false">IFERROR(INDEX(p_Name,MATCH($F1168,p_ID,0)),"غير معرّف")</f>
        <v>ورق A4 (صندوق)</v>
      </c>
      <c r="H1168" s="83" t="str">
        <f aca="false">IFERROR(INDEX(p_Cat,MATCH($F1168,p_ID,0)),"غير معرّف")</f>
        <v>مستلزمات مكتبية</v>
      </c>
      <c r="I1168" s="81" t="s">
        <v>452</v>
      </c>
      <c r="J1168" s="81" t="s">
        <v>93</v>
      </c>
      <c r="K1168" s="81" t="n">
        <v>1</v>
      </c>
      <c r="L1168" s="84" t="n">
        <f aca="false">IFERROR(INDEX(p_Price,MATCH($F1168,p_ID,0)),0)</f>
        <v>140</v>
      </c>
      <c r="M1168" s="85" t="n">
        <v>0.05</v>
      </c>
      <c r="N1168" s="81" t="s">
        <v>644</v>
      </c>
      <c r="O1168" s="84" t="n">
        <f aca="false">IF($N1168="مرتجع",0,K1168*L1168*(1-M1168))</f>
        <v>133</v>
      </c>
      <c r="P1168" s="84" t="n">
        <f aca="false">IF($N1168="مرتجع",0,K1168*IFERROR(INDEX(p_Cost,MATCH($F1168,p_ID,0)),0))</f>
        <v>95</v>
      </c>
      <c r="Q1168" s="84" t="n">
        <f aca="false">O1168-P1168</f>
        <v>38</v>
      </c>
      <c r="R1168" s="86" t="n">
        <f aca="false">DATE(YEAR(B1168),MONTH(B1168),1)</f>
        <v>46204</v>
      </c>
      <c r="S1168" s="83" t="str">
        <f aca="false">YEAR(B1168)&amp;"-Q"&amp;ROUNDUP(MONTH(B1168)/3,0)</f>
        <v>2026-Q3</v>
      </c>
      <c r="T1168" s="87" t="n">
        <f aca="false">IF(O1168&gt;0,Q1168/O1168,"")</f>
        <v>0.285714285714286</v>
      </c>
      <c r="U1168" s="84" t="n">
        <f aca="false">IF(O1168&gt;0,O1168,"")</f>
        <v>133</v>
      </c>
    </row>
    <row r="1169" customFormat="false" ht="15" hidden="false" customHeight="false" outlineLevel="0" collapsed="false">
      <c r="A1169" s="81" t="s">
        <v>1812</v>
      </c>
      <c r="B1169" s="82" t="n">
        <v>46206</v>
      </c>
      <c r="C1169" s="81" t="s">
        <v>425</v>
      </c>
      <c r="D1169" s="83" t="str">
        <f aca="false">IFERROR(INDEX(c_Name,MATCH($C1169,c_ID,0)),"غير معرّف")</f>
        <v>عبدالله الشمري</v>
      </c>
      <c r="E1169" s="83" t="str">
        <f aca="false">IFERROR(INDEX(c_Region,MATCH($C1169,c_ID,0)),"غير معرّف")</f>
        <v>الجنوبية</v>
      </c>
      <c r="F1169" s="81" t="s">
        <v>175</v>
      </c>
      <c r="G1169" s="83" t="str">
        <f aca="false">IFERROR(INDEX(p_Name,MATCH($F1169,p_ID,0)),"غير معرّف")</f>
        <v>رف كتب</v>
      </c>
      <c r="H1169" s="83" t="str">
        <f aca="false">IFERROR(INDEX(p_Cat,MATCH($F1169,p_ID,0)),"غير معرّف")</f>
        <v>أثاث</v>
      </c>
      <c r="I1169" s="81" t="s">
        <v>467</v>
      </c>
      <c r="J1169" s="81" t="s">
        <v>91</v>
      </c>
      <c r="K1169" s="81" t="n">
        <v>2</v>
      </c>
      <c r="L1169" s="84" t="n">
        <f aca="false">IFERROR(INDEX(p_Price,MATCH($F1169,p_ID,0)),0)</f>
        <v>400</v>
      </c>
      <c r="M1169" s="85" t="n">
        <v>0.1</v>
      </c>
      <c r="N1169" s="81" t="s">
        <v>644</v>
      </c>
      <c r="O1169" s="84" t="n">
        <f aca="false">IF($N1169="مرتجع",0,K1169*L1169*(1-M1169))</f>
        <v>720</v>
      </c>
      <c r="P1169" s="84" t="n">
        <f aca="false">IF($N1169="مرتجع",0,K1169*IFERROR(INDEX(p_Cost,MATCH($F1169,p_ID,0)),0))</f>
        <v>440</v>
      </c>
      <c r="Q1169" s="84" t="n">
        <f aca="false">O1169-P1169</f>
        <v>280</v>
      </c>
      <c r="R1169" s="86" t="n">
        <f aca="false">DATE(YEAR(B1169),MONTH(B1169),1)</f>
        <v>46204</v>
      </c>
      <c r="S1169" s="83" t="str">
        <f aca="false">YEAR(B1169)&amp;"-Q"&amp;ROUNDUP(MONTH(B1169)/3,0)</f>
        <v>2026-Q3</v>
      </c>
      <c r="T1169" s="87" t="n">
        <f aca="false">IF(O1169&gt;0,Q1169/O1169,"")</f>
        <v>0.388888888888889</v>
      </c>
      <c r="U1169" s="84" t="n">
        <f aca="false">IF(O1169&gt;0,O1169,"")</f>
        <v>720</v>
      </c>
    </row>
    <row r="1170" customFormat="false" ht="15" hidden="false" customHeight="false" outlineLevel="0" collapsed="false">
      <c r="A1170" s="81" t="s">
        <v>1813</v>
      </c>
      <c r="B1170" s="82" t="n">
        <v>46206</v>
      </c>
      <c r="C1170" s="81" t="s">
        <v>310</v>
      </c>
      <c r="D1170" s="83" t="str">
        <f aca="false">IFERROR(INDEX(c_Name,MATCH($C1170,c_ID,0)),"غير معرّف")</f>
        <v>طارق السبيعي</v>
      </c>
      <c r="E1170" s="83" t="str">
        <f aca="false">IFERROR(INDEX(c_Region,MATCH($C1170,c_ID,0)),"غير معرّف")</f>
        <v>الوسطى</v>
      </c>
      <c r="F1170" s="81" t="s">
        <v>184</v>
      </c>
      <c r="G1170" s="83" t="str">
        <f aca="false">IFERROR(INDEX(p_Name,MATCH($F1170,p_ID,0)),"غير معرّف")</f>
        <v>عطر فاخر</v>
      </c>
      <c r="H1170" s="83" t="str">
        <f aca="false">IFERROR(INDEX(p_Cat,MATCH($F1170,p_ID,0)),"غير معرّف")</f>
        <v>عناية شخصية</v>
      </c>
      <c r="I1170" s="81" t="s">
        <v>443</v>
      </c>
      <c r="J1170" s="81" t="s">
        <v>91</v>
      </c>
      <c r="K1170" s="81" t="n">
        <v>1</v>
      </c>
      <c r="L1170" s="84" t="n">
        <f aca="false">IFERROR(INDEX(p_Price,MATCH($F1170,p_ID,0)),0)</f>
        <v>520</v>
      </c>
      <c r="M1170" s="85" t="n">
        <v>0</v>
      </c>
      <c r="N1170" s="81" t="s">
        <v>644</v>
      </c>
      <c r="O1170" s="84" t="n">
        <f aca="false">IF($N1170="مرتجع",0,K1170*L1170*(1-M1170))</f>
        <v>520</v>
      </c>
      <c r="P1170" s="84" t="n">
        <f aca="false">IF($N1170="مرتجع",0,K1170*IFERROR(INDEX(p_Cost,MATCH($F1170,p_ID,0)),0))</f>
        <v>210</v>
      </c>
      <c r="Q1170" s="84" t="n">
        <f aca="false">O1170-P1170</f>
        <v>310</v>
      </c>
      <c r="R1170" s="86" t="n">
        <f aca="false">DATE(YEAR(B1170),MONTH(B1170),1)</f>
        <v>46204</v>
      </c>
      <c r="S1170" s="83" t="str">
        <f aca="false">YEAR(B1170)&amp;"-Q"&amp;ROUNDUP(MONTH(B1170)/3,0)</f>
        <v>2026-Q3</v>
      </c>
      <c r="T1170" s="87" t="n">
        <f aca="false">IF(O1170&gt;0,Q1170/O1170,"")</f>
        <v>0.596153846153846</v>
      </c>
      <c r="U1170" s="84" t="n">
        <f aca="false">IF(O1170&gt;0,O1170,"")</f>
        <v>520</v>
      </c>
    </row>
    <row r="1171" customFormat="false" ht="15" hidden="false" customHeight="false" outlineLevel="0" collapsed="false">
      <c r="A1171" s="81" t="s">
        <v>1814</v>
      </c>
      <c r="B1171" s="82" t="n">
        <v>46206</v>
      </c>
      <c r="C1171" s="81" t="s">
        <v>238</v>
      </c>
      <c r="D1171" s="83" t="str">
        <f aca="false">IFERROR(INDEX(c_Name,MATCH($C1171,c_ID,0)),"غير معرّف")</f>
        <v>سارة البلوي</v>
      </c>
      <c r="E1171" s="83" t="str">
        <f aca="false">IFERROR(INDEX(c_Region,MATCH($C1171,c_ID,0)),"غير معرّف")</f>
        <v>الغربية</v>
      </c>
      <c r="F1171" s="81" t="s">
        <v>187</v>
      </c>
      <c r="G1171" s="83" t="str">
        <f aca="false">IFERROR(INDEX(p_Name,MATCH($F1171,p_ID,0)),"غير معرّف")</f>
        <v>جهاز تدليك</v>
      </c>
      <c r="H1171" s="83" t="str">
        <f aca="false">IFERROR(INDEX(p_Cat,MATCH($F1171,p_ID,0)),"غير معرّف")</f>
        <v>عناية شخصية</v>
      </c>
      <c r="I1171" s="81" t="s">
        <v>455</v>
      </c>
      <c r="J1171" s="81" t="s">
        <v>93</v>
      </c>
      <c r="K1171" s="81" t="n">
        <v>1</v>
      </c>
      <c r="L1171" s="84" t="n">
        <f aca="false">IFERROR(INDEX(p_Price,MATCH($F1171,p_ID,0)),0)</f>
        <v>600</v>
      </c>
      <c r="M1171" s="85" t="n">
        <v>0.15</v>
      </c>
      <c r="N1171" s="81" t="s">
        <v>644</v>
      </c>
      <c r="O1171" s="84" t="n">
        <f aca="false">IF($N1171="مرتجع",0,K1171*L1171*(1-M1171))</f>
        <v>510</v>
      </c>
      <c r="P1171" s="84" t="n">
        <f aca="false">IF($N1171="مرتجع",0,K1171*IFERROR(INDEX(p_Cost,MATCH($F1171,p_ID,0)),0))</f>
        <v>330</v>
      </c>
      <c r="Q1171" s="84" t="n">
        <f aca="false">O1171-P1171</f>
        <v>180</v>
      </c>
      <c r="R1171" s="86" t="n">
        <f aca="false">DATE(YEAR(B1171),MONTH(B1171),1)</f>
        <v>46204</v>
      </c>
      <c r="S1171" s="83" t="str">
        <f aca="false">YEAR(B1171)&amp;"-Q"&amp;ROUNDUP(MONTH(B1171)/3,0)</f>
        <v>2026-Q3</v>
      </c>
      <c r="T1171" s="87" t="n">
        <f aca="false">IF(O1171&gt;0,Q1171/O1171,"")</f>
        <v>0.352941176470588</v>
      </c>
      <c r="U1171" s="84" t="n">
        <f aca="false">IF(O1171&gt;0,O1171,"")</f>
        <v>510</v>
      </c>
    </row>
    <row r="1172" customFormat="false" ht="15" hidden="false" customHeight="false" outlineLevel="0" collapsed="false">
      <c r="A1172" s="81" t="s">
        <v>1815</v>
      </c>
      <c r="B1172" s="82" t="n">
        <v>46207</v>
      </c>
      <c r="C1172" s="81" t="s">
        <v>251</v>
      </c>
      <c r="D1172" s="83" t="str">
        <f aca="false">IFERROR(INDEX(c_Name,MATCH($C1172,c_ID,0)),"غير معرّف")</f>
        <v>ليلى البلوي</v>
      </c>
      <c r="E1172" s="83" t="str">
        <f aca="false">IFERROR(INDEX(c_Region,MATCH($C1172,c_ID,0)),"غير معرّف")</f>
        <v>الجنوبية</v>
      </c>
      <c r="F1172" s="81" t="s">
        <v>178</v>
      </c>
      <c r="G1172" s="83" t="str">
        <f aca="false">IFERROR(INDEX(p_Name,MATCH($F1172,p_ID,0)),"غير معرّف")</f>
        <v>حقيبة لابتوب</v>
      </c>
      <c r="H1172" s="83" t="str">
        <f aca="false">IFERROR(INDEX(p_Cat,MATCH($F1172,p_ID,0)),"غير معرّف")</f>
        <v>مستلزمات مكتبية</v>
      </c>
      <c r="I1172" s="81" t="s">
        <v>467</v>
      </c>
      <c r="J1172" s="81" t="s">
        <v>91</v>
      </c>
      <c r="K1172" s="81" t="n">
        <v>16</v>
      </c>
      <c r="L1172" s="84" t="n">
        <f aca="false">IFERROR(INDEX(p_Price,MATCH($F1172,p_ID,0)),0)</f>
        <v>260</v>
      </c>
      <c r="M1172" s="85" t="n">
        <v>0.05</v>
      </c>
      <c r="N1172" s="81" t="s">
        <v>644</v>
      </c>
      <c r="O1172" s="84" t="n">
        <f aca="false">IF($N1172="مرتجع",0,K1172*L1172*(1-M1172))</f>
        <v>3952</v>
      </c>
      <c r="P1172" s="84" t="n">
        <f aca="false">IF($N1172="مرتجع",0,K1172*IFERROR(INDEX(p_Cost,MATCH($F1172,p_ID,0)),0))</f>
        <v>1920</v>
      </c>
      <c r="Q1172" s="84" t="n">
        <f aca="false">O1172-P1172</f>
        <v>2032</v>
      </c>
      <c r="R1172" s="86" t="n">
        <f aca="false">DATE(YEAR(B1172),MONTH(B1172),1)</f>
        <v>46204</v>
      </c>
      <c r="S1172" s="83" t="str">
        <f aca="false">YEAR(B1172)&amp;"-Q"&amp;ROUNDUP(MONTH(B1172)/3,0)</f>
        <v>2026-Q3</v>
      </c>
      <c r="T1172" s="87" t="n">
        <f aca="false">IF(O1172&gt;0,Q1172/O1172,"")</f>
        <v>0.51417004048583</v>
      </c>
      <c r="U1172" s="84" t="n">
        <f aca="false">IF(O1172&gt;0,O1172,"")</f>
        <v>3952</v>
      </c>
    </row>
    <row r="1173" customFormat="false" ht="15" hidden="false" customHeight="false" outlineLevel="0" collapsed="false">
      <c r="A1173" s="81" t="s">
        <v>1816</v>
      </c>
      <c r="B1173" s="82" t="n">
        <v>46207</v>
      </c>
      <c r="C1173" s="81" t="s">
        <v>288</v>
      </c>
      <c r="D1173" s="83" t="str">
        <f aca="false">IFERROR(INDEX(c_Name,MATCH($C1173,c_ID,0)),"غير معرّف")</f>
        <v>خالد الشمري</v>
      </c>
      <c r="E1173" s="83" t="str">
        <f aca="false">IFERROR(INDEX(c_Region,MATCH($C1173,c_ID,0)),"غير معرّف")</f>
        <v>الجنوبية</v>
      </c>
      <c r="F1173" s="81" t="s">
        <v>171</v>
      </c>
      <c r="G1173" s="83" t="str">
        <f aca="false">IFERROR(INDEX(p_Name,MATCH($F1173,p_ID,0)),"غير معرّف")</f>
        <v>قلاية هوائية</v>
      </c>
      <c r="H1173" s="83" t="str">
        <f aca="false">IFERROR(INDEX(p_Cat,MATCH($F1173,p_ID,0)),"غير معرّف")</f>
        <v>أجهزة منزلية</v>
      </c>
      <c r="I1173" s="81" t="s">
        <v>467</v>
      </c>
      <c r="J1173" s="81" t="s">
        <v>93</v>
      </c>
      <c r="K1173" s="81" t="n">
        <v>1</v>
      </c>
      <c r="L1173" s="84" t="n">
        <f aca="false">IFERROR(INDEX(p_Price,MATCH($F1173,p_ID,0)),0)</f>
        <v>520</v>
      </c>
      <c r="M1173" s="85" t="n">
        <v>0.15</v>
      </c>
      <c r="N1173" s="81" t="s">
        <v>650</v>
      </c>
      <c r="O1173" s="84" t="n">
        <f aca="false">IF($N1173="مرتجع",0,K1173*L1173*(1-M1173))</f>
        <v>0</v>
      </c>
      <c r="P1173" s="84" t="n">
        <f aca="false">IF($N1173="مرتجع",0,K1173*IFERROR(INDEX(p_Cost,MATCH($F1173,p_ID,0)),0))</f>
        <v>0</v>
      </c>
      <c r="Q1173" s="84" t="n">
        <f aca="false">O1173-P1173</f>
        <v>0</v>
      </c>
      <c r="R1173" s="86" t="n">
        <f aca="false">DATE(YEAR(B1173),MONTH(B1173),1)</f>
        <v>46204</v>
      </c>
      <c r="S1173" s="83" t="str">
        <f aca="false">YEAR(B1173)&amp;"-Q"&amp;ROUNDUP(MONTH(B1173)/3,0)</f>
        <v>2026-Q3</v>
      </c>
      <c r="T1173" s="87" t="str">
        <f aca="false">IF(O1173&gt;0,Q1173/O1173,"")</f>
        <v/>
      </c>
      <c r="U1173" s="84" t="str">
        <f aca="false">IF(O1173&gt;0,O1173,"")</f>
        <v/>
      </c>
    </row>
    <row r="1174" customFormat="false" ht="15" hidden="false" customHeight="false" outlineLevel="0" collapsed="false">
      <c r="A1174" s="81" t="s">
        <v>1817</v>
      </c>
      <c r="B1174" s="82" t="n">
        <v>46207</v>
      </c>
      <c r="C1174" s="81" t="s">
        <v>334</v>
      </c>
      <c r="D1174" s="83" t="str">
        <f aca="false">IFERROR(INDEX(c_Name,MATCH($C1174,c_ID,0)),"غير معرّف")</f>
        <v>ناصر الغامدي</v>
      </c>
      <c r="E1174" s="83" t="str">
        <f aca="false">IFERROR(INDEX(c_Region,MATCH($C1174,c_ID,0)),"غير معرّف")</f>
        <v>الغربية</v>
      </c>
      <c r="F1174" s="81" t="s">
        <v>164</v>
      </c>
      <c r="G1174" s="83" t="str">
        <f aca="false">IFERROR(INDEX(p_Name,MATCH($F1174,p_ID,0)),"غير معرّف")</f>
        <v>هاتف ذكي</v>
      </c>
      <c r="H1174" s="83" t="str">
        <f aca="false">IFERROR(INDEX(p_Cat,MATCH($F1174,p_ID,0)),"غير معرّف")</f>
        <v>إلكترونيات</v>
      </c>
      <c r="I1174" s="81" t="s">
        <v>452</v>
      </c>
      <c r="J1174" s="81" t="s">
        <v>93</v>
      </c>
      <c r="K1174" s="81" t="n">
        <v>1</v>
      </c>
      <c r="L1174" s="84" t="n">
        <f aca="false">IFERROR(INDEX(p_Price,MATCH($F1174,p_ID,0)),0)</f>
        <v>2400</v>
      </c>
      <c r="M1174" s="85" t="n">
        <v>0</v>
      </c>
      <c r="N1174" s="81" t="s">
        <v>644</v>
      </c>
      <c r="O1174" s="84" t="n">
        <f aca="false">IF($N1174="مرتجع",0,K1174*L1174*(1-M1174))</f>
        <v>2400</v>
      </c>
      <c r="P1174" s="84" t="n">
        <f aca="false">IF($N1174="مرتجع",0,K1174*IFERROR(INDEX(p_Cost,MATCH($F1174,p_ID,0)),0))</f>
        <v>1750</v>
      </c>
      <c r="Q1174" s="84" t="n">
        <f aca="false">O1174-P1174</f>
        <v>650</v>
      </c>
      <c r="R1174" s="86" t="n">
        <f aca="false">DATE(YEAR(B1174),MONTH(B1174),1)</f>
        <v>46204</v>
      </c>
      <c r="S1174" s="83" t="str">
        <f aca="false">YEAR(B1174)&amp;"-Q"&amp;ROUNDUP(MONTH(B1174)/3,0)</f>
        <v>2026-Q3</v>
      </c>
      <c r="T1174" s="87" t="n">
        <f aca="false">IF(O1174&gt;0,Q1174/O1174,"")</f>
        <v>0.270833333333333</v>
      </c>
      <c r="U1174" s="84" t="n">
        <f aca="false">IF(O1174&gt;0,O1174,"")</f>
        <v>2400</v>
      </c>
    </row>
    <row r="1175" customFormat="false" ht="15" hidden="false" customHeight="false" outlineLevel="0" collapsed="false">
      <c r="A1175" s="81" t="s">
        <v>1818</v>
      </c>
      <c r="B1175" s="82" t="n">
        <v>46207</v>
      </c>
      <c r="C1175" s="81" t="s">
        <v>404</v>
      </c>
      <c r="D1175" s="83" t="str">
        <f aca="false">IFERROR(INDEX(c_Name,MATCH($C1175,c_ID,0)),"غير معرّف")</f>
        <v>عبدالله الحسيني</v>
      </c>
      <c r="E1175" s="83" t="str">
        <f aca="false">IFERROR(INDEX(c_Region,MATCH($C1175,c_ID,0)),"غير معرّف")</f>
        <v>الشرقية</v>
      </c>
      <c r="F1175" s="81" t="s">
        <v>165</v>
      </c>
      <c r="G1175" s="83" t="str">
        <f aca="false">IFERROR(INDEX(p_Name,MATCH($F1175,p_ID,0)),"غير معرّف")</f>
        <v>حاسوب محمول</v>
      </c>
      <c r="H1175" s="83" t="str">
        <f aca="false">IFERROR(INDEX(p_Cat,MATCH($F1175,p_ID,0)),"غير معرّف")</f>
        <v>إلكترونيات</v>
      </c>
      <c r="I1175" s="81" t="s">
        <v>461</v>
      </c>
      <c r="J1175" s="81" t="s">
        <v>91</v>
      </c>
      <c r="K1175" s="81" t="n">
        <v>1</v>
      </c>
      <c r="L1175" s="84" t="n">
        <f aca="false">IFERROR(INDEX(p_Price,MATCH($F1175,p_ID,0)),0)</f>
        <v>3800</v>
      </c>
      <c r="M1175" s="85" t="n">
        <v>0.2</v>
      </c>
      <c r="N1175" s="81" t="s">
        <v>650</v>
      </c>
      <c r="O1175" s="84" t="n">
        <f aca="false">IF($N1175="مرتجع",0,K1175*L1175*(1-M1175))</f>
        <v>0</v>
      </c>
      <c r="P1175" s="84" t="n">
        <f aca="false">IF($N1175="مرتجع",0,K1175*IFERROR(INDEX(p_Cost,MATCH($F1175,p_ID,0)),0))</f>
        <v>0</v>
      </c>
      <c r="Q1175" s="84" t="n">
        <f aca="false">O1175-P1175</f>
        <v>0</v>
      </c>
      <c r="R1175" s="86" t="n">
        <f aca="false">DATE(YEAR(B1175),MONTH(B1175),1)</f>
        <v>46204</v>
      </c>
      <c r="S1175" s="83" t="str">
        <f aca="false">YEAR(B1175)&amp;"-Q"&amp;ROUNDUP(MONTH(B1175)/3,0)</f>
        <v>2026-Q3</v>
      </c>
      <c r="T1175" s="87" t="str">
        <f aca="false">IF(O1175&gt;0,Q1175/O1175,"")</f>
        <v/>
      </c>
      <c r="U1175" s="84" t="str">
        <f aca="false">IF(O1175&gt;0,O1175,"")</f>
        <v/>
      </c>
    </row>
    <row r="1176" customFormat="false" ht="15" hidden="false" customHeight="false" outlineLevel="0" collapsed="false">
      <c r="A1176" s="81" t="s">
        <v>1819</v>
      </c>
      <c r="B1176" s="82" t="n">
        <v>46208</v>
      </c>
      <c r="C1176" s="81" t="s">
        <v>287</v>
      </c>
      <c r="D1176" s="83" t="str">
        <f aca="false">IFERROR(INDEX(c_Name,MATCH($C1176,c_ID,0)),"غير معرّف")</f>
        <v>محمد الشهري</v>
      </c>
      <c r="E1176" s="83" t="str">
        <f aca="false">IFERROR(INDEX(c_Region,MATCH($C1176,c_ID,0)),"غير معرّف")</f>
        <v>الغربية</v>
      </c>
      <c r="F1176" s="81" t="s">
        <v>183</v>
      </c>
      <c r="G1176" s="83" t="str">
        <f aca="false">IFERROR(INDEX(p_Name,MATCH($F1176,p_ID,0)),"غير معرّف")</f>
        <v>سجادة يوغا</v>
      </c>
      <c r="H1176" s="83" t="str">
        <f aca="false">IFERROR(INDEX(p_Cat,MATCH($F1176,p_ID,0)),"غير معرّف")</f>
        <v>رياضة</v>
      </c>
      <c r="I1176" s="81" t="s">
        <v>458</v>
      </c>
      <c r="J1176" s="81" t="s">
        <v>93</v>
      </c>
      <c r="K1176" s="81" t="n">
        <v>3</v>
      </c>
      <c r="L1176" s="84" t="n">
        <f aca="false">IFERROR(INDEX(p_Price,MATCH($F1176,p_ID,0)),0)</f>
        <v>120</v>
      </c>
      <c r="M1176" s="85" t="n">
        <v>0</v>
      </c>
      <c r="N1176" s="81" t="s">
        <v>644</v>
      </c>
      <c r="O1176" s="84" t="n">
        <f aca="false">IF($N1176="مرتجع",0,K1176*L1176*(1-M1176))</f>
        <v>360</v>
      </c>
      <c r="P1176" s="84" t="n">
        <f aca="false">IF($N1176="مرتجع",0,K1176*IFERROR(INDEX(p_Cost,MATCH($F1176,p_ID,0)),0))</f>
        <v>150</v>
      </c>
      <c r="Q1176" s="84" t="n">
        <f aca="false">O1176-P1176</f>
        <v>210</v>
      </c>
      <c r="R1176" s="86" t="n">
        <f aca="false">DATE(YEAR(B1176),MONTH(B1176),1)</f>
        <v>46204</v>
      </c>
      <c r="S1176" s="83" t="str">
        <f aca="false">YEAR(B1176)&amp;"-Q"&amp;ROUNDUP(MONTH(B1176)/3,0)</f>
        <v>2026-Q3</v>
      </c>
      <c r="T1176" s="87" t="n">
        <f aca="false">IF(O1176&gt;0,Q1176/O1176,"")</f>
        <v>0.583333333333333</v>
      </c>
      <c r="U1176" s="84" t="n">
        <f aca="false">IF(O1176&gt;0,O1176,"")</f>
        <v>360</v>
      </c>
    </row>
    <row r="1177" customFormat="false" ht="15" hidden="false" customHeight="false" outlineLevel="0" collapsed="false">
      <c r="A1177" s="81" t="s">
        <v>1820</v>
      </c>
      <c r="B1177" s="82" t="n">
        <v>46208</v>
      </c>
      <c r="C1177" s="81" t="s">
        <v>273</v>
      </c>
      <c r="D1177" s="83" t="str">
        <f aca="false">IFERROR(INDEX(c_Name,MATCH($C1177,c_ID,0)),"غير معرّف")</f>
        <v>سلمان التميمي</v>
      </c>
      <c r="E1177" s="83" t="str">
        <f aca="false">IFERROR(INDEX(c_Region,MATCH($C1177,c_ID,0)),"غير معرّف")</f>
        <v>الشرقية</v>
      </c>
      <c r="F1177" s="81" t="s">
        <v>184</v>
      </c>
      <c r="G1177" s="83" t="str">
        <f aca="false">IFERROR(INDEX(p_Name,MATCH($F1177,p_ID,0)),"غير معرّف")</f>
        <v>عطر فاخر</v>
      </c>
      <c r="H1177" s="83" t="str">
        <f aca="false">IFERROR(INDEX(p_Cat,MATCH($F1177,p_ID,0)),"غير معرّف")</f>
        <v>عناية شخصية</v>
      </c>
      <c r="I1177" s="81" t="s">
        <v>461</v>
      </c>
      <c r="J1177" s="81" t="s">
        <v>91</v>
      </c>
      <c r="K1177" s="81" t="n">
        <v>1</v>
      </c>
      <c r="L1177" s="84" t="n">
        <f aca="false">IFERROR(INDEX(p_Price,MATCH($F1177,p_ID,0)),0)</f>
        <v>520</v>
      </c>
      <c r="M1177" s="85" t="n">
        <v>0.05</v>
      </c>
      <c r="N1177" s="81" t="s">
        <v>644</v>
      </c>
      <c r="O1177" s="84" t="n">
        <f aca="false">IF($N1177="مرتجع",0,K1177*L1177*(1-M1177))</f>
        <v>494</v>
      </c>
      <c r="P1177" s="84" t="n">
        <f aca="false">IF($N1177="مرتجع",0,K1177*IFERROR(INDEX(p_Cost,MATCH($F1177,p_ID,0)),0))</f>
        <v>210</v>
      </c>
      <c r="Q1177" s="84" t="n">
        <f aca="false">O1177-P1177</f>
        <v>284</v>
      </c>
      <c r="R1177" s="86" t="n">
        <f aca="false">DATE(YEAR(B1177),MONTH(B1177),1)</f>
        <v>46204</v>
      </c>
      <c r="S1177" s="83" t="str">
        <f aca="false">YEAR(B1177)&amp;"-Q"&amp;ROUNDUP(MONTH(B1177)/3,0)</f>
        <v>2026-Q3</v>
      </c>
      <c r="T1177" s="87" t="n">
        <f aca="false">IF(O1177&gt;0,Q1177/O1177,"")</f>
        <v>0.574898785425101</v>
      </c>
      <c r="U1177" s="84" t="n">
        <f aca="false">IF(O1177&gt;0,O1177,"")</f>
        <v>494</v>
      </c>
    </row>
    <row r="1178" customFormat="false" ht="15" hidden="false" customHeight="false" outlineLevel="0" collapsed="false">
      <c r="A1178" s="81" t="s">
        <v>1821</v>
      </c>
      <c r="B1178" s="82" t="n">
        <v>46208</v>
      </c>
      <c r="C1178" s="81" t="s">
        <v>270</v>
      </c>
      <c r="D1178" s="83" t="str">
        <f aca="false">IFERROR(INDEX(c_Name,MATCH($C1178,c_ID,0)),"غير معرّف")</f>
        <v>ريم التميمي</v>
      </c>
      <c r="E1178" s="83" t="str">
        <f aca="false">IFERROR(INDEX(c_Region,MATCH($C1178,c_ID,0)),"غير معرّف")</f>
        <v>الشرقية</v>
      </c>
      <c r="F1178" s="81" t="s">
        <v>185</v>
      </c>
      <c r="G1178" s="83" t="str">
        <f aca="false">IFERROR(INDEX(p_Name,MATCH($F1178,p_ID,0)),"غير معرّف")</f>
        <v>ماكينة حلاقة</v>
      </c>
      <c r="H1178" s="83" t="str">
        <f aca="false">IFERROR(INDEX(p_Cat,MATCH($F1178,p_ID,0)),"غير معرّف")</f>
        <v>عناية شخصية</v>
      </c>
      <c r="I1178" s="81" t="s">
        <v>463</v>
      </c>
      <c r="J1178" s="81" t="s">
        <v>91</v>
      </c>
      <c r="K1178" s="81" t="n">
        <v>2</v>
      </c>
      <c r="L1178" s="84" t="n">
        <f aca="false">IFERROR(INDEX(p_Price,MATCH($F1178,p_ID,0)),0)</f>
        <v>340</v>
      </c>
      <c r="M1178" s="85" t="n">
        <v>0.15</v>
      </c>
      <c r="N1178" s="81" t="s">
        <v>644</v>
      </c>
      <c r="O1178" s="84" t="n">
        <f aca="false">IF($N1178="مرتجع",0,K1178*L1178*(1-M1178))</f>
        <v>578</v>
      </c>
      <c r="P1178" s="84" t="n">
        <f aca="false">IF($N1178="مرتجع",0,K1178*IFERROR(INDEX(p_Cost,MATCH($F1178,p_ID,0)),0))</f>
        <v>340</v>
      </c>
      <c r="Q1178" s="84" t="n">
        <f aca="false">O1178-P1178</f>
        <v>238</v>
      </c>
      <c r="R1178" s="86" t="n">
        <f aca="false">DATE(YEAR(B1178),MONTH(B1178),1)</f>
        <v>46204</v>
      </c>
      <c r="S1178" s="83" t="str">
        <f aca="false">YEAR(B1178)&amp;"-Q"&amp;ROUNDUP(MONTH(B1178)/3,0)</f>
        <v>2026-Q3</v>
      </c>
      <c r="T1178" s="87" t="n">
        <f aca="false">IF(O1178&gt;0,Q1178/O1178,"")</f>
        <v>0.411764705882353</v>
      </c>
      <c r="U1178" s="84" t="n">
        <f aca="false">IF(O1178&gt;0,O1178,"")</f>
        <v>578</v>
      </c>
    </row>
    <row r="1179" customFormat="false" ht="15" hidden="false" customHeight="false" outlineLevel="0" collapsed="false">
      <c r="A1179" s="81" t="s">
        <v>1822</v>
      </c>
      <c r="B1179" s="82" t="n">
        <v>46208</v>
      </c>
      <c r="C1179" s="81" t="s">
        <v>399</v>
      </c>
      <c r="D1179" s="83" t="str">
        <f aca="false">IFERROR(INDEX(c_Name,MATCH($C1179,c_ID,0)),"غير معرّف")</f>
        <v>سارة الشمري</v>
      </c>
      <c r="E1179" s="83" t="str">
        <f aca="false">IFERROR(INDEX(c_Region,MATCH($C1179,c_ID,0)),"غير معرّف")</f>
        <v>الوسطى</v>
      </c>
      <c r="F1179" s="81" t="s">
        <v>174</v>
      </c>
      <c r="G1179" s="83" t="str">
        <f aca="false">IFERROR(INDEX(p_Name,MATCH($F1179,p_ID,0)),"غير معرّف")</f>
        <v>خزانة ملفات</v>
      </c>
      <c r="H1179" s="83" t="str">
        <f aca="false">IFERROR(INDEX(p_Cat,MATCH($F1179,p_ID,0)),"غير معرّف")</f>
        <v>أثاث</v>
      </c>
      <c r="I1179" s="81" t="s">
        <v>449</v>
      </c>
      <c r="J1179" s="81" t="s">
        <v>93</v>
      </c>
      <c r="K1179" s="81" t="n">
        <v>12</v>
      </c>
      <c r="L1179" s="84" t="n">
        <f aca="false">IFERROR(INDEX(p_Price,MATCH($F1179,p_ID,0)),0)</f>
        <v>700</v>
      </c>
      <c r="M1179" s="85" t="n">
        <v>0.1</v>
      </c>
      <c r="N1179" s="81" t="s">
        <v>644</v>
      </c>
      <c r="O1179" s="84" t="n">
        <f aca="false">IF($N1179="مرتجع",0,K1179*L1179*(1-M1179))</f>
        <v>7560</v>
      </c>
      <c r="P1179" s="84" t="n">
        <f aca="false">IF($N1179="مرتجع",0,K1179*IFERROR(INDEX(p_Cost,MATCH($F1179,p_ID,0)),0))</f>
        <v>4920</v>
      </c>
      <c r="Q1179" s="84" t="n">
        <f aca="false">O1179-P1179</f>
        <v>2640</v>
      </c>
      <c r="R1179" s="86" t="n">
        <f aca="false">DATE(YEAR(B1179),MONTH(B1179),1)</f>
        <v>46204</v>
      </c>
      <c r="S1179" s="83" t="str">
        <f aca="false">YEAR(B1179)&amp;"-Q"&amp;ROUNDUP(MONTH(B1179)/3,0)</f>
        <v>2026-Q3</v>
      </c>
      <c r="T1179" s="87" t="n">
        <f aca="false">IF(O1179&gt;0,Q1179/O1179,"")</f>
        <v>0.349206349206349</v>
      </c>
      <c r="U1179" s="84" t="n">
        <f aca="false">IF(O1179&gt;0,O1179,"")</f>
        <v>7560</v>
      </c>
    </row>
    <row r="1180" customFormat="false" ht="15" hidden="false" customHeight="false" outlineLevel="0" collapsed="false">
      <c r="A1180" s="81" t="s">
        <v>1823</v>
      </c>
      <c r="B1180" s="82" t="n">
        <v>46208</v>
      </c>
      <c r="C1180" s="81" t="s">
        <v>368</v>
      </c>
      <c r="D1180" s="83" t="str">
        <f aca="false">IFERROR(INDEX(c_Name,MATCH($C1180,c_ID,0)),"غير معرّف")</f>
        <v>خالد الحربي</v>
      </c>
      <c r="E1180" s="83" t="str">
        <f aca="false">IFERROR(INDEX(c_Region,MATCH($C1180,c_ID,0)),"غير معرّف")</f>
        <v>الغربية</v>
      </c>
      <c r="F1180" s="81" t="s">
        <v>172</v>
      </c>
      <c r="G1180" s="83" t="str">
        <f aca="false">IFERROR(INDEX(p_Name,MATCH($F1180,p_ID,0)),"غير معرّف")</f>
        <v>مكتب عمل</v>
      </c>
      <c r="H1180" s="83" t="str">
        <f aca="false">IFERROR(INDEX(p_Cat,MATCH($F1180,p_ID,0)),"غير معرّف")</f>
        <v>أثاث</v>
      </c>
      <c r="I1180" s="81" t="s">
        <v>455</v>
      </c>
      <c r="J1180" s="81" t="s">
        <v>93</v>
      </c>
      <c r="K1180" s="81" t="n">
        <v>1</v>
      </c>
      <c r="L1180" s="84" t="n">
        <f aca="false">IFERROR(INDEX(p_Price,MATCH($F1180,p_ID,0)),0)</f>
        <v>1200</v>
      </c>
      <c r="M1180" s="85" t="n">
        <v>0.15</v>
      </c>
      <c r="N1180" s="81" t="s">
        <v>644</v>
      </c>
      <c r="O1180" s="84" t="n">
        <f aca="false">IF($N1180="مرتجع",0,K1180*L1180*(1-M1180))</f>
        <v>1020</v>
      </c>
      <c r="P1180" s="84" t="n">
        <f aca="false">IF($N1180="مرتجع",0,K1180*IFERROR(INDEX(p_Cost,MATCH($F1180,p_ID,0)),0))</f>
        <v>700</v>
      </c>
      <c r="Q1180" s="84" t="n">
        <f aca="false">O1180-P1180</f>
        <v>320</v>
      </c>
      <c r="R1180" s="86" t="n">
        <f aca="false">DATE(YEAR(B1180),MONTH(B1180),1)</f>
        <v>46204</v>
      </c>
      <c r="S1180" s="83" t="str">
        <f aca="false">YEAR(B1180)&amp;"-Q"&amp;ROUNDUP(MONTH(B1180)/3,0)</f>
        <v>2026-Q3</v>
      </c>
      <c r="T1180" s="87" t="n">
        <f aca="false">IF(O1180&gt;0,Q1180/O1180,"")</f>
        <v>0.313725490196078</v>
      </c>
      <c r="U1180" s="84" t="n">
        <f aca="false">IF(O1180&gt;0,O1180,"")</f>
        <v>1020</v>
      </c>
    </row>
    <row r="1181" customFormat="false" ht="15" hidden="false" customHeight="false" outlineLevel="0" collapsed="false">
      <c r="A1181" s="81" t="s">
        <v>1824</v>
      </c>
      <c r="B1181" s="82" t="n">
        <v>46208</v>
      </c>
      <c r="C1181" s="81" t="s">
        <v>326</v>
      </c>
      <c r="D1181" s="83" t="str">
        <f aca="false">IFERROR(INDEX(c_Name,MATCH($C1181,c_ID,0)),"غير معرّف")</f>
        <v>دانة القحطاني</v>
      </c>
      <c r="E1181" s="83" t="str">
        <f aca="false">IFERROR(INDEX(c_Region,MATCH($C1181,c_ID,0)),"غير معرّف")</f>
        <v>الوسطى</v>
      </c>
      <c r="F1181" s="81" t="s">
        <v>171</v>
      </c>
      <c r="G1181" s="83" t="str">
        <f aca="false">IFERROR(INDEX(p_Name,MATCH($F1181,p_ID,0)),"غير معرّف")</f>
        <v>قلاية هوائية</v>
      </c>
      <c r="H1181" s="83" t="str">
        <f aca="false">IFERROR(INDEX(p_Cat,MATCH($F1181,p_ID,0)),"غير معرّف")</f>
        <v>أجهزة منزلية</v>
      </c>
      <c r="I1181" s="81" t="s">
        <v>443</v>
      </c>
      <c r="J1181" s="81" t="s">
        <v>93</v>
      </c>
      <c r="K1181" s="81" t="n">
        <v>1</v>
      </c>
      <c r="L1181" s="84" t="n">
        <f aca="false">IFERROR(INDEX(p_Price,MATCH($F1181,p_ID,0)),0)</f>
        <v>520</v>
      </c>
      <c r="M1181" s="85" t="n">
        <v>0.15</v>
      </c>
      <c r="N1181" s="81" t="s">
        <v>644</v>
      </c>
      <c r="O1181" s="84" t="n">
        <f aca="false">IF($N1181="مرتجع",0,K1181*L1181*(1-M1181))</f>
        <v>442</v>
      </c>
      <c r="P1181" s="84" t="n">
        <f aca="false">IF($N1181="مرتجع",0,K1181*IFERROR(INDEX(p_Cost,MATCH($F1181,p_ID,0)),0))</f>
        <v>300</v>
      </c>
      <c r="Q1181" s="84" t="n">
        <f aca="false">O1181-P1181</f>
        <v>142</v>
      </c>
      <c r="R1181" s="86" t="n">
        <f aca="false">DATE(YEAR(B1181),MONTH(B1181),1)</f>
        <v>46204</v>
      </c>
      <c r="S1181" s="83" t="str">
        <f aca="false">YEAR(B1181)&amp;"-Q"&amp;ROUNDUP(MONTH(B1181)/3,0)</f>
        <v>2026-Q3</v>
      </c>
      <c r="T1181" s="87" t="n">
        <f aca="false">IF(O1181&gt;0,Q1181/O1181,"")</f>
        <v>0.321266968325792</v>
      </c>
      <c r="U1181" s="84" t="n">
        <f aca="false">IF(O1181&gt;0,O1181,"")</f>
        <v>442</v>
      </c>
    </row>
    <row r="1182" customFormat="false" ht="15" hidden="false" customHeight="false" outlineLevel="0" collapsed="false">
      <c r="A1182" s="81" t="s">
        <v>1825</v>
      </c>
      <c r="B1182" s="82" t="n">
        <v>46208</v>
      </c>
      <c r="C1182" s="81" t="s">
        <v>400</v>
      </c>
      <c r="D1182" s="83" t="str">
        <f aca="false">IFERROR(INDEX(c_Name,MATCH($C1182,c_ID,0)),"غير معرّف")</f>
        <v>عبير الشهري</v>
      </c>
      <c r="E1182" s="83" t="str">
        <f aca="false">IFERROR(INDEX(c_Region,MATCH($C1182,c_ID,0)),"غير معرّف")</f>
        <v>الوسطى</v>
      </c>
      <c r="F1182" s="81" t="s">
        <v>177</v>
      </c>
      <c r="G1182" s="83" t="str">
        <f aca="false">IFERROR(INDEX(p_Name,MATCH($F1182,p_ID,0)),"غير معرّف")</f>
        <v>ورق A4 (صندوق)</v>
      </c>
      <c r="H1182" s="83" t="str">
        <f aca="false">IFERROR(INDEX(p_Cat,MATCH($F1182,p_ID,0)),"غير معرّف")</f>
        <v>مستلزمات مكتبية</v>
      </c>
      <c r="I1182" s="81" t="s">
        <v>443</v>
      </c>
      <c r="J1182" s="81" t="s">
        <v>93</v>
      </c>
      <c r="K1182" s="81" t="n">
        <v>3</v>
      </c>
      <c r="L1182" s="84" t="n">
        <f aca="false">IFERROR(INDEX(p_Price,MATCH($F1182,p_ID,0)),0)</f>
        <v>140</v>
      </c>
      <c r="M1182" s="85" t="n">
        <v>0</v>
      </c>
      <c r="N1182" s="81" t="s">
        <v>644</v>
      </c>
      <c r="O1182" s="84" t="n">
        <f aca="false">IF($N1182="مرتجع",0,K1182*L1182*(1-M1182))</f>
        <v>420</v>
      </c>
      <c r="P1182" s="84" t="n">
        <f aca="false">IF($N1182="مرتجع",0,K1182*IFERROR(INDEX(p_Cost,MATCH($F1182,p_ID,0)),0))</f>
        <v>285</v>
      </c>
      <c r="Q1182" s="84" t="n">
        <f aca="false">O1182-P1182</f>
        <v>135</v>
      </c>
      <c r="R1182" s="86" t="n">
        <f aca="false">DATE(YEAR(B1182),MONTH(B1182),1)</f>
        <v>46204</v>
      </c>
      <c r="S1182" s="83" t="str">
        <f aca="false">YEAR(B1182)&amp;"-Q"&amp;ROUNDUP(MONTH(B1182)/3,0)</f>
        <v>2026-Q3</v>
      </c>
      <c r="T1182" s="87" t="n">
        <f aca="false">IF(O1182&gt;0,Q1182/O1182,"")</f>
        <v>0.321428571428571</v>
      </c>
      <c r="U1182" s="84" t="n">
        <f aca="false">IF(O1182&gt;0,O1182,"")</f>
        <v>420</v>
      </c>
    </row>
    <row r="1183" customFormat="false" ht="15" hidden="false" customHeight="false" outlineLevel="0" collapsed="false">
      <c r="A1183" s="81" t="s">
        <v>1826</v>
      </c>
      <c r="B1183" s="82" t="n">
        <v>46209</v>
      </c>
      <c r="C1183" s="81" t="s">
        <v>261</v>
      </c>
      <c r="D1183" s="83" t="str">
        <f aca="false">IFERROR(INDEX(c_Name,MATCH($C1183,c_ID,0)),"غير معرّف")</f>
        <v>ياسر الدوسري</v>
      </c>
      <c r="E1183" s="83" t="str">
        <f aca="false">IFERROR(INDEX(c_Region,MATCH($C1183,c_ID,0)),"غير معرّف")</f>
        <v>الجنوبية</v>
      </c>
      <c r="F1183" s="81" t="s">
        <v>167</v>
      </c>
      <c r="G1183" s="83" t="str">
        <f aca="false">IFERROR(INDEX(p_Name,MATCH($F1183,p_ID,0)),"غير معرّف")</f>
        <v>شاشة 27 بوصة</v>
      </c>
      <c r="H1183" s="83" t="str">
        <f aca="false">IFERROR(INDEX(p_Cat,MATCH($F1183,p_ID,0)),"غير معرّف")</f>
        <v>إلكترونيات</v>
      </c>
      <c r="I1183" s="81" t="s">
        <v>465</v>
      </c>
      <c r="J1183" s="81" t="s">
        <v>91</v>
      </c>
      <c r="K1183" s="81" t="n">
        <v>1</v>
      </c>
      <c r="L1183" s="84" t="n">
        <f aca="false">IFERROR(INDEX(p_Price,MATCH($F1183,p_ID,0)),0)</f>
        <v>1100</v>
      </c>
      <c r="M1183" s="85" t="n">
        <v>0.1</v>
      </c>
      <c r="N1183" s="81" t="s">
        <v>644</v>
      </c>
      <c r="O1183" s="84" t="n">
        <f aca="false">IF($N1183="مرتجع",0,K1183*L1183*(1-M1183))</f>
        <v>990</v>
      </c>
      <c r="P1183" s="84" t="n">
        <f aca="false">IF($N1183="مرتجع",0,K1183*IFERROR(INDEX(p_Cost,MATCH($F1183,p_ID,0)),0))</f>
        <v>780</v>
      </c>
      <c r="Q1183" s="84" t="n">
        <f aca="false">O1183-P1183</f>
        <v>210</v>
      </c>
      <c r="R1183" s="86" t="n">
        <f aca="false">DATE(YEAR(B1183),MONTH(B1183),1)</f>
        <v>46204</v>
      </c>
      <c r="S1183" s="83" t="str">
        <f aca="false">YEAR(B1183)&amp;"-Q"&amp;ROUNDUP(MONTH(B1183)/3,0)</f>
        <v>2026-Q3</v>
      </c>
      <c r="T1183" s="87" t="n">
        <f aca="false">IF(O1183&gt;0,Q1183/O1183,"")</f>
        <v>0.212121212121212</v>
      </c>
      <c r="U1183" s="84" t="n">
        <f aca="false">IF(O1183&gt;0,O1183,"")</f>
        <v>990</v>
      </c>
    </row>
    <row r="1184" customFormat="false" ht="15" hidden="false" customHeight="false" outlineLevel="0" collapsed="false">
      <c r="A1184" s="81" t="s">
        <v>1827</v>
      </c>
      <c r="B1184" s="82" t="n">
        <v>46210</v>
      </c>
      <c r="C1184" s="81" t="s">
        <v>286</v>
      </c>
      <c r="D1184" s="83" t="str">
        <f aca="false">IFERROR(INDEX(c_Name,MATCH($C1184,c_ID,0)),"غير معرّف")</f>
        <v>سعد الدوسري</v>
      </c>
      <c r="E1184" s="83" t="str">
        <f aca="false">IFERROR(INDEX(c_Region,MATCH($C1184,c_ID,0)),"غير معرّف")</f>
        <v>الشرقية</v>
      </c>
      <c r="F1184" s="81" t="s">
        <v>179</v>
      </c>
      <c r="G1184" s="83" t="str">
        <f aca="false">IFERROR(INDEX(p_Name,MATCH($F1184,p_ID,0)),"غير معرّف")</f>
        <v>طقم أدوات مكتبية</v>
      </c>
      <c r="H1184" s="83" t="str">
        <f aca="false">IFERROR(INDEX(p_Cat,MATCH($F1184,p_ID,0)),"غير معرّف")</f>
        <v>مستلزمات مكتبية</v>
      </c>
      <c r="I1184" s="81" t="s">
        <v>463</v>
      </c>
      <c r="J1184" s="81" t="s">
        <v>93</v>
      </c>
      <c r="K1184" s="81" t="n">
        <v>2</v>
      </c>
      <c r="L1184" s="84" t="n">
        <f aca="false">IFERROR(INDEX(p_Price,MATCH($F1184,p_ID,0)),0)</f>
        <v>90</v>
      </c>
      <c r="M1184" s="85" t="n">
        <v>0.1</v>
      </c>
      <c r="N1184" s="81" t="s">
        <v>644</v>
      </c>
      <c r="O1184" s="84" t="n">
        <f aca="false">IF($N1184="مرتجع",0,K1184*L1184*(1-M1184))</f>
        <v>162</v>
      </c>
      <c r="P1184" s="84" t="n">
        <f aca="false">IF($N1184="مرتجع",0,K1184*IFERROR(INDEX(p_Cost,MATCH($F1184,p_ID,0)),0))</f>
        <v>90</v>
      </c>
      <c r="Q1184" s="84" t="n">
        <f aca="false">O1184-P1184</f>
        <v>72</v>
      </c>
      <c r="R1184" s="86" t="n">
        <f aca="false">DATE(YEAR(B1184),MONTH(B1184),1)</f>
        <v>46204</v>
      </c>
      <c r="S1184" s="83" t="str">
        <f aca="false">YEAR(B1184)&amp;"-Q"&amp;ROUNDUP(MONTH(B1184)/3,0)</f>
        <v>2026-Q3</v>
      </c>
      <c r="T1184" s="87" t="n">
        <f aca="false">IF(O1184&gt;0,Q1184/O1184,"")</f>
        <v>0.444444444444444</v>
      </c>
      <c r="U1184" s="84" t="n">
        <f aca="false">IF(O1184&gt;0,O1184,"")</f>
        <v>162</v>
      </c>
    </row>
    <row r="1185" customFormat="false" ht="15" hidden="false" customHeight="false" outlineLevel="0" collapsed="false">
      <c r="A1185" s="81" t="s">
        <v>1828</v>
      </c>
      <c r="B1185" s="82" t="n">
        <v>46210</v>
      </c>
      <c r="C1185" s="81" t="s">
        <v>310</v>
      </c>
      <c r="D1185" s="83" t="str">
        <f aca="false">IFERROR(INDEX(c_Name,MATCH($C1185,c_ID,0)),"غير معرّف")</f>
        <v>طارق السبيعي</v>
      </c>
      <c r="E1185" s="83" t="str">
        <f aca="false">IFERROR(INDEX(c_Region,MATCH($C1185,c_ID,0)),"غير معرّف")</f>
        <v>الوسطى</v>
      </c>
      <c r="F1185" s="81" t="s">
        <v>184</v>
      </c>
      <c r="G1185" s="83" t="str">
        <f aca="false">IFERROR(INDEX(p_Name,MATCH($F1185,p_ID,0)),"غير معرّف")</f>
        <v>عطر فاخر</v>
      </c>
      <c r="H1185" s="83" t="str">
        <f aca="false">IFERROR(INDEX(p_Cat,MATCH($F1185,p_ID,0)),"غير معرّف")</f>
        <v>عناية شخصية</v>
      </c>
      <c r="I1185" s="81" t="s">
        <v>446</v>
      </c>
      <c r="J1185" s="81" t="s">
        <v>93</v>
      </c>
      <c r="K1185" s="81" t="n">
        <v>2</v>
      </c>
      <c r="L1185" s="84" t="n">
        <f aca="false">IFERROR(INDEX(p_Price,MATCH($F1185,p_ID,0)),0)</f>
        <v>520</v>
      </c>
      <c r="M1185" s="85" t="n">
        <v>0.05</v>
      </c>
      <c r="N1185" s="81" t="s">
        <v>644</v>
      </c>
      <c r="O1185" s="84" t="n">
        <f aca="false">IF($N1185="مرتجع",0,K1185*L1185*(1-M1185))</f>
        <v>988</v>
      </c>
      <c r="P1185" s="84" t="n">
        <f aca="false">IF($N1185="مرتجع",0,K1185*IFERROR(INDEX(p_Cost,MATCH($F1185,p_ID,0)),0))</f>
        <v>420</v>
      </c>
      <c r="Q1185" s="84" t="n">
        <f aca="false">O1185-P1185</f>
        <v>568</v>
      </c>
      <c r="R1185" s="86" t="n">
        <f aca="false">DATE(YEAR(B1185),MONTH(B1185),1)</f>
        <v>46204</v>
      </c>
      <c r="S1185" s="83" t="str">
        <f aca="false">YEAR(B1185)&amp;"-Q"&amp;ROUNDUP(MONTH(B1185)/3,0)</f>
        <v>2026-Q3</v>
      </c>
      <c r="T1185" s="87" t="n">
        <f aca="false">IF(O1185&gt;0,Q1185/O1185,"")</f>
        <v>0.574898785425101</v>
      </c>
      <c r="U1185" s="84" t="n">
        <f aca="false">IF(O1185&gt;0,O1185,"")</f>
        <v>988</v>
      </c>
    </row>
    <row r="1186" customFormat="false" ht="15" hidden="false" customHeight="false" outlineLevel="0" collapsed="false">
      <c r="A1186" s="81" t="s">
        <v>1829</v>
      </c>
      <c r="B1186" s="82" t="n">
        <v>46211</v>
      </c>
      <c r="C1186" s="81" t="s">
        <v>334</v>
      </c>
      <c r="D1186" s="83" t="str">
        <f aca="false">IFERROR(INDEX(c_Name,MATCH($C1186,c_ID,0)),"غير معرّف")</f>
        <v>ناصر الغامدي</v>
      </c>
      <c r="E1186" s="83" t="str">
        <f aca="false">IFERROR(INDEX(c_Region,MATCH($C1186,c_ID,0)),"غير معرّف")</f>
        <v>الغربية</v>
      </c>
      <c r="F1186" s="81" t="s">
        <v>186</v>
      </c>
      <c r="G1186" s="83" t="str">
        <f aca="false">IFERROR(INDEX(p_Name,MATCH($F1186,p_ID,0)),"غير معرّف")</f>
        <v>مجفف شعر</v>
      </c>
      <c r="H1186" s="83" t="str">
        <f aca="false">IFERROR(INDEX(p_Cat,MATCH($F1186,p_ID,0)),"غير معرّف")</f>
        <v>عناية شخصية</v>
      </c>
      <c r="I1186" s="81" t="s">
        <v>458</v>
      </c>
      <c r="J1186" s="81" t="s">
        <v>91</v>
      </c>
      <c r="K1186" s="81" t="n">
        <v>4</v>
      </c>
      <c r="L1186" s="84" t="n">
        <f aca="false">IFERROR(INDEX(p_Price,MATCH($F1186,p_ID,0)),0)</f>
        <v>280</v>
      </c>
      <c r="M1186" s="85" t="n">
        <v>0.05</v>
      </c>
      <c r="N1186" s="81" t="s">
        <v>644</v>
      </c>
      <c r="O1186" s="84" t="n">
        <f aca="false">IF($N1186="مرتجع",0,K1186*L1186*(1-M1186))</f>
        <v>1064</v>
      </c>
      <c r="P1186" s="84" t="n">
        <f aca="false">IF($N1186="مرتجع",0,K1186*IFERROR(INDEX(p_Cost,MATCH($F1186,p_ID,0)),0))</f>
        <v>560</v>
      </c>
      <c r="Q1186" s="84" t="n">
        <f aca="false">O1186-P1186</f>
        <v>504</v>
      </c>
      <c r="R1186" s="86" t="n">
        <f aca="false">DATE(YEAR(B1186),MONTH(B1186),1)</f>
        <v>46204</v>
      </c>
      <c r="S1186" s="83" t="str">
        <f aca="false">YEAR(B1186)&amp;"-Q"&amp;ROUNDUP(MONTH(B1186)/3,0)</f>
        <v>2026-Q3</v>
      </c>
      <c r="T1186" s="87" t="n">
        <f aca="false">IF(O1186&gt;0,Q1186/O1186,"")</f>
        <v>0.473684210526316</v>
      </c>
      <c r="U1186" s="84" t="n">
        <f aca="false">IF(O1186&gt;0,O1186,"")</f>
        <v>1064</v>
      </c>
    </row>
    <row r="1187" customFormat="false" ht="15" hidden="false" customHeight="false" outlineLevel="0" collapsed="false">
      <c r="A1187" s="81" t="s">
        <v>1830</v>
      </c>
      <c r="B1187" s="82" t="n">
        <v>46211</v>
      </c>
      <c r="C1187" s="81" t="s">
        <v>281</v>
      </c>
      <c r="D1187" s="83" t="str">
        <f aca="false">IFERROR(INDEX(c_Name,MATCH($C1187,c_ID,0)),"غير معرّف")</f>
        <v>ريم الخالدي</v>
      </c>
      <c r="E1187" s="83" t="str">
        <f aca="false">IFERROR(INDEX(c_Region,MATCH($C1187,c_ID,0)),"غير معرّف")</f>
        <v>الوسطى</v>
      </c>
      <c r="F1187" s="81" t="s">
        <v>185</v>
      </c>
      <c r="G1187" s="83" t="str">
        <f aca="false">IFERROR(INDEX(p_Name,MATCH($F1187,p_ID,0)),"غير معرّف")</f>
        <v>ماكينة حلاقة</v>
      </c>
      <c r="H1187" s="83" t="str">
        <f aca="false">IFERROR(INDEX(p_Cat,MATCH($F1187,p_ID,0)),"غير معرّف")</f>
        <v>عناية شخصية</v>
      </c>
      <c r="I1187" s="81" t="s">
        <v>443</v>
      </c>
      <c r="J1187" s="81" t="s">
        <v>91</v>
      </c>
      <c r="K1187" s="81" t="n">
        <v>3</v>
      </c>
      <c r="L1187" s="84" t="n">
        <f aca="false">IFERROR(INDEX(p_Price,MATCH($F1187,p_ID,0)),0)</f>
        <v>340</v>
      </c>
      <c r="M1187" s="85" t="n">
        <v>0.05</v>
      </c>
      <c r="N1187" s="81" t="s">
        <v>644</v>
      </c>
      <c r="O1187" s="84" t="n">
        <f aca="false">IF($N1187="مرتجع",0,K1187*L1187*(1-M1187))</f>
        <v>969</v>
      </c>
      <c r="P1187" s="84" t="n">
        <f aca="false">IF($N1187="مرتجع",0,K1187*IFERROR(INDEX(p_Cost,MATCH($F1187,p_ID,0)),0))</f>
        <v>510</v>
      </c>
      <c r="Q1187" s="84" t="n">
        <f aca="false">O1187-P1187</f>
        <v>459</v>
      </c>
      <c r="R1187" s="86" t="n">
        <f aca="false">DATE(YEAR(B1187),MONTH(B1187),1)</f>
        <v>46204</v>
      </c>
      <c r="S1187" s="83" t="str">
        <f aca="false">YEAR(B1187)&amp;"-Q"&amp;ROUNDUP(MONTH(B1187)/3,0)</f>
        <v>2026-Q3</v>
      </c>
      <c r="T1187" s="87" t="n">
        <f aca="false">IF(O1187&gt;0,Q1187/O1187,"")</f>
        <v>0.473684210526316</v>
      </c>
      <c r="U1187" s="84" t="n">
        <f aca="false">IF(O1187&gt;0,O1187,"")</f>
        <v>969</v>
      </c>
    </row>
    <row r="1188" customFormat="false" ht="15" hidden="false" customHeight="false" outlineLevel="0" collapsed="false">
      <c r="A1188" s="81" t="s">
        <v>1831</v>
      </c>
      <c r="B1188" s="82" t="n">
        <v>46211</v>
      </c>
      <c r="C1188" s="81" t="s">
        <v>385</v>
      </c>
      <c r="D1188" s="83" t="str">
        <f aca="false">IFERROR(INDEX(c_Name,MATCH($C1188,c_ID,0)),"غير معرّف")</f>
        <v>سارة الشهري</v>
      </c>
      <c r="E1188" s="83" t="str">
        <f aca="false">IFERROR(INDEX(c_Region,MATCH($C1188,c_ID,0)),"غير معرّف")</f>
        <v>الشرقية</v>
      </c>
      <c r="F1188" s="81" t="s">
        <v>182</v>
      </c>
      <c r="G1188" s="83" t="str">
        <f aca="false">IFERROR(INDEX(p_Name,MATCH($F1188,p_ID,0)),"غير معرّف")</f>
        <v>طقم أوزان</v>
      </c>
      <c r="H1188" s="83" t="str">
        <f aca="false">IFERROR(INDEX(p_Cat,MATCH($F1188,p_ID,0)),"غير معرّف")</f>
        <v>رياضة</v>
      </c>
      <c r="I1188" s="81" t="s">
        <v>461</v>
      </c>
      <c r="J1188" s="81" t="s">
        <v>91</v>
      </c>
      <c r="K1188" s="81" t="n">
        <v>1</v>
      </c>
      <c r="L1188" s="84" t="n">
        <f aca="false">IFERROR(INDEX(p_Price,MATCH($F1188,p_ID,0)),0)</f>
        <v>380</v>
      </c>
      <c r="M1188" s="85" t="n">
        <v>0.2</v>
      </c>
      <c r="N1188" s="81" t="s">
        <v>644</v>
      </c>
      <c r="O1188" s="84" t="n">
        <f aca="false">IF($N1188="مرتجع",0,K1188*L1188*(1-M1188))</f>
        <v>304</v>
      </c>
      <c r="P1188" s="84" t="n">
        <f aca="false">IF($N1188="مرتجع",0,K1188*IFERROR(INDEX(p_Cost,MATCH($F1188,p_ID,0)),0))</f>
        <v>210</v>
      </c>
      <c r="Q1188" s="84" t="n">
        <f aca="false">O1188-P1188</f>
        <v>94</v>
      </c>
      <c r="R1188" s="86" t="n">
        <f aca="false">DATE(YEAR(B1188),MONTH(B1188),1)</f>
        <v>46204</v>
      </c>
      <c r="S1188" s="83" t="str">
        <f aca="false">YEAR(B1188)&amp;"-Q"&amp;ROUNDUP(MONTH(B1188)/3,0)</f>
        <v>2026-Q3</v>
      </c>
      <c r="T1188" s="87" t="n">
        <f aca="false">IF(O1188&gt;0,Q1188/O1188,"")</f>
        <v>0.30921052631579</v>
      </c>
      <c r="U1188" s="84" t="n">
        <f aca="false">IF(O1188&gt;0,O1188,"")</f>
        <v>304</v>
      </c>
    </row>
    <row r="1189" customFormat="false" ht="15" hidden="false" customHeight="false" outlineLevel="0" collapsed="false">
      <c r="A1189" s="81" t="s">
        <v>1832</v>
      </c>
      <c r="B1189" s="82" t="n">
        <v>46212</v>
      </c>
      <c r="C1189" s="81" t="s">
        <v>385</v>
      </c>
      <c r="D1189" s="83" t="str">
        <f aca="false">IFERROR(INDEX(c_Name,MATCH($C1189,c_ID,0)),"غير معرّف")</f>
        <v>سارة الشهري</v>
      </c>
      <c r="E1189" s="83" t="str">
        <f aca="false">IFERROR(INDEX(c_Region,MATCH($C1189,c_ID,0)),"غير معرّف")</f>
        <v>الشرقية</v>
      </c>
      <c r="F1189" s="81" t="s">
        <v>180</v>
      </c>
      <c r="G1189" s="83" t="str">
        <f aca="false">IFERROR(INDEX(p_Name,MATCH($F1189,p_ID,0)),"غير معرّف")</f>
        <v>جهاز مشي</v>
      </c>
      <c r="H1189" s="83" t="str">
        <f aca="false">IFERROR(INDEX(p_Cat,MATCH($F1189,p_ID,0)),"غير معرّف")</f>
        <v>رياضة</v>
      </c>
      <c r="I1189" s="81" t="s">
        <v>461</v>
      </c>
      <c r="J1189" s="81" t="s">
        <v>93</v>
      </c>
      <c r="K1189" s="81" t="n">
        <v>1</v>
      </c>
      <c r="L1189" s="84" t="n">
        <f aca="false">IFERROR(INDEX(p_Price,MATCH($F1189,p_ID,0)),0)</f>
        <v>3200</v>
      </c>
      <c r="M1189" s="85" t="n">
        <v>0.2</v>
      </c>
      <c r="N1189" s="81" t="s">
        <v>644</v>
      </c>
      <c r="O1189" s="84" t="n">
        <f aca="false">IF($N1189="مرتجع",0,K1189*L1189*(1-M1189))</f>
        <v>2560</v>
      </c>
      <c r="P1189" s="84" t="n">
        <f aca="false">IF($N1189="مرتجع",0,K1189*IFERROR(INDEX(p_Cost,MATCH($F1189,p_ID,0)),0))</f>
        <v>2200</v>
      </c>
      <c r="Q1189" s="84" t="n">
        <f aca="false">O1189-P1189</f>
        <v>360</v>
      </c>
      <c r="R1189" s="86" t="n">
        <f aca="false">DATE(YEAR(B1189),MONTH(B1189),1)</f>
        <v>46204</v>
      </c>
      <c r="S1189" s="83" t="str">
        <f aca="false">YEAR(B1189)&amp;"-Q"&amp;ROUNDUP(MONTH(B1189)/3,0)</f>
        <v>2026-Q3</v>
      </c>
      <c r="T1189" s="87" t="n">
        <f aca="false">IF(O1189&gt;0,Q1189/O1189,"")</f>
        <v>0.140625</v>
      </c>
      <c r="U1189" s="84" t="n">
        <f aca="false">IF(O1189&gt;0,O1189,"")</f>
        <v>2560</v>
      </c>
    </row>
    <row r="1190" customFormat="false" ht="15" hidden="false" customHeight="false" outlineLevel="0" collapsed="false">
      <c r="A1190" s="81" t="s">
        <v>1833</v>
      </c>
      <c r="B1190" s="82" t="n">
        <v>46212</v>
      </c>
      <c r="C1190" s="81" t="s">
        <v>295</v>
      </c>
      <c r="D1190" s="83" t="str">
        <f aca="false">IFERROR(INDEX(c_Name,MATCH($C1190,c_ID,0)),"غير معرّف")</f>
        <v>عبير الزهراني</v>
      </c>
      <c r="E1190" s="83" t="str">
        <f aca="false">IFERROR(INDEX(c_Region,MATCH($C1190,c_ID,0)),"غير معرّف")</f>
        <v>الوسطى</v>
      </c>
      <c r="F1190" s="81" t="s">
        <v>179</v>
      </c>
      <c r="G1190" s="83" t="str">
        <f aca="false">IFERROR(INDEX(p_Name,MATCH($F1190,p_ID,0)),"غير معرّف")</f>
        <v>طقم أدوات مكتبية</v>
      </c>
      <c r="H1190" s="83" t="str">
        <f aca="false">IFERROR(INDEX(p_Cat,MATCH($F1190,p_ID,0)),"غير معرّف")</f>
        <v>مستلزمات مكتبية</v>
      </c>
      <c r="I1190" s="81" t="s">
        <v>443</v>
      </c>
      <c r="J1190" s="81" t="s">
        <v>93</v>
      </c>
      <c r="K1190" s="81" t="n">
        <v>6</v>
      </c>
      <c r="L1190" s="84" t="n">
        <f aca="false">IFERROR(INDEX(p_Price,MATCH($F1190,p_ID,0)),0)</f>
        <v>90</v>
      </c>
      <c r="M1190" s="85" t="n">
        <v>0</v>
      </c>
      <c r="N1190" s="81" t="s">
        <v>644</v>
      </c>
      <c r="O1190" s="84" t="n">
        <f aca="false">IF($N1190="مرتجع",0,K1190*L1190*(1-M1190))</f>
        <v>540</v>
      </c>
      <c r="P1190" s="84" t="n">
        <f aca="false">IF($N1190="مرتجع",0,K1190*IFERROR(INDEX(p_Cost,MATCH($F1190,p_ID,0)),0))</f>
        <v>270</v>
      </c>
      <c r="Q1190" s="84" t="n">
        <f aca="false">O1190-P1190</f>
        <v>270</v>
      </c>
      <c r="R1190" s="86" t="n">
        <f aca="false">DATE(YEAR(B1190),MONTH(B1190),1)</f>
        <v>46204</v>
      </c>
      <c r="S1190" s="83" t="str">
        <f aca="false">YEAR(B1190)&amp;"-Q"&amp;ROUNDUP(MONTH(B1190)/3,0)</f>
        <v>2026-Q3</v>
      </c>
      <c r="T1190" s="87" t="n">
        <f aca="false">IF(O1190&gt;0,Q1190/O1190,"")</f>
        <v>0.5</v>
      </c>
      <c r="U1190" s="84" t="n">
        <f aca="false">IF(O1190&gt;0,O1190,"")</f>
        <v>540</v>
      </c>
    </row>
    <row r="1191" customFormat="false" ht="15" hidden="false" customHeight="false" outlineLevel="0" collapsed="false">
      <c r="A1191" s="81" t="s">
        <v>1834</v>
      </c>
      <c r="B1191" s="82" t="n">
        <v>46212</v>
      </c>
      <c r="C1191" s="81" t="s">
        <v>260</v>
      </c>
      <c r="D1191" s="83" t="str">
        <f aca="false">IFERROR(INDEX(c_Name,MATCH($C1191,c_ID,0)),"غير معرّف")</f>
        <v>منى العتيبي</v>
      </c>
      <c r="E1191" s="83" t="str">
        <f aca="false">IFERROR(INDEX(c_Region,MATCH($C1191,c_ID,0)),"غير معرّف")</f>
        <v>الشرقية</v>
      </c>
      <c r="F1191" s="81" t="s">
        <v>174</v>
      </c>
      <c r="G1191" s="83" t="str">
        <f aca="false">IFERROR(INDEX(p_Name,MATCH($F1191,p_ID,0)),"غير معرّف")</f>
        <v>خزانة ملفات</v>
      </c>
      <c r="H1191" s="83" t="str">
        <f aca="false">IFERROR(INDEX(p_Cat,MATCH($F1191,p_ID,0)),"غير معرّف")</f>
        <v>أثاث</v>
      </c>
      <c r="I1191" s="81" t="s">
        <v>461</v>
      </c>
      <c r="J1191" s="81" t="s">
        <v>91</v>
      </c>
      <c r="K1191" s="81" t="n">
        <v>7</v>
      </c>
      <c r="L1191" s="84" t="n">
        <f aca="false">IFERROR(INDEX(p_Price,MATCH($F1191,p_ID,0)),0)</f>
        <v>700</v>
      </c>
      <c r="M1191" s="85" t="n">
        <v>0.05</v>
      </c>
      <c r="N1191" s="81" t="s">
        <v>644</v>
      </c>
      <c r="O1191" s="84" t="n">
        <f aca="false">IF($N1191="مرتجع",0,K1191*L1191*(1-M1191))</f>
        <v>4655</v>
      </c>
      <c r="P1191" s="84" t="n">
        <f aca="false">IF($N1191="مرتجع",0,K1191*IFERROR(INDEX(p_Cost,MATCH($F1191,p_ID,0)),0))</f>
        <v>2870</v>
      </c>
      <c r="Q1191" s="84" t="n">
        <f aca="false">O1191-P1191</f>
        <v>1785</v>
      </c>
      <c r="R1191" s="86" t="n">
        <f aca="false">DATE(YEAR(B1191),MONTH(B1191),1)</f>
        <v>46204</v>
      </c>
      <c r="S1191" s="83" t="str">
        <f aca="false">YEAR(B1191)&amp;"-Q"&amp;ROUNDUP(MONTH(B1191)/3,0)</f>
        <v>2026-Q3</v>
      </c>
      <c r="T1191" s="87" t="n">
        <f aca="false">IF(O1191&gt;0,Q1191/O1191,"")</f>
        <v>0.383458646616541</v>
      </c>
      <c r="U1191" s="84" t="n">
        <f aca="false">IF(O1191&gt;0,O1191,"")</f>
        <v>4655</v>
      </c>
    </row>
    <row r="1192" customFormat="false" ht="15" hidden="false" customHeight="false" outlineLevel="0" collapsed="false">
      <c r="A1192" s="81" t="s">
        <v>1835</v>
      </c>
      <c r="B1192" s="82" t="n">
        <v>46213</v>
      </c>
      <c r="C1192" s="81" t="s">
        <v>335</v>
      </c>
      <c r="D1192" s="83" t="str">
        <f aca="false">IFERROR(INDEX(c_Name,MATCH($C1192,c_ID,0)),"غير معرّف")</f>
        <v>نورة الحربي</v>
      </c>
      <c r="E1192" s="83" t="str">
        <f aca="false">IFERROR(INDEX(c_Region,MATCH($C1192,c_ID,0)),"غير معرّف")</f>
        <v>الشرقية</v>
      </c>
      <c r="F1192" s="81" t="s">
        <v>165</v>
      </c>
      <c r="G1192" s="83" t="str">
        <f aca="false">IFERROR(INDEX(p_Name,MATCH($F1192,p_ID,0)),"غير معرّف")</f>
        <v>حاسوب محمول</v>
      </c>
      <c r="H1192" s="83" t="str">
        <f aca="false">IFERROR(INDEX(p_Cat,MATCH($F1192,p_ID,0)),"غير معرّف")</f>
        <v>إلكترونيات</v>
      </c>
      <c r="I1192" s="81" t="s">
        <v>461</v>
      </c>
      <c r="J1192" s="81" t="s">
        <v>91</v>
      </c>
      <c r="K1192" s="81" t="n">
        <v>1</v>
      </c>
      <c r="L1192" s="84" t="n">
        <f aca="false">IFERROR(INDEX(p_Price,MATCH($F1192,p_ID,0)),0)</f>
        <v>3800</v>
      </c>
      <c r="M1192" s="85" t="n">
        <v>0.15</v>
      </c>
      <c r="N1192" s="81" t="s">
        <v>644</v>
      </c>
      <c r="O1192" s="84" t="n">
        <f aca="false">IF($N1192="مرتجع",0,K1192*L1192*(1-M1192))</f>
        <v>3230</v>
      </c>
      <c r="P1192" s="84" t="n">
        <f aca="false">IF($N1192="مرتجع",0,K1192*IFERROR(INDEX(p_Cost,MATCH($F1192,p_ID,0)),0))</f>
        <v>2900</v>
      </c>
      <c r="Q1192" s="84" t="n">
        <f aca="false">O1192-P1192</f>
        <v>330</v>
      </c>
      <c r="R1192" s="86" t="n">
        <f aca="false">DATE(YEAR(B1192),MONTH(B1192),1)</f>
        <v>46204</v>
      </c>
      <c r="S1192" s="83" t="str">
        <f aca="false">YEAR(B1192)&amp;"-Q"&amp;ROUNDUP(MONTH(B1192)/3,0)</f>
        <v>2026-Q3</v>
      </c>
      <c r="T1192" s="87" t="n">
        <f aca="false">IF(O1192&gt;0,Q1192/O1192,"")</f>
        <v>0.102167182662539</v>
      </c>
      <c r="U1192" s="84" t="n">
        <f aca="false">IF(O1192&gt;0,O1192,"")</f>
        <v>3230</v>
      </c>
    </row>
    <row r="1193" customFormat="false" ht="15" hidden="false" customHeight="false" outlineLevel="0" collapsed="false">
      <c r="A1193" s="81" t="s">
        <v>1836</v>
      </c>
      <c r="B1193" s="82" t="n">
        <v>46213</v>
      </c>
      <c r="C1193" s="81" t="s">
        <v>386</v>
      </c>
      <c r="D1193" s="83" t="str">
        <f aca="false">IFERROR(INDEX(c_Name,MATCH($C1193,c_ID,0)),"غير معرّف")</f>
        <v>نورة الشمري</v>
      </c>
      <c r="E1193" s="83" t="str">
        <f aca="false">IFERROR(INDEX(c_Region,MATCH($C1193,c_ID,0)),"غير معرّف")</f>
        <v>الغربية</v>
      </c>
      <c r="F1193" s="81" t="s">
        <v>171</v>
      </c>
      <c r="G1193" s="83" t="str">
        <f aca="false">IFERROR(INDEX(p_Name,MATCH($F1193,p_ID,0)),"غير معرّف")</f>
        <v>قلاية هوائية</v>
      </c>
      <c r="H1193" s="83" t="str">
        <f aca="false">IFERROR(INDEX(p_Cat,MATCH($F1193,p_ID,0)),"غير معرّف")</f>
        <v>أجهزة منزلية</v>
      </c>
      <c r="I1193" s="81" t="s">
        <v>452</v>
      </c>
      <c r="J1193" s="81" t="s">
        <v>91</v>
      </c>
      <c r="K1193" s="81" t="n">
        <v>1</v>
      </c>
      <c r="L1193" s="84" t="n">
        <f aca="false">IFERROR(INDEX(p_Price,MATCH($F1193,p_ID,0)),0)</f>
        <v>520</v>
      </c>
      <c r="M1193" s="85" t="n">
        <v>0.05</v>
      </c>
      <c r="N1193" s="81" t="s">
        <v>644</v>
      </c>
      <c r="O1193" s="84" t="n">
        <f aca="false">IF($N1193="مرتجع",0,K1193*L1193*(1-M1193))</f>
        <v>494</v>
      </c>
      <c r="P1193" s="84" t="n">
        <f aca="false">IF($N1193="مرتجع",0,K1193*IFERROR(INDEX(p_Cost,MATCH($F1193,p_ID,0)),0))</f>
        <v>300</v>
      </c>
      <c r="Q1193" s="84" t="n">
        <f aca="false">O1193-P1193</f>
        <v>194</v>
      </c>
      <c r="R1193" s="86" t="n">
        <f aca="false">DATE(YEAR(B1193),MONTH(B1193),1)</f>
        <v>46204</v>
      </c>
      <c r="S1193" s="83" t="str">
        <f aca="false">YEAR(B1193)&amp;"-Q"&amp;ROUNDUP(MONTH(B1193)/3,0)</f>
        <v>2026-Q3</v>
      </c>
      <c r="T1193" s="87" t="n">
        <f aca="false">IF(O1193&gt;0,Q1193/O1193,"")</f>
        <v>0.392712550607287</v>
      </c>
      <c r="U1193" s="84" t="n">
        <f aca="false">IF(O1193&gt;0,O1193,"")</f>
        <v>494</v>
      </c>
    </row>
    <row r="1194" customFormat="false" ht="15" hidden="false" customHeight="false" outlineLevel="0" collapsed="false">
      <c r="A1194" s="81" t="s">
        <v>1837</v>
      </c>
      <c r="B1194" s="82" t="n">
        <v>46213</v>
      </c>
      <c r="C1194" s="81" t="s">
        <v>369</v>
      </c>
      <c r="D1194" s="83" t="str">
        <f aca="false">IFERROR(INDEX(c_Name,MATCH($C1194,c_ID,0)),"غير معرّف")</f>
        <v>منى الغامدي</v>
      </c>
      <c r="E1194" s="83" t="str">
        <f aca="false">IFERROR(INDEX(c_Region,MATCH($C1194,c_ID,0)),"غير معرّف")</f>
        <v>الوسطى</v>
      </c>
      <c r="F1194" s="81" t="s">
        <v>168</v>
      </c>
      <c r="G1194" s="83" t="str">
        <f aca="false">IFERROR(INDEX(p_Name,MATCH($F1194,p_ID,0)),"غير معرّف")</f>
        <v>مكنسة كهربائية</v>
      </c>
      <c r="H1194" s="83" t="str">
        <f aca="false">IFERROR(INDEX(p_Cat,MATCH($F1194,p_ID,0)),"غير معرّف")</f>
        <v>أجهزة منزلية</v>
      </c>
      <c r="I1194" s="81" t="s">
        <v>446</v>
      </c>
      <c r="J1194" s="81" t="s">
        <v>93</v>
      </c>
      <c r="K1194" s="81" t="n">
        <v>1</v>
      </c>
      <c r="L1194" s="84" t="n">
        <f aca="false">IFERROR(INDEX(p_Price,MATCH($F1194,p_ID,0)),0)</f>
        <v>650</v>
      </c>
      <c r="M1194" s="85" t="n">
        <v>0.05</v>
      </c>
      <c r="N1194" s="81" t="s">
        <v>644</v>
      </c>
      <c r="O1194" s="84" t="n">
        <f aca="false">IF($N1194="مرتجع",0,K1194*L1194*(1-M1194))</f>
        <v>617.5</v>
      </c>
      <c r="P1194" s="84" t="n">
        <f aca="false">IF($N1194="مرتجع",0,K1194*IFERROR(INDEX(p_Cost,MATCH($F1194,p_ID,0)),0))</f>
        <v>420</v>
      </c>
      <c r="Q1194" s="84" t="n">
        <f aca="false">O1194-P1194</f>
        <v>197.5</v>
      </c>
      <c r="R1194" s="86" t="n">
        <f aca="false">DATE(YEAR(B1194),MONTH(B1194),1)</f>
        <v>46204</v>
      </c>
      <c r="S1194" s="83" t="str">
        <f aca="false">YEAR(B1194)&amp;"-Q"&amp;ROUNDUP(MONTH(B1194)/3,0)</f>
        <v>2026-Q3</v>
      </c>
      <c r="T1194" s="87" t="n">
        <f aca="false">IF(O1194&gt;0,Q1194/O1194,"")</f>
        <v>0.319838056680162</v>
      </c>
      <c r="U1194" s="84" t="n">
        <f aca="false">IF(O1194&gt;0,O1194,"")</f>
        <v>617.5</v>
      </c>
    </row>
    <row r="1195" customFormat="false" ht="15" hidden="false" customHeight="false" outlineLevel="0" collapsed="false">
      <c r="A1195" s="81" t="s">
        <v>1838</v>
      </c>
      <c r="B1195" s="82" t="n">
        <v>46213</v>
      </c>
      <c r="C1195" s="81" t="s">
        <v>394</v>
      </c>
      <c r="D1195" s="83" t="str">
        <f aca="false">IFERROR(INDEX(c_Name,MATCH($C1195,c_ID,0)),"غير معرّف")</f>
        <v>طارق الغامدي</v>
      </c>
      <c r="E1195" s="83" t="str">
        <f aca="false">IFERROR(INDEX(c_Region,MATCH($C1195,c_ID,0)),"غير معرّف")</f>
        <v>الشرقية</v>
      </c>
      <c r="F1195" s="81" t="s">
        <v>166</v>
      </c>
      <c r="G1195" s="83" t="str">
        <f aca="false">IFERROR(INDEX(p_Name,MATCH($F1195,p_ID,0)),"غير معرّف")</f>
        <v>سماعات لاسلكية</v>
      </c>
      <c r="H1195" s="83" t="str">
        <f aca="false">IFERROR(INDEX(p_Cat,MATCH($F1195,p_ID,0)),"غير معرّف")</f>
        <v>إلكترونيات</v>
      </c>
      <c r="I1195" s="81" t="s">
        <v>461</v>
      </c>
      <c r="J1195" s="81" t="s">
        <v>91</v>
      </c>
      <c r="K1195" s="81" t="n">
        <v>1</v>
      </c>
      <c r="L1195" s="84" t="n">
        <f aca="false">IFERROR(INDEX(p_Price,MATCH($F1195,p_ID,0)),0)</f>
        <v>450</v>
      </c>
      <c r="M1195" s="85" t="n">
        <v>0</v>
      </c>
      <c r="N1195" s="81" t="s">
        <v>644</v>
      </c>
      <c r="O1195" s="84" t="n">
        <f aca="false">IF($N1195="مرتجع",0,K1195*L1195*(1-M1195))</f>
        <v>450</v>
      </c>
      <c r="P1195" s="84" t="n">
        <f aca="false">IF($N1195="مرتجع",0,K1195*IFERROR(INDEX(p_Cost,MATCH($F1195,p_ID,0)),0))</f>
        <v>260</v>
      </c>
      <c r="Q1195" s="84" t="n">
        <f aca="false">O1195-P1195</f>
        <v>190</v>
      </c>
      <c r="R1195" s="86" t="n">
        <f aca="false">DATE(YEAR(B1195),MONTH(B1195),1)</f>
        <v>46204</v>
      </c>
      <c r="S1195" s="83" t="str">
        <f aca="false">YEAR(B1195)&amp;"-Q"&amp;ROUNDUP(MONTH(B1195)/3,0)</f>
        <v>2026-Q3</v>
      </c>
      <c r="T1195" s="87" t="n">
        <f aca="false">IF(O1195&gt;0,Q1195/O1195,"")</f>
        <v>0.422222222222222</v>
      </c>
      <c r="U1195" s="84" t="n">
        <f aca="false">IF(O1195&gt;0,O1195,"")</f>
        <v>450</v>
      </c>
    </row>
    <row r="1196" customFormat="false" ht="15" hidden="false" customHeight="false" outlineLevel="0" collapsed="false">
      <c r="A1196" s="81" t="s">
        <v>1839</v>
      </c>
      <c r="B1196" s="82" t="n">
        <v>46214</v>
      </c>
      <c r="C1196" s="81" t="s">
        <v>340</v>
      </c>
      <c r="D1196" s="83" t="str">
        <f aca="false">IFERROR(INDEX(c_Name,MATCH($C1196,c_ID,0)),"غير معرّف")</f>
        <v>سعد الشهري</v>
      </c>
      <c r="E1196" s="83" t="str">
        <f aca="false">IFERROR(INDEX(c_Region,MATCH($C1196,c_ID,0)),"غير معرّف")</f>
        <v>الوسطى</v>
      </c>
      <c r="F1196" s="81" t="s">
        <v>184</v>
      </c>
      <c r="G1196" s="83" t="str">
        <f aca="false">IFERROR(INDEX(p_Name,MATCH($F1196,p_ID,0)),"غير معرّف")</f>
        <v>عطر فاخر</v>
      </c>
      <c r="H1196" s="83" t="str">
        <f aca="false">IFERROR(INDEX(p_Cat,MATCH($F1196,p_ID,0)),"غير معرّف")</f>
        <v>عناية شخصية</v>
      </c>
      <c r="I1196" s="81" t="s">
        <v>443</v>
      </c>
      <c r="J1196" s="81" t="s">
        <v>91</v>
      </c>
      <c r="K1196" s="81" t="n">
        <v>1</v>
      </c>
      <c r="L1196" s="84" t="n">
        <f aca="false">IFERROR(INDEX(p_Price,MATCH($F1196,p_ID,0)),0)</f>
        <v>520</v>
      </c>
      <c r="M1196" s="85" t="n">
        <v>0</v>
      </c>
      <c r="N1196" s="81" t="s">
        <v>644</v>
      </c>
      <c r="O1196" s="84" t="n">
        <f aca="false">IF($N1196="مرتجع",0,K1196*L1196*(1-M1196))</f>
        <v>520</v>
      </c>
      <c r="P1196" s="84" t="n">
        <f aca="false">IF($N1196="مرتجع",0,K1196*IFERROR(INDEX(p_Cost,MATCH($F1196,p_ID,0)),0))</f>
        <v>210</v>
      </c>
      <c r="Q1196" s="84" t="n">
        <f aca="false">O1196-P1196</f>
        <v>310</v>
      </c>
      <c r="R1196" s="86" t="n">
        <f aca="false">DATE(YEAR(B1196),MONTH(B1196),1)</f>
        <v>46204</v>
      </c>
      <c r="S1196" s="83" t="str">
        <f aca="false">YEAR(B1196)&amp;"-Q"&amp;ROUNDUP(MONTH(B1196)/3,0)</f>
        <v>2026-Q3</v>
      </c>
      <c r="T1196" s="87" t="n">
        <f aca="false">IF(O1196&gt;0,Q1196/O1196,"")</f>
        <v>0.596153846153846</v>
      </c>
      <c r="U1196" s="84" t="n">
        <f aca="false">IF(O1196&gt;0,O1196,"")</f>
        <v>520</v>
      </c>
    </row>
    <row r="1197" customFormat="false" ht="15" hidden="false" customHeight="false" outlineLevel="0" collapsed="false">
      <c r="A1197" s="81" t="s">
        <v>1840</v>
      </c>
      <c r="B1197" s="82" t="n">
        <v>46214</v>
      </c>
      <c r="C1197" s="81" t="s">
        <v>322</v>
      </c>
      <c r="D1197" s="83" t="str">
        <f aca="false">IFERROR(INDEX(c_Name,MATCH($C1197,c_ID,0)),"غير معرّف")</f>
        <v>نورة البلوي</v>
      </c>
      <c r="E1197" s="83" t="str">
        <f aca="false">IFERROR(INDEX(c_Region,MATCH($C1197,c_ID,0)),"غير معرّف")</f>
        <v>الغربية</v>
      </c>
      <c r="F1197" s="81" t="s">
        <v>175</v>
      </c>
      <c r="G1197" s="83" t="str">
        <f aca="false">IFERROR(INDEX(p_Name,MATCH($F1197,p_ID,0)),"غير معرّف")</f>
        <v>رف كتب</v>
      </c>
      <c r="H1197" s="83" t="str">
        <f aca="false">IFERROR(INDEX(p_Cat,MATCH($F1197,p_ID,0)),"غير معرّف")</f>
        <v>أثاث</v>
      </c>
      <c r="I1197" s="81" t="s">
        <v>458</v>
      </c>
      <c r="J1197" s="81" t="s">
        <v>91</v>
      </c>
      <c r="K1197" s="81" t="n">
        <v>5</v>
      </c>
      <c r="L1197" s="84" t="n">
        <f aca="false">IFERROR(INDEX(p_Price,MATCH($F1197,p_ID,0)),0)</f>
        <v>400</v>
      </c>
      <c r="M1197" s="85" t="n">
        <v>0.05</v>
      </c>
      <c r="N1197" s="81" t="s">
        <v>644</v>
      </c>
      <c r="O1197" s="84" t="n">
        <f aca="false">IF($N1197="مرتجع",0,K1197*L1197*(1-M1197))</f>
        <v>1900</v>
      </c>
      <c r="P1197" s="84" t="n">
        <f aca="false">IF($N1197="مرتجع",0,K1197*IFERROR(INDEX(p_Cost,MATCH($F1197,p_ID,0)),0))</f>
        <v>1100</v>
      </c>
      <c r="Q1197" s="84" t="n">
        <f aca="false">O1197-P1197</f>
        <v>800</v>
      </c>
      <c r="R1197" s="86" t="n">
        <f aca="false">DATE(YEAR(B1197),MONTH(B1197),1)</f>
        <v>46204</v>
      </c>
      <c r="S1197" s="83" t="str">
        <f aca="false">YEAR(B1197)&amp;"-Q"&amp;ROUNDUP(MONTH(B1197)/3,0)</f>
        <v>2026-Q3</v>
      </c>
      <c r="T1197" s="87" t="n">
        <f aca="false">IF(O1197&gt;0,Q1197/O1197,"")</f>
        <v>0.421052631578947</v>
      </c>
      <c r="U1197" s="84" t="n">
        <f aca="false">IF(O1197&gt;0,O1197,"")</f>
        <v>1900</v>
      </c>
    </row>
    <row r="1198" customFormat="false" ht="15" hidden="false" customHeight="false" outlineLevel="0" collapsed="false">
      <c r="A1198" s="81" t="s">
        <v>1841</v>
      </c>
      <c r="B1198" s="82" t="n">
        <v>46214</v>
      </c>
      <c r="C1198" s="81" t="s">
        <v>355</v>
      </c>
      <c r="D1198" s="83" t="str">
        <f aca="false">IFERROR(INDEX(c_Name,MATCH($C1198,c_ID,0)),"غير معرّف")</f>
        <v>جود القحطاني</v>
      </c>
      <c r="E1198" s="83" t="str">
        <f aca="false">IFERROR(INDEX(c_Region,MATCH($C1198,c_ID,0)),"غير معرّف")</f>
        <v>الجنوبية</v>
      </c>
      <c r="F1198" s="81" t="s">
        <v>177</v>
      </c>
      <c r="G1198" s="83" t="str">
        <f aca="false">IFERROR(INDEX(p_Name,MATCH($F1198,p_ID,0)),"غير معرّف")</f>
        <v>ورق A4 (صندوق)</v>
      </c>
      <c r="H1198" s="83" t="str">
        <f aca="false">IFERROR(INDEX(p_Cat,MATCH($F1198,p_ID,0)),"غير معرّف")</f>
        <v>مستلزمات مكتبية</v>
      </c>
      <c r="I1198" s="81" t="s">
        <v>465</v>
      </c>
      <c r="J1198" s="81" t="s">
        <v>95</v>
      </c>
      <c r="K1198" s="81" t="n">
        <v>2</v>
      </c>
      <c r="L1198" s="84" t="n">
        <f aca="false">IFERROR(INDEX(p_Price,MATCH($F1198,p_ID,0)),0)</f>
        <v>140</v>
      </c>
      <c r="M1198" s="85" t="n">
        <v>0.15</v>
      </c>
      <c r="N1198" s="81" t="s">
        <v>644</v>
      </c>
      <c r="O1198" s="84" t="n">
        <f aca="false">IF($N1198="مرتجع",0,K1198*L1198*(1-M1198))</f>
        <v>238</v>
      </c>
      <c r="P1198" s="84" t="n">
        <f aca="false">IF($N1198="مرتجع",0,K1198*IFERROR(INDEX(p_Cost,MATCH($F1198,p_ID,0)),0))</f>
        <v>190</v>
      </c>
      <c r="Q1198" s="84" t="n">
        <f aca="false">O1198-P1198</f>
        <v>48</v>
      </c>
      <c r="R1198" s="86" t="n">
        <f aca="false">DATE(YEAR(B1198),MONTH(B1198),1)</f>
        <v>46204</v>
      </c>
      <c r="S1198" s="83" t="str">
        <f aca="false">YEAR(B1198)&amp;"-Q"&amp;ROUNDUP(MONTH(B1198)/3,0)</f>
        <v>2026-Q3</v>
      </c>
      <c r="T1198" s="87" t="n">
        <f aca="false">IF(O1198&gt;0,Q1198/O1198,"")</f>
        <v>0.201680672268908</v>
      </c>
      <c r="U1198" s="84" t="n">
        <f aca="false">IF(O1198&gt;0,O1198,"")</f>
        <v>238</v>
      </c>
    </row>
    <row r="1199" customFormat="false" ht="15" hidden="false" customHeight="false" outlineLevel="0" collapsed="false">
      <c r="A1199" s="81" t="s">
        <v>1842</v>
      </c>
      <c r="B1199" s="82" t="n">
        <v>46214</v>
      </c>
      <c r="C1199" s="81" t="s">
        <v>294</v>
      </c>
      <c r="D1199" s="83" t="str">
        <f aca="false">IFERROR(INDEX(c_Name,MATCH($C1199,c_ID,0)),"غير معرّف")</f>
        <v>خالد البلوي</v>
      </c>
      <c r="E1199" s="83" t="str">
        <f aca="false">IFERROR(INDEX(c_Region,MATCH($C1199,c_ID,0)),"غير معرّف")</f>
        <v>الوسطى</v>
      </c>
      <c r="F1199" s="81" t="s">
        <v>179</v>
      </c>
      <c r="G1199" s="83" t="str">
        <f aca="false">IFERROR(INDEX(p_Name,MATCH($F1199,p_ID,0)),"غير معرّف")</f>
        <v>طقم أدوات مكتبية</v>
      </c>
      <c r="H1199" s="83" t="str">
        <f aca="false">IFERROR(INDEX(p_Cat,MATCH($F1199,p_ID,0)),"غير معرّف")</f>
        <v>مستلزمات مكتبية</v>
      </c>
      <c r="I1199" s="81" t="s">
        <v>449</v>
      </c>
      <c r="J1199" s="81" t="s">
        <v>95</v>
      </c>
      <c r="K1199" s="81" t="n">
        <v>5</v>
      </c>
      <c r="L1199" s="84" t="n">
        <f aca="false">IFERROR(INDEX(p_Price,MATCH($F1199,p_ID,0)),0)</f>
        <v>90</v>
      </c>
      <c r="M1199" s="85" t="n">
        <v>0.1</v>
      </c>
      <c r="N1199" s="81" t="s">
        <v>644</v>
      </c>
      <c r="O1199" s="84" t="n">
        <f aca="false">IF($N1199="مرتجع",0,K1199*L1199*(1-M1199))</f>
        <v>405</v>
      </c>
      <c r="P1199" s="84" t="n">
        <f aca="false">IF($N1199="مرتجع",0,K1199*IFERROR(INDEX(p_Cost,MATCH($F1199,p_ID,0)),0))</f>
        <v>225</v>
      </c>
      <c r="Q1199" s="84" t="n">
        <f aca="false">O1199-P1199</f>
        <v>180</v>
      </c>
      <c r="R1199" s="86" t="n">
        <f aca="false">DATE(YEAR(B1199),MONTH(B1199),1)</f>
        <v>46204</v>
      </c>
      <c r="S1199" s="83" t="str">
        <f aca="false">YEAR(B1199)&amp;"-Q"&amp;ROUNDUP(MONTH(B1199)/3,0)</f>
        <v>2026-Q3</v>
      </c>
      <c r="T1199" s="87" t="n">
        <f aca="false">IF(O1199&gt;0,Q1199/O1199,"")</f>
        <v>0.444444444444444</v>
      </c>
      <c r="U1199" s="84" t="n">
        <f aca="false">IF(O1199&gt;0,O1199,"")</f>
        <v>405</v>
      </c>
    </row>
    <row r="1200" customFormat="false" ht="15" hidden="false" customHeight="false" outlineLevel="0" collapsed="false">
      <c r="A1200" s="81" t="s">
        <v>1843</v>
      </c>
      <c r="B1200" s="82" t="n">
        <v>46214</v>
      </c>
      <c r="C1200" s="81" t="s">
        <v>372</v>
      </c>
      <c r="D1200" s="83" t="str">
        <f aca="false">IFERROR(INDEX(c_Name,MATCH($C1200,c_ID,0)),"غير معرّف")</f>
        <v>أحمد العتيبي</v>
      </c>
      <c r="E1200" s="83" t="str">
        <f aca="false">IFERROR(INDEX(c_Region,MATCH($C1200,c_ID,0)),"غير معرّف")</f>
        <v>الشرقية</v>
      </c>
      <c r="F1200" s="81" t="s">
        <v>167</v>
      </c>
      <c r="G1200" s="83" t="str">
        <f aca="false">IFERROR(INDEX(p_Name,MATCH($F1200,p_ID,0)),"غير معرّف")</f>
        <v>شاشة 27 بوصة</v>
      </c>
      <c r="H1200" s="83" t="str">
        <f aca="false">IFERROR(INDEX(p_Cat,MATCH($F1200,p_ID,0)),"غير معرّف")</f>
        <v>إلكترونيات</v>
      </c>
      <c r="I1200" s="81" t="s">
        <v>463</v>
      </c>
      <c r="J1200" s="81" t="s">
        <v>93</v>
      </c>
      <c r="K1200" s="81" t="n">
        <v>2</v>
      </c>
      <c r="L1200" s="84" t="n">
        <f aca="false">IFERROR(INDEX(p_Price,MATCH($F1200,p_ID,0)),0)</f>
        <v>1100</v>
      </c>
      <c r="M1200" s="85" t="n">
        <v>0</v>
      </c>
      <c r="N1200" s="81" t="s">
        <v>644</v>
      </c>
      <c r="O1200" s="84" t="n">
        <f aca="false">IF($N1200="مرتجع",0,K1200*L1200*(1-M1200))</f>
        <v>2200</v>
      </c>
      <c r="P1200" s="84" t="n">
        <f aca="false">IF($N1200="مرتجع",0,K1200*IFERROR(INDEX(p_Cost,MATCH($F1200,p_ID,0)),0))</f>
        <v>1560</v>
      </c>
      <c r="Q1200" s="84" t="n">
        <f aca="false">O1200-P1200</f>
        <v>640</v>
      </c>
      <c r="R1200" s="86" t="n">
        <f aca="false">DATE(YEAR(B1200),MONTH(B1200),1)</f>
        <v>46204</v>
      </c>
      <c r="S1200" s="83" t="str">
        <f aca="false">YEAR(B1200)&amp;"-Q"&amp;ROUNDUP(MONTH(B1200)/3,0)</f>
        <v>2026-Q3</v>
      </c>
      <c r="T1200" s="87" t="n">
        <f aca="false">IF(O1200&gt;0,Q1200/O1200,"")</f>
        <v>0.290909090909091</v>
      </c>
      <c r="U1200" s="84" t="n">
        <f aca="false">IF(O1200&gt;0,O1200,"")</f>
        <v>2200</v>
      </c>
    </row>
    <row r="1201" customFormat="false" ht="15" hidden="false" customHeight="false" outlineLevel="0" collapsed="false">
      <c r="A1201" s="81" t="s">
        <v>1844</v>
      </c>
      <c r="B1201" s="82" t="n">
        <v>46215</v>
      </c>
      <c r="C1201" s="81" t="s">
        <v>295</v>
      </c>
      <c r="D1201" s="83" t="str">
        <f aca="false">IFERROR(INDEX(c_Name,MATCH($C1201,c_ID,0)),"غير معرّف")</f>
        <v>عبير الزهراني</v>
      </c>
      <c r="E1201" s="83" t="str">
        <f aca="false">IFERROR(INDEX(c_Region,MATCH($C1201,c_ID,0)),"غير معرّف")</f>
        <v>الوسطى</v>
      </c>
      <c r="F1201" s="81" t="s">
        <v>165</v>
      </c>
      <c r="G1201" s="83" t="str">
        <f aca="false">IFERROR(INDEX(p_Name,MATCH($F1201,p_ID,0)),"غير معرّف")</f>
        <v>حاسوب محمول</v>
      </c>
      <c r="H1201" s="83" t="str">
        <f aca="false">IFERROR(INDEX(p_Cat,MATCH($F1201,p_ID,0)),"غير معرّف")</f>
        <v>إلكترونيات</v>
      </c>
      <c r="I1201" s="81" t="s">
        <v>449</v>
      </c>
      <c r="J1201" s="81" t="s">
        <v>91</v>
      </c>
      <c r="K1201" s="81" t="n">
        <v>2</v>
      </c>
      <c r="L1201" s="84" t="n">
        <f aca="false">IFERROR(INDEX(p_Price,MATCH($F1201,p_ID,0)),0)</f>
        <v>3800</v>
      </c>
      <c r="M1201" s="85" t="n">
        <v>0</v>
      </c>
      <c r="N1201" s="81" t="s">
        <v>644</v>
      </c>
      <c r="O1201" s="84" t="n">
        <f aca="false">IF($N1201="مرتجع",0,K1201*L1201*(1-M1201))</f>
        <v>7600</v>
      </c>
      <c r="P1201" s="84" t="n">
        <f aca="false">IF($N1201="مرتجع",0,K1201*IFERROR(INDEX(p_Cost,MATCH($F1201,p_ID,0)),0))</f>
        <v>5800</v>
      </c>
      <c r="Q1201" s="84" t="n">
        <f aca="false">O1201-P1201</f>
        <v>1800</v>
      </c>
      <c r="R1201" s="86" t="n">
        <f aca="false">DATE(YEAR(B1201),MONTH(B1201),1)</f>
        <v>46204</v>
      </c>
      <c r="S1201" s="83" t="str">
        <f aca="false">YEAR(B1201)&amp;"-Q"&amp;ROUNDUP(MONTH(B1201)/3,0)</f>
        <v>2026-Q3</v>
      </c>
      <c r="T1201" s="87" t="n">
        <f aca="false">IF(O1201&gt;0,Q1201/O1201,"")</f>
        <v>0.236842105263158</v>
      </c>
      <c r="U1201" s="84" t="n">
        <f aca="false">IF(O1201&gt;0,O1201,"")</f>
        <v>7600</v>
      </c>
    </row>
    <row r="1202" customFormat="false" ht="15" hidden="false" customHeight="false" outlineLevel="0" collapsed="false">
      <c r="A1202" s="81" t="s">
        <v>1845</v>
      </c>
      <c r="B1202" s="82" t="n">
        <v>46215</v>
      </c>
      <c r="C1202" s="81" t="s">
        <v>240</v>
      </c>
      <c r="D1202" s="83" t="str">
        <f aca="false">IFERROR(INDEX(c_Name,MATCH($C1202,c_ID,0)),"غير معرّف")</f>
        <v>سارة العنزي</v>
      </c>
      <c r="E1202" s="83" t="str">
        <f aca="false">IFERROR(INDEX(c_Region,MATCH($C1202,c_ID,0)),"غير معرّف")</f>
        <v>الغربية</v>
      </c>
      <c r="F1202" s="81" t="s">
        <v>175</v>
      </c>
      <c r="G1202" s="83" t="str">
        <f aca="false">IFERROR(INDEX(p_Name,MATCH($F1202,p_ID,0)),"غير معرّف")</f>
        <v>رف كتب</v>
      </c>
      <c r="H1202" s="83" t="str">
        <f aca="false">IFERROR(INDEX(p_Cat,MATCH($F1202,p_ID,0)),"غير معرّف")</f>
        <v>أثاث</v>
      </c>
      <c r="I1202" s="81" t="s">
        <v>455</v>
      </c>
      <c r="J1202" s="81" t="s">
        <v>91</v>
      </c>
      <c r="K1202" s="81" t="n">
        <v>1</v>
      </c>
      <c r="L1202" s="84" t="n">
        <f aca="false">IFERROR(INDEX(p_Price,MATCH($F1202,p_ID,0)),0)</f>
        <v>400</v>
      </c>
      <c r="M1202" s="85" t="n">
        <v>0</v>
      </c>
      <c r="N1202" s="81" t="s">
        <v>644</v>
      </c>
      <c r="O1202" s="84" t="n">
        <f aca="false">IF($N1202="مرتجع",0,K1202*L1202*(1-M1202))</f>
        <v>400</v>
      </c>
      <c r="P1202" s="84" t="n">
        <f aca="false">IF($N1202="مرتجع",0,K1202*IFERROR(INDEX(p_Cost,MATCH($F1202,p_ID,0)),0))</f>
        <v>220</v>
      </c>
      <c r="Q1202" s="84" t="n">
        <f aca="false">O1202-P1202</f>
        <v>180</v>
      </c>
      <c r="R1202" s="86" t="n">
        <f aca="false">DATE(YEAR(B1202),MONTH(B1202),1)</f>
        <v>46204</v>
      </c>
      <c r="S1202" s="83" t="str">
        <f aca="false">YEAR(B1202)&amp;"-Q"&amp;ROUNDUP(MONTH(B1202)/3,0)</f>
        <v>2026-Q3</v>
      </c>
      <c r="T1202" s="87" t="n">
        <f aca="false">IF(O1202&gt;0,Q1202/O1202,"")</f>
        <v>0.45</v>
      </c>
      <c r="U1202" s="84" t="n">
        <f aca="false">IF(O1202&gt;0,O1202,"")</f>
        <v>400</v>
      </c>
    </row>
    <row r="1203" customFormat="false" ht="15" hidden="false" customHeight="false" outlineLevel="0" collapsed="false">
      <c r="A1203" s="81" t="s">
        <v>1846</v>
      </c>
      <c r="B1203" s="82" t="n">
        <v>46215</v>
      </c>
      <c r="C1203" s="81" t="s">
        <v>273</v>
      </c>
      <c r="D1203" s="83" t="str">
        <f aca="false">IFERROR(INDEX(c_Name,MATCH($C1203,c_ID,0)),"غير معرّف")</f>
        <v>سلمان التميمي</v>
      </c>
      <c r="E1203" s="83" t="str">
        <f aca="false">IFERROR(INDEX(c_Region,MATCH($C1203,c_ID,0)),"غير معرّف")</f>
        <v>الشرقية</v>
      </c>
      <c r="F1203" s="81" t="s">
        <v>171</v>
      </c>
      <c r="G1203" s="83" t="str">
        <f aca="false">IFERROR(INDEX(p_Name,MATCH($F1203,p_ID,0)),"غير معرّف")</f>
        <v>قلاية هوائية</v>
      </c>
      <c r="H1203" s="83" t="str">
        <f aca="false">IFERROR(INDEX(p_Cat,MATCH($F1203,p_ID,0)),"غير معرّف")</f>
        <v>أجهزة منزلية</v>
      </c>
      <c r="I1203" s="81" t="s">
        <v>463</v>
      </c>
      <c r="J1203" s="81" t="s">
        <v>91</v>
      </c>
      <c r="K1203" s="81" t="n">
        <v>3</v>
      </c>
      <c r="L1203" s="84" t="n">
        <f aca="false">IFERROR(INDEX(p_Price,MATCH($F1203,p_ID,0)),0)</f>
        <v>520</v>
      </c>
      <c r="M1203" s="85" t="n">
        <v>0.15</v>
      </c>
      <c r="N1203" s="81" t="s">
        <v>644</v>
      </c>
      <c r="O1203" s="84" t="n">
        <f aca="false">IF($N1203="مرتجع",0,K1203*L1203*(1-M1203))</f>
        <v>1326</v>
      </c>
      <c r="P1203" s="84" t="n">
        <f aca="false">IF($N1203="مرتجع",0,K1203*IFERROR(INDEX(p_Cost,MATCH($F1203,p_ID,0)),0))</f>
        <v>900</v>
      </c>
      <c r="Q1203" s="84" t="n">
        <f aca="false">O1203-P1203</f>
        <v>426</v>
      </c>
      <c r="R1203" s="86" t="n">
        <f aca="false">DATE(YEAR(B1203),MONTH(B1203),1)</f>
        <v>46204</v>
      </c>
      <c r="S1203" s="83" t="str">
        <f aca="false">YEAR(B1203)&amp;"-Q"&amp;ROUNDUP(MONTH(B1203)/3,0)</f>
        <v>2026-Q3</v>
      </c>
      <c r="T1203" s="87" t="n">
        <f aca="false">IF(O1203&gt;0,Q1203/O1203,"")</f>
        <v>0.321266968325792</v>
      </c>
      <c r="U1203" s="84" t="n">
        <f aca="false">IF(O1203&gt;0,O1203,"")</f>
        <v>1326</v>
      </c>
    </row>
    <row r="1204" customFormat="false" ht="15" hidden="false" customHeight="false" outlineLevel="0" collapsed="false">
      <c r="A1204" s="81" t="s">
        <v>1847</v>
      </c>
      <c r="B1204" s="82" t="n">
        <v>46215</v>
      </c>
      <c r="C1204" s="81" t="s">
        <v>404</v>
      </c>
      <c r="D1204" s="83" t="str">
        <f aca="false">IFERROR(INDEX(c_Name,MATCH($C1204,c_ID,0)),"غير معرّف")</f>
        <v>عبدالله الحسيني</v>
      </c>
      <c r="E1204" s="83" t="str">
        <f aca="false">IFERROR(INDEX(c_Region,MATCH($C1204,c_ID,0)),"غير معرّف")</f>
        <v>الشرقية</v>
      </c>
      <c r="F1204" s="81" t="s">
        <v>182</v>
      </c>
      <c r="G1204" s="83" t="str">
        <f aca="false">IFERROR(INDEX(p_Name,MATCH($F1204,p_ID,0)),"غير معرّف")</f>
        <v>طقم أوزان</v>
      </c>
      <c r="H1204" s="83" t="str">
        <f aca="false">IFERROR(INDEX(p_Cat,MATCH($F1204,p_ID,0)),"غير معرّف")</f>
        <v>رياضة</v>
      </c>
      <c r="I1204" s="81" t="s">
        <v>461</v>
      </c>
      <c r="J1204" s="81" t="s">
        <v>91</v>
      </c>
      <c r="K1204" s="81" t="n">
        <v>1</v>
      </c>
      <c r="L1204" s="84" t="n">
        <f aca="false">IFERROR(INDEX(p_Price,MATCH($F1204,p_ID,0)),0)</f>
        <v>380</v>
      </c>
      <c r="M1204" s="85" t="n">
        <v>0.1</v>
      </c>
      <c r="N1204" s="81" t="s">
        <v>644</v>
      </c>
      <c r="O1204" s="84" t="n">
        <f aca="false">IF($N1204="مرتجع",0,K1204*L1204*(1-M1204))</f>
        <v>342</v>
      </c>
      <c r="P1204" s="84" t="n">
        <f aca="false">IF($N1204="مرتجع",0,K1204*IFERROR(INDEX(p_Cost,MATCH($F1204,p_ID,0)),0))</f>
        <v>210</v>
      </c>
      <c r="Q1204" s="84" t="n">
        <f aca="false">O1204-P1204</f>
        <v>132</v>
      </c>
      <c r="R1204" s="86" t="n">
        <f aca="false">DATE(YEAR(B1204),MONTH(B1204),1)</f>
        <v>46204</v>
      </c>
      <c r="S1204" s="83" t="str">
        <f aca="false">YEAR(B1204)&amp;"-Q"&amp;ROUNDUP(MONTH(B1204)/3,0)</f>
        <v>2026-Q3</v>
      </c>
      <c r="T1204" s="87" t="n">
        <f aca="false">IF(O1204&gt;0,Q1204/O1204,"")</f>
        <v>0.385964912280702</v>
      </c>
      <c r="U1204" s="84" t="n">
        <f aca="false">IF(O1204&gt;0,O1204,"")</f>
        <v>342</v>
      </c>
    </row>
    <row r="1205" customFormat="false" ht="15" hidden="false" customHeight="false" outlineLevel="0" collapsed="false">
      <c r="A1205" s="81" t="s">
        <v>1848</v>
      </c>
      <c r="B1205" s="82" t="n">
        <v>46216</v>
      </c>
      <c r="C1205" s="81" t="s">
        <v>387</v>
      </c>
      <c r="D1205" s="83" t="str">
        <f aca="false">IFERROR(INDEX(c_Name,MATCH($C1205,c_ID,0)),"غير معرّف")</f>
        <v>لمى الشمري</v>
      </c>
      <c r="E1205" s="83" t="str">
        <f aca="false">IFERROR(INDEX(c_Region,MATCH($C1205,c_ID,0)),"غير معرّف")</f>
        <v>الوسطى</v>
      </c>
      <c r="F1205" s="81" t="s">
        <v>182</v>
      </c>
      <c r="G1205" s="83" t="str">
        <f aca="false">IFERROR(INDEX(p_Name,MATCH($F1205,p_ID,0)),"غير معرّف")</f>
        <v>طقم أوزان</v>
      </c>
      <c r="H1205" s="83" t="str">
        <f aca="false">IFERROR(INDEX(p_Cat,MATCH($F1205,p_ID,0)),"غير معرّف")</f>
        <v>رياضة</v>
      </c>
      <c r="I1205" s="81" t="s">
        <v>446</v>
      </c>
      <c r="J1205" s="81" t="s">
        <v>91</v>
      </c>
      <c r="K1205" s="81" t="n">
        <v>1</v>
      </c>
      <c r="L1205" s="84" t="n">
        <f aca="false">IFERROR(INDEX(p_Price,MATCH($F1205,p_ID,0)),0)</f>
        <v>380</v>
      </c>
      <c r="M1205" s="85" t="n">
        <v>0</v>
      </c>
      <c r="N1205" s="81" t="s">
        <v>644</v>
      </c>
      <c r="O1205" s="84" t="n">
        <f aca="false">IF($N1205="مرتجع",0,K1205*L1205*(1-M1205))</f>
        <v>380</v>
      </c>
      <c r="P1205" s="84" t="n">
        <f aca="false">IF($N1205="مرتجع",0,K1205*IFERROR(INDEX(p_Cost,MATCH($F1205,p_ID,0)),0))</f>
        <v>210</v>
      </c>
      <c r="Q1205" s="84" t="n">
        <f aca="false">O1205-P1205</f>
        <v>170</v>
      </c>
      <c r="R1205" s="86" t="n">
        <f aca="false">DATE(YEAR(B1205),MONTH(B1205),1)</f>
        <v>46204</v>
      </c>
      <c r="S1205" s="83" t="str">
        <f aca="false">YEAR(B1205)&amp;"-Q"&amp;ROUNDUP(MONTH(B1205)/3,0)</f>
        <v>2026-Q3</v>
      </c>
      <c r="T1205" s="87" t="n">
        <f aca="false">IF(O1205&gt;0,Q1205/O1205,"")</f>
        <v>0.447368421052632</v>
      </c>
      <c r="U1205" s="84" t="n">
        <f aca="false">IF(O1205&gt;0,O1205,"")</f>
        <v>380</v>
      </c>
    </row>
    <row r="1206" customFormat="false" ht="15" hidden="false" customHeight="false" outlineLevel="0" collapsed="false">
      <c r="A1206" s="81" t="s">
        <v>1849</v>
      </c>
      <c r="B1206" s="82" t="n">
        <v>46216</v>
      </c>
      <c r="C1206" s="81" t="s">
        <v>410</v>
      </c>
      <c r="D1206" s="83" t="str">
        <f aca="false">IFERROR(INDEX(c_Name,MATCH($C1206,c_ID,0)),"غير معرّف")</f>
        <v>لمى الحربي</v>
      </c>
      <c r="E1206" s="83" t="str">
        <f aca="false">IFERROR(INDEX(c_Region,MATCH($C1206,c_ID,0)),"غير معرّف")</f>
        <v>الوسطى</v>
      </c>
      <c r="F1206" s="81" t="s">
        <v>165</v>
      </c>
      <c r="G1206" s="83" t="str">
        <f aca="false">IFERROR(INDEX(p_Name,MATCH($F1206,p_ID,0)),"غير معرّف")</f>
        <v>حاسوب محمول</v>
      </c>
      <c r="H1206" s="83" t="str">
        <f aca="false">IFERROR(INDEX(p_Cat,MATCH($F1206,p_ID,0)),"غير معرّف")</f>
        <v>إلكترونيات</v>
      </c>
      <c r="I1206" s="81" t="s">
        <v>446</v>
      </c>
      <c r="J1206" s="81" t="s">
        <v>91</v>
      </c>
      <c r="K1206" s="81" t="n">
        <v>1</v>
      </c>
      <c r="L1206" s="84" t="n">
        <f aca="false">IFERROR(INDEX(p_Price,MATCH($F1206,p_ID,0)),0)</f>
        <v>3800</v>
      </c>
      <c r="M1206" s="85" t="n">
        <v>0.1</v>
      </c>
      <c r="N1206" s="81" t="s">
        <v>650</v>
      </c>
      <c r="O1206" s="84" t="n">
        <f aca="false">IF($N1206="مرتجع",0,K1206*L1206*(1-M1206))</f>
        <v>0</v>
      </c>
      <c r="P1206" s="84" t="n">
        <f aca="false">IF($N1206="مرتجع",0,K1206*IFERROR(INDEX(p_Cost,MATCH($F1206,p_ID,0)),0))</f>
        <v>0</v>
      </c>
      <c r="Q1206" s="84" t="n">
        <f aca="false">O1206-P1206</f>
        <v>0</v>
      </c>
      <c r="R1206" s="86" t="n">
        <f aca="false">DATE(YEAR(B1206),MONTH(B1206),1)</f>
        <v>46204</v>
      </c>
      <c r="S1206" s="83" t="str">
        <f aca="false">YEAR(B1206)&amp;"-Q"&amp;ROUNDUP(MONTH(B1206)/3,0)</f>
        <v>2026-Q3</v>
      </c>
      <c r="T1206" s="87" t="str">
        <f aca="false">IF(O1206&gt;0,Q1206/O1206,"")</f>
        <v/>
      </c>
      <c r="U1206" s="84" t="str">
        <f aca="false">IF(O1206&gt;0,O1206,"")</f>
        <v/>
      </c>
    </row>
    <row r="1207" customFormat="false" ht="15" hidden="false" customHeight="false" outlineLevel="0" collapsed="false">
      <c r="A1207" s="81" t="s">
        <v>1850</v>
      </c>
      <c r="B1207" s="82" t="n">
        <v>46216</v>
      </c>
      <c r="C1207" s="81" t="s">
        <v>245</v>
      </c>
      <c r="D1207" s="83" t="str">
        <f aca="false">IFERROR(INDEX(c_Name,MATCH($C1207,c_ID,0)),"غير معرّف")</f>
        <v>ريم الشمري</v>
      </c>
      <c r="E1207" s="83" t="str">
        <f aca="false">IFERROR(INDEX(c_Region,MATCH($C1207,c_ID,0)),"غير معرّف")</f>
        <v>الغربية</v>
      </c>
      <c r="F1207" s="81" t="s">
        <v>176</v>
      </c>
      <c r="G1207" s="83" t="str">
        <f aca="false">IFERROR(INDEX(p_Name,MATCH($F1207,p_ID,0)),"غير معرّف")</f>
        <v>طابعة ليزر</v>
      </c>
      <c r="H1207" s="83" t="str">
        <f aca="false">IFERROR(INDEX(p_Cat,MATCH($F1207,p_ID,0)),"غير معرّف")</f>
        <v>مستلزمات مكتبية</v>
      </c>
      <c r="I1207" s="81" t="s">
        <v>455</v>
      </c>
      <c r="J1207" s="81" t="s">
        <v>91</v>
      </c>
      <c r="K1207" s="81" t="n">
        <v>2</v>
      </c>
      <c r="L1207" s="84" t="n">
        <f aca="false">IFERROR(INDEX(p_Price,MATCH($F1207,p_ID,0)),0)</f>
        <v>1300</v>
      </c>
      <c r="M1207" s="85" t="n">
        <v>0.1</v>
      </c>
      <c r="N1207" s="81" t="s">
        <v>644</v>
      </c>
      <c r="O1207" s="84" t="n">
        <f aca="false">IF($N1207="مرتجع",0,K1207*L1207*(1-M1207))</f>
        <v>2340</v>
      </c>
      <c r="P1207" s="84" t="n">
        <f aca="false">IF($N1207="مرتجع",0,K1207*IFERROR(INDEX(p_Cost,MATCH($F1207,p_ID,0)),0))</f>
        <v>1900</v>
      </c>
      <c r="Q1207" s="84" t="n">
        <f aca="false">O1207-P1207</f>
        <v>440</v>
      </c>
      <c r="R1207" s="86" t="n">
        <f aca="false">DATE(YEAR(B1207),MONTH(B1207),1)</f>
        <v>46204</v>
      </c>
      <c r="S1207" s="83" t="str">
        <f aca="false">YEAR(B1207)&amp;"-Q"&amp;ROUNDUP(MONTH(B1207)/3,0)</f>
        <v>2026-Q3</v>
      </c>
      <c r="T1207" s="87" t="n">
        <f aca="false">IF(O1207&gt;0,Q1207/O1207,"")</f>
        <v>0.188034188034188</v>
      </c>
      <c r="U1207" s="84" t="n">
        <f aca="false">IF(O1207&gt;0,O1207,"")</f>
        <v>2340</v>
      </c>
    </row>
    <row r="1208" customFormat="false" ht="15" hidden="false" customHeight="false" outlineLevel="0" collapsed="false">
      <c r="A1208" s="81" t="s">
        <v>1851</v>
      </c>
      <c r="B1208" s="82" t="n">
        <v>46217</v>
      </c>
      <c r="C1208" s="81" t="s">
        <v>349</v>
      </c>
      <c r="D1208" s="83" t="str">
        <f aca="false">IFERROR(INDEX(c_Name,MATCH($C1208,c_ID,0)),"غير معرّف")</f>
        <v>خالد الزهراني</v>
      </c>
      <c r="E1208" s="83" t="str">
        <f aca="false">IFERROR(INDEX(c_Region,MATCH($C1208,c_ID,0)),"غير معرّف")</f>
        <v>الوسطى</v>
      </c>
      <c r="F1208" s="81" t="s">
        <v>187</v>
      </c>
      <c r="G1208" s="83" t="str">
        <f aca="false">IFERROR(INDEX(p_Name,MATCH($F1208,p_ID,0)),"غير معرّف")</f>
        <v>جهاز تدليك</v>
      </c>
      <c r="H1208" s="83" t="str">
        <f aca="false">IFERROR(INDEX(p_Cat,MATCH($F1208,p_ID,0)),"غير معرّف")</f>
        <v>عناية شخصية</v>
      </c>
      <c r="I1208" s="81" t="s">
        <v>449</v>
      </c>
      <c r="J1208" s="81" t="s">
        <v>91</v>
      </c>
      <c r="K1208" s="81" t="n">
        <v>2</v>
      </c>
      <c r="L1208" s="84" t="n">
        <f aca="false">IFERROR(INDEX(p_Price,MATCH($F1208,p_ID,0)),0)</f>
        <v>600</v>
      </c>
      <c r="M1208" s="85" t="n">
        <v>0</v>
      </c>
      <c r="N1208" s="81" t="s">
        <v>644</v>
      </c>
      <c r="O1208" s="84" t="n">
        <f aca="false">IF($N1208="مرتجع",0,K1208*L1208*(1-M1208))</f>
        <v>1200</v>
      </c>
      <c r="P1208" s="84" t="n">
        <f aca="false">IF($N1208="مرتجع",0,K1208*IFERROR(INDEX(p_Cost,MATCH($F1208,p_ID,0)),0))</f>
        <v>660</v>
      </c>
      <c r="Q1208" s="84" t="n">
        <f aca="false">O1208-P1208</f>
        <v>540</v>
      </c>
      <c r="R1208" s="86" t="n">
        <f aca="false">DATE(YEAR(B1208),MONTH(B1208),1)</f>
        <v>46204</v>
      </c>
      <c r="S1208" s="83" t="str">
        <f aca="false">YEAR(B1208)&amp;"-Q"&amp;ROUNDUP(MONTH(B1208)/3,0)</f>
        <v>2026-Q3</v>
      </c>
      <c r="T1208" s="87" t="n">
        <f aca="false">IF(O1208&gt;0,Q1208/O1208,"")</f>
        <v>0.45</v>
      </c>
      <c r="U1208" s="84" t="n">
        <f aca="false">IF(O1208&gt;0,O1208,"")</f>
        <v>1200</v>
      </c>
    </row>
    <row r="1209" customFormat="false" ht="15" hidden="false" customHeight="false" outlineLevel="0" collapsed="false">
      <c r="A1209" s="81" t="s">
        <v>1852</v>
      </c>
      <c r="B1209" s="82" t="n">
        <v>46217</v>
      </c>
      <c r="C1209" s="81" t="s">
        <v>375</v>
      </c>
      <c r="D1209" s="83" t="str">
        <f aca="false">IFERROR(INDEX(c_Name,MATCH($C1209,c_ID,0)),"غير معرّف")</f>
        <v>محمد المطيري</v>
      </c>
      <c r="E1209" s="83" t="str">
        <f aca="false">IFERROR(INDEX(c_Region,MATCH($C1209,c_ID,0)),"غير معرّف")</f>
        <v>الوسطى</v>
      </c>
      <c r="F1209" s="81" t="s">
        <v>186</v>
      </c>
      <c r="G1209" s="83" t="str">
        <f aca="false">IFERROR(INDEX(p_Name,MATCH($F1209,p_ID,0)),"غير معرّف")</f>
        <v>مجفف شعر</v>
      </c>
      <c r="H1209" s="83" t="str">
        <f aca="false">IFERROR(INDEX(p_Cat,MATCH($F1209,p_ID,0)),"غير معرّف")</f>
        <v>عناية شخصية</v>
      </c>
      <c r="I1209" s="81" t="s">
        <v>446</v>
      </c>
      <c r="J1209" s="81" t="s">
        <v>93</v>
      </c>
      <c r="K1209" s="81" t="n">
        <v>2</v>
      </c>
      <c r="L1209" s="84" t="n">
        <f aca="false">IFERROR(INDEX(p_Price,MATCH($F1209,p_ID,0)),0)</f>
        <v>280</v>
      </c>
      <c r="M1209" s="85" t="n">
        <v>0</v>
      </c>
      <c r="N1209" s="81" t="s">
        <v>644</v>
      </c>
      <c r="O1209" s="84" t="n">
        <f aca="false">IF($N1209="مرتجع",0,K1209*L1209*(1-M1209))</f>
        <v>560</v>
      </c>
      <c r="P1209" s="84" t="n">
        <f aca="false">IF($N1209="مرتجع",0,K1209*IFERROR(INDEX(p_Cost,MATCH($F1209,p_ID,0)),0))</f>
        <v>280</v>
      </c>
      <c r="Q1209" s="84" t="n">
        <f aca="false">O1209-P1209</f>
        <v>280</v>
      </c>
      <c r="R1209" s="86" t="n">
        <f aca="false">DATE(YEAR(B1209),MONTH(B1209),1)</f>
        <v>46204</v>
      </c>
      <c r="S1209" s="83" t="str">
        <f aca="false">YEAR(B1209)&amp;"-Q"&amp;ROUNDUP(MONTH(B1209)/3,0)</f>
        <v>2026-Q3</v>
      </c>
      <c r="T1209" s="87" t="n">
        <f aca="false">IF(O1209&gt;0,Q1209/O1209,"")</f>
        <v>0.5</v>
      </c>
      <c r="U1209" s="84" t="n">
        <f aca="false">IF(O1209&gt;0,O1209,"")</f>
        <v>560</v>
      </c>
    </row>
    <row r="1210" customFormat="false" ht="15" hidden="false" customHeight="false" outlineLevel="0" collapsed="false">
      <c r="A1210" s="81" t="s">
        <v>1853</v>
      </c>
      <c r="B1210" s="82" t="n">
        <v>46217</v>
      </c>
      <c r="C1210" s="81" t="s">
        <v>326</v>
      </c>
      <c r="D1210" s="83" t="str">
        <f aca="false">IFERROR(INDEX(c_Name,MATCH($C1210,c_ID,0)),"غير معرّف")</f>
        <v>دانة القحطاني</v>
      </c>
      <c r="E1210" s="83" t="str">
        <f aca="false">IFERROR(INDEX(c_Region,MATCH($C1210,c_ID,0)),"غير معرّف")</f>
        <v>الوسطى</v>
      </c>
      <c r="F1210" s="81" t="s">
        <v>186</v>
      </c>
      <c r="G1210" s="83" t="str">
        <f aca="false">IFERROR(INDEX(p_Name,MATCH($F1210,p_ID,0)),"غير معرّف")</f>
        <v>مجفف شعر</v>
      </c>
      <c r="H1210" s="83" t="str">
        <f aca="false">IFERROR(INDEX(p_Cat,MATCH($F1210,p_ID,0)),"غير معرّف")</f>
        <v>عناية شخصية</v>
      </c>
      <c r="I1210" s="81" t="s">
        <v>443</v>
      </c>
      <c r="J1210" s="81" t="s">
        <v>93</v>
      </c>
      <c r="K1210" s="81" t="n">
        <v>1</v>
      </c>
      <c r="L1210" s="84" t="n">
        <f aca="false">IFERROR(INDEX(p_Price,MATCH($F1210,p_ID,0)),0)</f>
        <v>280</v>
      </c>
      <c r="M1210" s="85" t="n">
        <v>0.1</v>
      </c>
      <c r="N1210" s="81" t="s">
        <v>644</v>
      </c>
      <c r="O1210" s="84" t="n">
        <f aca="false">IF($N1210="مرتجع",0,K1210*L1210*(1-M1210))</f>
        <v>252</v>
      </c>
      <c r="P1210" s="84" t="n">
        <f aca="false">IF($N1210="مرتجع",0,K1210*IFERROR(INDEX(p_Cost,MATCH($F1210,p_ID,0)),0))</f>
        <v>140</v>
      </c>
      <c r="Q1210" s="84" t="n">
        <f aca="false">O1210-P1210</f>
        <v>112</v>
      </c>
      <c r="R1210" s="86" t="n">
        <f aca="false">DATE(YEAR(B1210),MONTH(B1210),1)</f>
        <v>46204</v>
      </c>
      <c r="S1210" s="83" t="str">
        <f aca="false">YEAR(B1210)&amp;"-Q"&amp;ROUNDUP(MONTH(B1210)/3,0)</f>
        <v>2026-Q3</v>
      </c>
      <c r="T1210" s="87" t="n">
        <f aca="false">IF(O1210&gt;0,Q1210/O1210,"")</f>
        <v>0.444444444444444</v>
      </c>
      <c r="U1210" s="84" t="n">
        <f aca="false">IF(O1210&gt;0,O1210,"")</f>
        <v>252</v>
      </c>
    </row>
    <row r="1211" customFormat="false" ht="15" hidden="false" customHeight="false" outlineLevel="0" collapsed="false">
      <c r="A1211" s="81" t="s">
        <v>1854</v>
      </c>
      <c r="B1211" s="82" t="n">
        <v>46218</v>
      </c>
      <c r="C1211" s="81" t="s">
        <v>394</v>
      </c>
      <c r="D1211" s="83" t="str">
        <f aca="false">IFERROR(INDEX(c_Name,MATCH($C1211,c_ID,0)),"غير معرّف")</f>
        <v>طارق الغامدي</v>
      </c>
      <c r="E1211" s="83" t="str">
        <f aca="false">IFERROR(INDEX(c_Region,MATCH($C1211,c_ID,0)),"غير معرّف")</f>
        <v>الشرقية</v>
      </c>
      <c r="F1211" s="81" t="s">
        <v>165</v>
      </c>
      <c r="G1211" s="83" t="str">
        <f aca="false">IFERROR(INDEX(p_Name,MATCH($F1211,p_ID,0)),"غير معرّف")</f>
        <v>حاسوب محمول</v>
      </c>
      <c r="H1211" s="83" t="str">
        <f aca="false">IFERROR(INDEX(p_Cat,MATCH($F1211,p_ID,0)),"غير معرّف")</f>
        <v>إلكترونيات</v>
      </c>
      <c r="I1211" s="81" t="s">
        <v>463</v>
      </c>
      <c r="J1211" s="81" t="s">
        <v>93</v>
      </c>
      <c r="K1211" s="81" t="n">
        <v>1</v>
      </c>
      <c r="L1211" s="84" t="n">
        <f aca="false">IFERROR(INDEX(p_Price,MATCH($F1211,p_ID,0)),0)</f>
        <v>3800</v>
      </c>
      <c r="M1211" s="85" t="n">
        <v>0.1</v>
      </c>
      <c r="N1211" s="81" t="s">
        <v>644</v>
      </c>
      <c r="O1211" s="84" t="n">
        <f aca="false">IF($N1211="مرتجع",0,K1211*L1211*(1-M1211))</f>
        <v>3420</v>
      </c>
      <c r="P1211" s="84" t="n">
        <f aca="false">IF($N1211="مرتجع",0,K1211*IFERROR(INDEX(p_Cost,MATCH($F1211,p_ID,0)),0))</f>
        <v>2900</v>
      </c>
      <c r="Q1211" s="84" t="n">
        <f aca="false">O1211-P1211</f>
        <v>520</v>
      </c>
      <c r="R1211" s="86" t="n">
        <f aca="false">DATE(YEAR(B1211),MONTH(B1211),1)</f>
        <v>46204</v>
      </c>
      <c r="S1211" s="83" t="str">
        <f aca="false">YEAR(B1211)&amp;"-Q"&amp;ROUNDUP(MONTH(B1211)/3,0)</f>
        <v>2026-Q3</v>
      </c>
      <c r="T1211" s="87" t="n">
        <f aca="false">IF(O1211&gt;0,Q1211/O1211,"")</f>
        <v>0.152046783625731</v>
      </c>
      <c r="U1211" s="84" t="n">
        <f aca="false">IF(O1211&gt;0,O1211,"")</f>
        <v>3420</v>
      </c>
    </row>
    <row r="1212" customFormat="false" ht="15" hidden="false" customHeight="false" outlineLevel="0" collapsed="false">
      <c r="A1212" s="81" t="s">
        <v>1855</v>
      </c>
      <c r="B1212" s="82" t="n">
        <v>46218</v>
      </c>
      <c r="C1212" s="81" t="s">
        <v>429</v>
      </c>
      <c r="D1212" s="83" t="str">
        <f aca="false">IFERROR(INDEX(c_Name,MATCH($C1212,c_ID,0)),"غير معرّف")</f>
        <v>سعد الحربي</v>
      </c>
      <c r="E1212" s="83" t="str">
        <f aca="false">IFERROR(INDEX(c_Region,MATCH($C1212,c_ID,0)),"غير معرّف")</f>
        <v>الغربية</v>
      </c>
      <c r="F1212" s="81" t="s">
        <v>182</v>
      </c>
      <c r="G1212" s="83" t="str">
        <f aca="false">IFERROR(INDEX(p_Name,MATCH($F1212,p_ID,0)),"غير معرّف")</f>
        <v>طقم أوزان</v>
      </c>
      <c r="H1212" s="83" t="str">
        <f aca="false">IFERROR(INDEX(p_Cat,MATCH($F1212,p_ID,0)),"غير معرّف")</f>
        <v>رياضة</v>
      </c>
      <c r="I1212" s="81" t="s">
        <v>458</v>
      </c>
      <c r="J1212" s="81" t="s">
        <v>93</v>
      </c>
      <c r="K1212" s="81" t="n">
        <v>1</v>
      </c>
      <c r="L1212" s="84" t="n">
        <f aca="false">IFERROR(INDEX(p_Price,MATCH($F1212,p_ID,0)),0)</f>
        <v>380</v>
      </c>
      <c r="M1212" s="85" t="n">
        <v>0.05</v>
      </c>
      <c r="N1212" s="81" t="s">
        <v>644</v>
      </c>
      <c r="O1212" s="84" t="n">
        <f aca="false">IF($N1212="مرتجع",0,K1212*L1212*(1-M1212))</f>
        <v>361</v>
      </c>
      <c r="P1212" s="84" t="n">
        <f aca="false">IF($N1212="مرتجع",0,K1212*IFERROR(INDEX(p_Cost,MATCH($F1212,p_ID,0)),0))</f>
        <v>210</v>
      </c>
      <c r="Q1212" s="84" t="n">
        <f aca="false">O1212-P1212</f>
        <v>151</v>
      </c>
      <c r="R1212" s="86" t="n">
        <f aca="false">DATE(YEAR(B1212),MONTH(B1212),1)</f>
        <v>46204</v>
      </c>
      <c r="S1212" s="83" t="str">
        <f aca="false">YEAR(B1212)&amp;"-Q"&amp;ROUNDUP(MONTH(B1212)/3,0)</f>
        <v>2026-Q3</v>
      </c>
      <c r="T1212" s="87" t="n">
        <f aca="false">IF(O1212&gt;0,Q1212/O1212,"")</f>
        <v>0.418282548476454</v>
      </c>
      <c r="U1212" s="84" t="n">
        <f aca="false">IF(O1212&gt;0,O1212,"")</f>
        <v>361</v>
      </c>
    </row>
    <row r="1213" customFormat="false" ht="15" hidden="false" customHeight="false" outlineLevel="0" collapsed="false">
      <c r="A1213" s="81" t="s">
        <v>1856</v>
      </c>
      <c r="B1213" s="82" t="n">
        <v>46218</v>
      </c>
      <c r="C1213" s="81" t="s">
        <v>420</v>
      </c>
      <c r="D1213" s="83" t="str">
        <f aca="false">IFERROR(INDEX(c_Name,MATCH($C1213,c_ID,0)),"غير معرّف")</f>
        <v>عبدالله الدوسري</v>
      </c>
      <c r="E1213" s="83" t="str">
        <f aca="false">IFERROR(INDEX(c_Region,MATCH($C1213,c_ID,0)),"غير معرّف")</f>
        <v>الجنوبية</v>
      </c>
      <c r="F1213" s="81" t="s">
        <v>177</v>
      </c>
      <c r="G1213" s="83" t="str">
        <f aca="false">IFERROR(INDEX(p_Name,MATCH($F1213,p_ID,0)),"غير معرّف")</f>
        <v>ورق A4 (صندوق)</v>
      </c>
      <c r="H1213" s="83" t="str">
        <f aca="false">IFERROR(INDEX(p_Cat,MATCH($F1213,p_ID,0)),"غير معرّف")</f>
        <v>مستلزمات مكتبية</v>
      </c>
      <c r="I1213" s="81" t="s">
        <v>465</v>
      </c>
      <c r="J1213" s="81" t="s">
        <v>91</v>
      </c>
      <c r="K1213" s="81" t="n">
        <v>2</v>
      </c>
      <c r="L1213" s="84" t="n">
        <f aca="false">IFERROR(INDEX(p_Price,MATCH($F1213,p_ID,0)),0)</f>
        <v>140</v>
      </c>
      <c r="M1213" s="85" t="n">
        <v>0.15</v>
      </c>
      <c r="N1213" s="81" t="s">
        <v>644</v>
      </c>
      <c r="O1213" s="84" t="n">
        <f aca="false">IF($N1213="مرتجع",0,K1213*L1213*(1-M1213))</f>
        <v>238</v>
      </c>
      <c r="P1213" s="84" t="n">
        <f aca="false">IF($N1213="مرتجع",0,K1213*IFERROR(INDEX(p_Cost,MATCH($F1213,p_ID,0)),0))</f>
        <v>190</v>
      </c>
      <c r="Q1213" s="84" t="n">
        <f aca="false">O1213-P1213</f>
        <v>48</v>
      </c>
      <c r="R1213" s="86" t="n">
        <f aca="false">DATE(YEAR(B1213),MONTH(B1213),1)</f>
        <v>46204</v>
      </c>
      <c r="S1213" s="83" t="str">
        <f aca="false">YEAR(B1213)&amp;"-Q"&amp;ROUNDUP(MONTH(B1213)/3,0)</f>
        <v>2026-Q3</v>
      </c>
      <c r="T1213" s="87" t="n">
        <f aca="false">IF(O1213&gt;0,Q1213/O1213,"")</f>
        <v>0.201680672268908</v>
      </c>
      <c r="U1213" s="84" t="n">
        <f aca="false">IF(O1213&gt;0,O1213,"")</f>
        <v>238</v>
      </c>
    </row>
    <row r="1214" customFormat="false" ht="15" hidden="false" customHeight="false" outlineLevel="0" collapsed="false">
      <c r="A1214" s="81" t="s">
        <v>1857</v>
      </c>
      <c r="B1214" s="82" t="n">
        <v>46218</v>
      </c>
      <c r="C1214" s="81" t="s">
        <v>425</v>
      </c>
      <c r="D1214" s="83" t="str">
        <f aca="false">IFERROR(INDEX(c_Name,MATCH($C1214,c_ID,0)),"غير معرّف")</f>
        <v>عبدالله الشمري</v>
      </c>
      <c r="E1214" s="83" t="str">
        <f aca="false">IFERROR(INDEX(c_Region,MATCH($C1214,c_ID,0)),"غير معرّف")</f>
        <v>الجنوبية</v>
      </c>
      <c r="F1214" s="81" t="s">
        <v>186</v>
      </c>
      <c r="G1214" s="83" t="str">
        <f aca="false">IFERROR(INDEX(p_Name,MATCH($F1214,p_ID,0)),"غير معرّف")</f>
        <v>مجفف شعر</v>
      </c>
      <c r="H1214" s="83" t="str">
        <f aca="false">IFERROR(INDEX(p_Cat,MATCH($F1214,p_ID,0)),"غير معرّف")</f>
        <v>عناية شخصية</v>
      </c>
      <c r="I1214" s="81" t="s">
        <v>467</v>
      </c>
      <c r="J1214" s="81" t="s">
        <v>91</v>
      </c>
      <c r="K1214" s="81" t="n">
        <v>1</v>
      </c>
      <c r="L1214" s="84" t="n">
        <f aca="false">IFERROR(INDEX(p_Price,MATCH($F1214,p_ID,0)),0)</f>
        <v>280</v>
      </c>
      <c r="M1214" s="85" t="n">
        <v>0</v>
      </c>
      <c r="N1214" s="81" t="s">
        <v>644</v>
      </c>
      <c r="O1214" s="84" t="n">
        <f aca="false">IF($N1214="مرتجع",0,K1214*L1214*(1-M1214))</f>
        <v>280</v>
      </c>
      <c r="P1214" s="84" t="n">
        <f aca="false">IF($N1214="مرتجع",0,K1214*IFERROR(INDEX(p_Cost,MATCH($F1214,p_ID,0)),0))</f>
        <v>140</v>
      </c>
      <c r="Q1214" s="84" t="n">
        <f aca="false">O1214-P1214</f>
        <v>140</v>
      </c>
      <c r="R1214" s="86" t="n">
        <f aca="false">DATE(YEAR(B1214),MONTH(B1214),1)</f>
        <v>46204</v>
      </c>
      <c r="S1214" s="83" t="str">
        <f aca="false">YEAR(B1214)&amp;"-Q"&amp;ROUNDUP(MONTH(B1214)/3,0)</f>
        <v>2026-Q3</v>
      </c>
      <c r="T1214" s="87" t="n">
        <f aca="false">IF(O1214&gt;0,Q1214/O1214,"")</f>
        <v>0.5</v>
      </c>
      <c r="U1214" s="84" t="n">
        <f aca="false">IF(O1214&gt;0,O1214,"")</f>
        <v>280</v>
      </c>
    </row>
    <row r="1215" customFormat="false" ht="15" hidden="false" customHeight="false" outlineLevel="0" collapsed="false">
      <c r="A1215" s="81" t="s">
        <v>1858</v>
      </c>
      <c r="B1215" s="82" t="n">
        <v>46219</v>
      </c>
      <c r="C1215" s="81" t="s">
        <v>334</v>
      </c>
      <c r="D1215" s="83" t="str">
        <f aca="false">IFERROR(INDEX(c_Name,MATCH($C1215,c_ID,0)),"غير معرّف")</f>
        <v>ناصر الغامدي</v>
      </c>
      <c r="E1215" s="83" t="str">
        <f aca="false">IFERROR(INDEX(c_Region,MATCH($C1215,c_ID,0)),"غير معرّف")</f>
        <v>الغربية</v>
      </c>
      <c r="F1215" s="81" t="s">
        <v>176</v>
      </c>
      <c r="G1215" s="83" t="str">
        <f aca="false">IFERROR(INDEX(p_Name,MATCH($F1215,p_ID,0)),"غير معرّف")</f>
        <v>طابعة ليزر</v>
      </c>
      <c r="H1215" s="83" t="str">
        <f aca="false">IFERROR(INDEX(p_Cat,MATCH($F1215,p_ID,0)),"غير معرّف")</f>
        <v>مستلزمات مكتبية</v>
      </c>
      <c r="I1215" s="81" t="s">
        <v>452</v>
      </c>
      <c r="J1215" s="81" t="s">
        <v>93</v>
      </c>
      <c r="K1215" s="81" t="n">
        <v>2</v>
      </c>
      <c r="L1215" s="84" t="n">
        <f aca="false">IFERROR(INDEX(p_Price,MATCH($F1215,p_ID,0)),0)</f>
        <v>1300</v>
      </c>
      <c r="M1215" s="85" t="n">
        <v>0</v>
      </c>
      <c r="N1215" s="81" t="s">
        <v>644</v>
      </c>
      <c r="O1215" s="84" t="n">
        <f aca="false">IF($N1215="مرتجع",0,K1215*L1215*(1-M1215))</f>
        <v>2600</v>
      </c>
      <c r="P1215" s="84" t="n">
        <f aca="false">IF($N1215="مرتجع",0,K1215*IFERROR(INDEX(p_Cost,MATCH($F1215,p_ID,0)),0))</f>
        <v>1900</v>
      </c>
      <c r="Q1215" s="84" t="n">
        <f aca="false">O1215-P1215</f>
        <v>700</v>
      </c>
      <c r="R1215" s="86" t="n">
        <f aca="false">DATE(YEAR(B1215),MONTH(B1215),1)</f>
        <v>46204</v>
      </c>
      <c r="S1215" s="83" t="str">
        <f aca="false">YEAR(B1215)&amp;"-Q"&amp;ROUNDUP(MONTH(B1215)/3,0)</f>
        <v>2026-Q3</v>
      </c>
      <c r="T1215" s="87" t="n">
        <f aca="false">IF(O1215&gt;0,Q1215/O1215,"")</f>
        <v>0.269230769230769</v>
      </c>
      <c r="U1215" s="84" t="n">
        <f aca="false">IF(O1215&gt;0,O1215,"")</f>
        <v>2600</v>
      </c>
    </row>
    <row r="1216" customFormat="false" ht="15" hidden="false" customHeight="false" outlineLevel="0" collapsed="false">
      <c r="A1216" s="81" t="s">
        <v>1859</v>
      </c>
      <c r="B1216" s="82" t="n">
        <v>46219</v>
      </c>
      <c r="C1216" s="81" t="s">
        <v>361</v>
      </c>
      <c r="D1216" s="83" t="str">
        <f aca="false">IFERROR(INDEX(c_Name,MATCH($C1216,c_ID,0)),"غير معرّف")</f>
        <v>دانة المطيري</v>
      </c>
      <c r="E1216" s="83" t="str">
        <f aca="false">IFERROR(INDEX(c_Region,MATCH($C1216,c_ID,0)),"غير معرّف")</f>
        <v>الشرقية</v>
      </c>
      <c r="F1216" s="81" t="s">
        <v>185</v>
      </c>
      <c r="G1216" s="83" t="str">
        <f aca="false">IFERROR(INDEX(p_Name,MATCH($F1216,p_ID,0)),"غير معرّف")</f>
        <v>ماكينة حلاقة</v>
      </c>
      <c r="H1216" s="83" t="str">
        <f aca="false">IFERROR(INDEX(p_Cat,MATCH($F1216,p_ID,0)),"غير معرّف")</f>
        <v>عناية شخصية</v>
      </c>
      <c r="I1216" s="81" t="s">
        <v>461</v>
      </c>
      <c r="J1216" s="81" t="s">
        <v>93</v>
      </c>
      <c r="K1216" s="81" t="n">
        <v>1</v>
      </c>
      <c r="L1216" s="84" t="n">
        <f aca="false">IFERROR(INDEX(p_Price,MATCH($F1216,p_ID,0)),0)</f>
        <v>340</v>
      </c>
      <c r="M1216" s="85" t="n">
        <v>0.15</v>
      </c>
      <c r="N1216" s="81" t="s">
        <v>644</v>
      </c>
      <c r="O1216" s="84" t="n">
        <f aca="false">IF($N1216="مرتجع",0,K1216*L1216*(1-M1216))</f>
        <v>289</v>
      </c>
      <c r="P1216" s="84" t="n">
        <f aca="false">IF($N1216="مرتجع",0,K1216*IFERROR(INDEX(p_Cost,MATCH($F1216,p_ID,0)),0))</f>
        <v>170</v>
      </c>
      <c r="Q1216" s="84" t="n">
        <f aca="false">O1216-P1216</f>
        <v>119</v>
      </c>
      <c r="R1216" s="86" t="n">
        <f aca="false">DATE(YEAR(B1216),MONTH(B1216),1)</f>
        <v>46204</v>
      </c>
      <c r="S1216" s="83" t="str">
        <f aca="false">YEAR(B1216)&amp;"-Q"&amp;ROUNDUP(MONTH(B1216)/3,0)</f>
        <v>2026-Q3</v>
      </c>
      <c r="T1216" s="87" t="n">
        <f aca="false">IF(O1216&gt;0,Q1216/O1216,"")</f>
        <v>0.411764705882353</v>
      </c>
      <c r="U1216" s="84" t="n">
        <f aca="false">IF(O1216&gt;0,O1216,"")</f>
        <v>289</v>
      </c>
    </row>
    <row r="1217" customFormat="false" ht="15" hidden="false" customHeight="false" outlineLevel="0" collapsed="false">
      <c r="A1217" s="81" t="s">
        <v>1860</v>
      </c>
      <c r="B1217" s="82" t="n">
        <v>46219</v>
      </c>
      <c r="C1217" s="81" t="s">
        <v>277</v>
      </c>
      <c r="D1217" s="83" t="str">
        <f aca="false">IFERROR(INDEX(c_Name,MATCH($C1217,c_ID,0)),"غير معرّف")</f>
        <v>خالد الخالدي</v>
      </c>
      <c r="E1217" s="83" t="str">
        <f aca="false">IFERROR(INDEX(c_Region,MATCH($C1217,c_ID,0)),"غير معرّف")</f>
        <v>الغربية</v>
      </c>
      <c r="F1217" s="81" t="s">
        <v>180</v>
      </c>
      <c r="G1217" s="83" t="str">
        <f aca="false">IFERROR(INDEX(p_Name,MATCH($F1217,p_ID,0)),"غير معرّف")</f>
        <v>جهاز مشي</v>
      </c>
      <c r="H1217" s="83" t="str">
        <f aca="false">IFERROR(INDEX(p_Cat,MATCH($F1217,p_ID,0)),"غير معرّف")</f>
        <v>رياضة</v>
      </c>
      <c r="I1217" s="81" t="s">
        <v>452</v>
      </c>
      <c r="J1217" s="81" t="s">
        <v>93</v>
      </c>
      <c r="K1217" s="81" t="n">
        <v>1</v>
      </c>
      <c r="L1217" s="84" t="n">
        <f aca="false">IFERROR(INDEX(p_Price,MATCH($F1217,p_ID,0)),0)</f>
        <v>3200</v>
      </c>
      <c r="M1217" s="85" t="n">
        <v>0</v>
      </c>
      <c r="N1217" s="81" t="s">
        <v>644</v>
      </c>
      <c r="O1217" s="84" t="n">
        <f aca="false">IF($N1217="مرتجع",0,K1217*L1217*(1-M1217))</f>
        <v>3200</v>
      </c>
      <c r="P1217" s="84" t="n">
        <f aca="false">IF($N1217="مرتجع",0,K1217*IFERROR(INDEX(p_Cost,MATCH($F1217,p_ID,0)),0))</f>
        <v>2200</v>
      </c>
      <c r="Q1217" s="84" t="n">
        <f aca="false">O1217-P1217</f>
        <v>1000</v>
      </c>
      <c r="R1217" s="86" t="n">
        <f aca="false">DATE(YEAR(B1217),MONTH(B1217),1)</f>
        <v>46204</v>
      </c>
      <c r="S1217" s="83" t="str">
        <f aca="false">YEAR(B1217)&amp;"-Q"&amp;ROUNDUP(MONTH(B1217)/3,0)</f>
        <v>2026-Q3</v>
      </c>
      <c r="T1217" s="87" t="n">
        <f aca="false">IF(O1217&gt;0,Q1217/O1217,"")</f>
        <v>0.3125</v>
      </c>
      <c r="U1217" s="84" t="n">
        <f aca="false">IF(O1217&gt;0,O1217,"")</f>
        <v>3200</v>
      </c>
    </row>
    <row r="1218" customFormat="false" ht="15" hidden="false" customHeight="false" outlineLevel="0" collapsed="false">
      <c r="A1218" s="81" t="s">
        <v>1861</v>
      </c>
      <c r="B1218" s="82" t="n">
        <v>46219</v>
      </c>
      <c r="C1218" s="81" t="s">
        <v>311</v>
      </c>
      <c r="D1218" s="83" t="str">
        <f aca="false">IFERROR(INDEX(c_Name,MATCH($C1218,c_ID,0)),"غير معرّف")</f>
        <v>لمى الحسيني</v>
      </c>
      <c r="E1218" s="83" t="str">
        <f aca="false">IFERROR(INDEX(c_Region,MATCH($C1218,c_ID,0)),"غير معرّف")</f>
        <v>الوسطى</v>
      </c>
      <c r="F1218" s="81" t="s">
        <v>179</v>
      </c>
      <c r="G1218" s="83" t="str">
        <f aca="false">IFERROR(INDEX(p_Name,MATCH($F1218,p_ID,0)),"غير معرّف")</f>
        <v>طقم أدوات مكتبية</v>
      </c>
      <c r="H1218" s="83" t="str">
        <f aca="false">IFERROR(INDEX(p_Cat,MATCH($F1218,p_ID,0)),"غير معرّف")</f>
        <v>مستلزمات مكتبية</v>
      </c>
      <c r="I1218" s="81" t="s">
        <v>446</v>
      </c>
      <c r="J1218" s="81" t="s">
        <v>91</v>
      </c>
      <c r="K1218" s="81" t="n">
        <v>2</v>
      </c>
      <c r="L1218" s="84" t="n">
        <f aca="false">IFERROR(INDEX(p_Price,MATCH($F1218,p_ID,0)),0)</f>
        <v>90</v>
      </c>
      <c r="M1218" s="85" t="n">
        <v>0.05</v>
      </c>
      <c r="N1218" s="81" t="s">
        <v>644</v>
      </c>
      <c r="O1218" s="84" t="n">
        <f aca="false">IF($N1218="مرتجع",0,K1218*L1218*(1-M1218))</f>
        <v>171</v>
      </c>
      <c r="P1218" s="84" t="n">
        <f aca="false">IF($N1218="مرتجع",0,K1218*IFERROR(INDEX(p_Cost,MATCH($F1218,p_ID,0)),0))</f>
        <v>90</v>
      </c>
      <c r="Q1218" s="84" t="n">
        <f aca="false">O1218-P1218</f>
        <v>81</v>
      </c>
      <c r="R1218" s="86" t="n">
        <f aca="false">DATE(YEAR(B1218),MONTH(B1218),1)</f>
        <v>46204</v>
      </c>
      <c r="S1218" s="83" t="str">
        <f aca="false">YEAR(B1218)&amp;"-Q"&amp;ROUNDUP(MONTH(B1218)/3,0)</f>
        <v>2026-Q3</v>
      </c>
      <c r="T1218" s="87" t="n">
        <f aca="false">IF(O1218&gt;0,Q1218/O1218,"")</f>
        <v>0.473684210526316</v>
      </c>
      <c r="U1218" s="84" t="n">
        <f aca="false">IF(O1218&gt;0,O1218,"")</f>
        <v>171</v>
      </c>
    </row>
    <row r="1219" customFormat="false" ht="15" hidden="false" customHeight="false" outlineLevel="0" collapsed="false">
      <c r="A1219" s="81" t="s">
        <v>1862</v>
      </c>
      <c r="B1219" s="82" t="n">
        <v>46219</v>
      </c>
      <c r="C1219" s="81" t="s">
        <v>357</v>
      </c>
      <c r="D1219" s="83" t="str">
        <f aca="false">IFERROR(INDEX(c_Name,MATCH($C1219,c_ID,0)),"غير معرّف")</f>
        <v>منى الحربي</v>
      </c>
      <c r="E1219" s="83" t="str">
        <f aca="false">IFERROR(INDEX(c_Region,MATCH($C1219,c_ID,0)),"غير معرّف")</f>
        <v>الوسطى</v>
      </c>
      <c r="F1219" s="81" t="s">
        <v>179</v>
      </c>
      <c r="G1219" s="83" t="str">
        <f aca="false">IFERROR(INDEX(p_Name,MATCH($F1219,p_ID,0)),"غير معرّف")</f>
        <v>طقم أدوات مكتبية</v>
      </c>
      <c r="H1219" s="83" t="str">
        <f aca="false">IFERROR(INDEX(p_Cat,MATCH($F1219,p_ID,0)),"غير معرّف")</f>
        <v>مستلزمات مكتبية</v>
      </c>
      <c r="I1219" s="81" t="s">
        <v>446</v>
      </c>
      <c r="J1219" s="81" t="s">
        <v>93</v>
      </c>
      <c r="K1219" s="81" t="n">
        <v>2</v>
      </c>
      <c r="L1219" s="84" t="n">
        <f aca="false">IFERROR(INDEX(p_Price,MATCH($F1219,p_ID,0)),0)</f>
        <v>90</v>
      </c>
      <c r="M1219" s="85" t="n">
        <v>0.05</v>
      </c>
      <c r="N1219" s="81" t="s">
        <v>644</v>
      </c>
      <c r="O1219" s="84" t="n">
        <f aca="false">IF($N1219="مرتجع",0,K1219*L1219*(1-M1219))</f>
        <v>171</v>
      </c>
      <c r="P1219" s="84" t="n">
        <f aca="false">IF($N1219="مرتجع",0,K1219*IFERROR(INDEX(p_Cost,MATCH($F1219,p_ID,0)),0))</f>
        <v>90</v>
      </c>
      <c r="Q1219" s="84" t="n">
        <f aca="false">O1219-P1219</f>
        <v>81</v>
      </c>
      <c r="R1219" s="86" t="n">
        <f aca="false">DATE(YEAR(B1219),MONTH(B1219),1)</f>
        <v>46204</v>
      </c>
      <c r="S1219" s="83" t="str">
        <f aca="false">YEAR(B1219)&amp;"-Q"&amp;ROUNDUP(MONTH(B1219)/3,0)</f>
        <v>2026-Q3</v>
      </c>
      <c r="T1219" s="87" t="n">
        <f aca="false">IF(O1219&gt;0,Q1219/O1219,"")</f>
        <v>0.473684210526316</v>
      </c>
      <c r="U1219" s="84" t="n">
        <f aca="false">IF(O1219&gt;0,O1219,"")</f>
        <v>171</v>
      </c>
    </row>
    <row r="1220" customFormat="false" ht="15" hidden="false" customHeight="false" outlineLevel="0" collapsed="false">
      <c r="A1220" s="81" t="s">
        <v>1863</v>
      </c>
      <c r="B1220" s="82" t="n">
        <v>46219</v>
      </c>
      <c r="C1220" s="81" t="s">
        <v>345</v>
      </c>
      <c r="D1220" s="83" t="str">
        <f aca="false">IFERROR(INDEX(c_Name,MATCH($C1220,c_ID,0)),"غير معرّف")</f>
        <v>عبدالله العنزي</v>
      </c>
      <c r="E1220" s="83" t="str">
        <f aca="false">IFERROR(INDEX(c_Region,MATCH($C1220,c_ID,0)),"غير معرّف")</f>
        <v>الغربية</v>
      </c>
      <c r="F1220" s="81" t="s">
        <v>183</v>
      </c>
      <c r="G1220" s="83" t="str">
        <f aca="false">IFERROR(INDEX(p_Name,MATCH($F1220,p_ID,0)),"غير معرّف")</f>
        <v>سجادة يوغا</v>
      </c>
      <c r="H1220" s="83" t="str">
        <f aca="false">IFERROR(INDEX(p_Cat,MATCH($F1220,p_ID,0)),"غير معرّف")</f>
        <v>رياضة</v>
      </c>
      <c r="I1220" s="81" t="s">
        <v>455</v>
      </c>
      <c r="J1220" s="81" t="s">
        <v>93</v>
      </c>
      <c r="K1220" s="81" t="n">
        <v>2</v>
      </c>
      <c r="L1220" s="84" t="n">
        <f aca="false">IFERROR(INDEX(p_Price,MATCH($F1220,p_ID,0)),0)</f>
        <v>120</v>
      </c>
      <c r="M1220" s="85" t="n">
        <v>0</v>
      </c>
      <c r="N1220" s="81" t="s">
        <v>644</v>
      </c>
      <c r="O1220" s="84" t="n">
        <f aca="false">IF($N1220="مرتجع",0,K1220*L1220*(1-M1220))</f>
        <v>240</v>
      </c>
      <c r="P1220" s="84" t="n">
        <f aca="false">IF($N1220="مرتجع",0,K1220*IFERROR(INDEX(p_Cost,MATCH($F1220,p_ID,0)),0))</f>
        <v>100</v>
      </c>
      <c r="Q1220" s="84" t="n">
        <f aca="false">O1220-P1220</f>
        <v>140</v>
      </c>
      <c r="R1220" s="86" t="n">
        <f aca="false">DATE(YEAR(B1220),MONTH(B1220),1)</f>
        <v>46204</v>
      </c>
      <c r="S1220" s="83" t="str">
        <f aca="false">YEAR(B1220)&amp;"-Q"&amp;ROUNDUP(MONTH(B1220)/3,0)</f>
        <v>2026-Q3</v>
      </c>
      <c r="T1220" s="87" t="n">
        <f aca="false">IF(O1220&gt;0,Q1220/O1220,"")</f>
        <v>0.583333333333333</v>
      </c>
      <c r="U1220" s="84" t="n">
        <f aca="false">IF(O1220&gt;0,O1220,"")</f>
        <v>240</v>
      </c>
    </row>
    <row r="1221" customFormat="false" ht="15" hidden="false" customHeight="false" outlineLevel="0" collapsed="false">
      <c r="A1221" s="81" t="s">
        <v>1864</v>
      </c>
      <c r="B1221" s="82" t="n">
        <v>46220</v>
      </c>
      <c r="C1221" s="81" t="s">
        <v>328</v>
      </c>
      <c r="D1221" s="83" t="str">
        <f aca="false">IFERROR(INDEX(c_Name,MATCH($C1221,c_ID,0)),"غير معرّف")</f>
        <v>عبدالله الشهري</v>
      </c>
      <c r="E1221" s="83" t="str">
        <f aca="false">IFERROR(INDEX(c_Region,MATCH($C1221,c_ID,0)),"غير معرّف")</f>
        <v>الشرقية</v>
      </c>
      <c r="F1221" s="81" t="s">
        <v>170</v>
      </c>
      <c r="G1221" s="83" t="str">
        <f aca="false">IFERROR(INDEX(p_Name,MATCH($F1221,p_ID,0)),"غير معرّف")</f>
        <v>مكيف نقال</v>
      </c>
      <c r="H1221" s="83" t="str">
        <f aca="false">IFERROR(INDEX(p_Cat,MATCH($F1221,p_ID,0)),"غير معرّف")</f>
        <v>أجهزة منزلية</v>
      </c>
      <c r="I1221" s="81" t="s">
        <v>461</v>
      </c>
      <c r="J1221" s="81" t="s">
        <v>93</v>
      </c>
      <c r="K1221" s="81" t="n">
        <v>1</v>
      </c>
      <c r="L1221" s="84" t="n">
        <f aca="false">IFERROR(INDEX(p_Price,MATCH($F1221,p_ID,0)),0)</f>
        <v>1900</v>
      </c>
      <c r="M1221" s="85" t="n">
        <v>0.2</v>
      </c>
      <c r="N1221" s="81" t="s">
        <v>644</v>
      </c>
      <c r="O1221" s="84" t="n">
        <f aca="false">IF($N1221="مرتجع",0,K1221*L1221*(1-M1221))</f>
        <v>1520</v>
      </c>
      <c r="P1221" s="84" t="n">
        <f aca="false">IF($N1221="مرتجع",0,K1221*IFERROR(INDEX(p_Cost,MATCH($F1221,p_ID,0)),0))</f>
        <v>1350</v>
      </c>
      <c r="Q1221" s="84" t="n">
        <f aca="false">O1221-P1221</f>
        <v>170</v>
      </c>
      <c r="R1221" s="86" t="n">
        <f aca="false">DATE(YEAR(B1221),MONTH(B1221),1)</f>
        <v>46204</v>
      </c>
      <c r="S1221" s="83" t="str">
        <f aca="false">YEAR(B1221)&amp;"-Q"&amp;ROUNDUP(MONTH(B1221)/3,0)</f>
        <v>2026-Q3</v>
      </c>
      <c r="T1221" s="87" t="n">
        <f aca="false">IF(O1221&gt;0,Q1221/O1221,"")</f>
        <v>0.111842105263158</v>
      </c>
      <c r="U1221" s="84" t="n">
        <f aca="false">IF(O1221&gt;0,O1221,"")</f>
        <v>1520</v>
      </c>
    </row>
    <row r="1222" customFormat="false" ht="15" hidden="false" customHeight="false" outlineLevel="0" collapsed="false">
      <c r="A1222" s="81" t="s">
        <v>1865</v>
      </c>
      <c r="B1222" s="82" t="n">
        <v>46220</v>
      </c>
      <c r="C1222" s="81" t="s">
        <v>294</v>
      </c>
      <c r="D1222" s="83" t="str">
        <f aca="false">IFERROR(INDEX(c_Name,MATCH($C1222,c_ID,0)),"غير معرّف")</f>
        <v>خالد البلوي</v>
      </c>
      <c r="E1222" s="83" t="str">
        <f aca="false">IFERROR(INDEX(c_Region,MATCH($C1222,c_ID,0)),"غير معرّف")</f>
        <v>الوسطى</v>
      </c>
      <c r="F1222" s="81" t="s">
        <v>172</v>
      </c>
      <c r="G1222" s="83" t="str">
        <f aca="false">IFERROR(INDEX(p_Name,MATCH($F1222,p_ID,0)),"غير معرّف")</f>
        <v>مكتب عمل</v>
      </c>
      <c r="H1222" s="83" t="str">
        <f aca="false">IFERROR(INDEX(p_Cat,MATCH($F1222,p_ID,0)),"غير معرّف")</f>
        <v>أثاث</v>
      </c>
      <c r="I1222" s="81" t="s">
        <v>449</v>
      </c>
      <c r="J1222" s="81" t="s">
        <v>95</v>
      </c>
      <c r="K1222" s="81" t="n">
        <v>6</v>
      </c>
      <c r="L1222" s="84" t="n">
        <f aca="false">IFERROR(INDEX(p_Price,MATCH($F1222,p_ID,0)),0)</f>
        <v>1200</v>
      </c>
      <c r="M1222" s="85" t="n">
        <v>0.1</v>
      </c>
      <c r="N1222" s="81" t="s">
        <v>644</v>
      </c>
      <c r="O1222" s="84" t="n">
        <f aca="false">IF($N1222="مرتجع",0,K1222*L1222*(1-M1222))</f>
        <v>6480</v>
      </c>
      <c r="P1222" s="84" t="n">
        <f aca="false">IF($N1222="مرتجع",0,K1222*IFERROR(INDEX(p_Cost,MATCH($F1222,p_ID,0)),0))</f>
        <v>4200</v>
      </c>
      <c r="Q1222" s="84" t="n">
        <f aca="false">O1222-P1222</f>
        <v>2280</v>
      </c>
      <c r="R1222" s="86" t="n">
        <f aca="false">DATE(YEAR(B1222),MONTH(B1222),1)</f>
        <v>46204</v>
      </c>
      <c r="S1222" s="83" t="str">
        <f aca="false">YEAR(B1222)&amp;"-Q"&amp;ROUNDUP(MONTH(B1222)/3,0)</f>
        <v>2026-Q3</v>
      </c>
      <c r="T1222" s="87" t="n">
        <f aca="false">IF(O1222&gt;0,Q1222/O1222,"")</f>
        <v>0.351851851851852</v>
      </c>
      <c r="U1222" s="84" t="n">
        <f aca="false">IF(O1222&gt;0,O1222,"")</f>
        <v>6480</v>
      </c>
    </row>
    <row r="1223" customFormat="false" ht="15" hidden="false" customHeight="false" outlineLevel="0" collapsed="false">
      <c r="A1223" s="81" t="s">
        <v>1866</v>
      </c>
      <c r="B1223" s="82" t="n">
        <v>46220</v>
      </c>
      <c r="C1223" s="81" t="s">
        <v>423</v>
      </c>
      <c r="D1223" s="83" t="str">
        <f aca="false">IFERROR(INDEX(c_Name,MATCH($C1223,c_ID,0)),"غير معرّف")</f>
        <v>ناصر المطيري</v>
      </c>
      <c r="E1223" s="83" t="str">
        <f aca="false">IFERROR(INDEX(c_Region,MATCH($C1223,c_ID,0)),"غير معرّف")</f>
        <v>الغربية</v>
      </c>
      <c r="F1223" s="81" t="s">
        <v>167</v>
      </c>
      <c r="G1223" s="83" t="str">
        <f aca="false">IFERROR(INDEX(p_Name,MATCH($F1223,p_ID,0)),"غير معرّف")</f>
        <v>شاشة 27 بوصة</v>
      </c>
      <c r="H1223" s="83" t="str">
        <f aca="false">IFERROR(INDEX(p_Cat,MATCH($F1223,p_ID,0)),"غير معرّف")</f>
        <v>إلكترونيات</v>
      </c>
      <c r="I1223" s="81" t="s">
        <v>452</v>
      </c>
      <c r="J1223" s="81" t="s">
        <v>93</v>
      </c>
      <c r="K1223" s="81" t="n">
        <v>1</v>
      </c>
      <c r="L1223" s="84" t="n">
        <f aca="false">IFERROR(INDEX(p_Price,MATCH($F1223,p_ID,0)),0)</f>
        <v>1100</v>
      </c>
      <c r="M1223" s="85" t="n">
        <v>0</v>
      </c>
      <c r="N1223" s="81" t="s">
        <v>644</v>
      </c>
      <c r="O1223" s="84" t="n">
        <f aca="false">IF($N1223="مرتجع",0,K1223*L1223*(1-M1223))</f>
        <v>1100</v>
      </c>
      <c r="P1223" s="84" t="n">
        <f aca="false">IF($N1223="مرتجع",0,K1223*IFERROR(INDEX(p_Cost,MATCH($F1223,p_ID,0)),0))</f>
        <v>780</v>
      </c>
      <c r="Q1223" s="84" t="n">
        <f aca="false">O1223-P1223</f>
        <v>320</v>
      </c>
      <c r="R1223" s="86" t="n">
        <f aca="false">DATE(YEAR(B1223),MONTH(B1223),1)</f>
        <v>46204</v>
      </c>
      <c r="S1223" s="83" t="str">
        <f aca="false">YEAR(B1223)&amp;"-Q"&amp;ROUNDUP(MONTH(B1223)/3,0)</f>
        <v>2026-Q3</v>
      </c>
      <c r="T1223" s="87" t="n">
        <f aca="false">IF(O1223&gt;0,Q1223/O1223,"")</f>
        <v>0.290909090909091</v>
      </c>
      <c r="U1223" s="84" t="n">
        <f aca="false">IF(O1223&gt;0,O1223,"")</f>
        <v>1100</v>
      </c>
    </row>
    <row r="1224" customFormat="false" ht="15" hidden="false" customHeight="false" outlineLevel="0" collapsed="false">
      <c r="A1224" s="81" t="s">
        <v>1867</v>
      </c>
      <c r="B1224" s="82" t="n">
        <v>46221</v>
      </c>
      <c r="C1224" s="81" t="s">
        <v>304</v>
      </c>
      <c r="D1224" s="83" t="str">
        <f aca="false">IFERROR(INDEX(c_Name,MATCH($C1224,c_ID,0)),"غير معرّف")</f>
        <v>سلمان السبيعي</v>
      </c>
      <c r="E1224" s="83" t="str">
        <f aca="false">IFERROR(INDEX(c_Region,MATCH($C1224,c_ID,0)),"غير معرّف")</f>
        <v>الشرقية</v>
      </c>
      <c r="F1224" s="81" t="s">
        <v>176</v>
      </c>
      <c r="G1224" s="83" t="str">
        <f aca="false">IFERROR(INDEX(p_Name,MATCH($F1224,p_ID,0)),"غير معرّف")</f>
        <v>طابعة ليزر</v>
      </c>
      <c r="H1224" s="83" t="str">
        <f aca="false">IFERROR(INDEX(p_Cat,MATCH($F1224,p_ID,0)),"غير معرّف")</f>
        <v>مستلزمات مكتبية</v>
      </c>
      <c r="I1224" s="81" t="s">
        <v>461</v>
      </c>
      <c r="J1224" s="81" t="s">
        <v>93</v>
      </c>
      <c r="K1224" s="81" t="n">
        <v>3</v>
      </c>
      <c r="L1224" s="84" t="n">
        <f aca="false">IFERROR(INDEX(p_Price,MATCH($F1224,p_ID,0)),0)</f>
        <v>1300</v>
      </c>
      <c r="M1224" s="85" t="n">
        <v>0.1</v>
      </c>
      <c r="N1224" s="81" t="s">
        <v>644</v>
      </c>
      <c r="O1224" s="84" t="n">
        <f aca="false">IF($N1224="مرتجع",0,K1224*L1224*(1-M1224))</f>
        <v>3510</v>
      </c>
      <c r="P1224" s="84" t="n">
        <f aca="false">IF($N1224="مرتجع",0,K1224*IFERROR(INDEX(p_Cost,MATCH($F1224,p_ID,0)),0))</f>
        <v>2850</v>
      </c>
      <c r="Q1224" s="84" t="n">
        <f aca="false">O1224-P1224</f>
        <v>660</v>
      </c>
      <c r="R1224" s="86" t="n">
        <f aca="false">DATE(YEAR(B1224),MONTH(B1224),1)</f>
        <v>46204</v>
      </c>
      <c r="S1224" s="83" t="str">
        <f aca="false">YEAR(B1224)&amp;"-Q"&amp;ROUNDUP(MONTH(B1224)/3,0)</f>
        <v>2026-Q3</v>
      </c>
      <c r="T1224" s="87" t="n">
        <f aca="false">IF(O1224&gt;0,Q1224/O1224,"")</f>
        <v>0.188034188034188</v>
      </c>
      <c r="U1224" s="84" t="n">
        <f aca="false">IF(O1224&gt;0,O1224,"")</f>
        <v>3510</v>
      </c>
    </row>
    <row r="1225" customFormat="false" ht="15" hidden="false" customHeight="false" outlineLevel="0" collapsed="false">
      <c r="A1225" s="81" t="s">
        <v>1868</v>
      </c>
      <c r="B1225" s="82" t="n">
        <v>46221</v>
      </c>
      <c r="C1225" s="81" t="s">
        <v>320</v>
      </c>
      <c r="D1225" s="83" t="str">
        <f aca="false">IFERROR(INDEX(c_Name,MATCH($C1225,c_ID,0)),"غير معرّف")</f>
        <v>دانة التميمي</v>
      </c>
      <c r="E1225" s="83" t="str">
        <f aca="false">IFERROR(INDEX(c_Region,MATCH($C1225,c_ID,0)),"غير معرّف")</f>
        <v>الوسطى</v>
      </c>
      <c r="F1225" s="81" t="s">
        <v>186</v>
      </c>
      <c r="G1225" s="83" t="str">
        <f aca="false">IFERROR(INDEX(p_Name,MATCH($F1225,p_ID,0)),"غير معرّف")</f>
        <v>مجفف شعر</v>
      </c>
      <c r="H1225" s="83" t="str">
        <f aca="false">IFERROR(INDEX(p_Cat,MATCH($F1225,p_ID,0)),"غير معرّف")</f>
        <v>عناية شخصية</v>
      </c>
      <c r="I1225" s="81" t="s">
        <v>446</v>
      </c>
      <c r="J1225" s="81" t="s">
        <v>93</v>
      </c>
      <c r="K1225" s="81" t="n">
        <v>3</v>
      </c>
      <c r="L1225" s="84" t="n">
        <f aca="false">IFERROR(INDEX(p_Price,MATCH($F1225,p_ID,0)),0)</f>
        <v>280</v>
      </c>
      <c r="M1225" s="85" t="n">
        <v>0.1</v>
      </c>
      <c r="N1225" s="81" t="s">
        <v>644</v>
      </c>
      <c r="O1225" s="84" t="n">
        <f aca="false">IF($N1225="مرتجع",0,K1225*L1225*(1-M1225))</f>
        <v>756</v>
      </c>
      <c r="P1225" s="84" t="n">
        <f aca="false">IF($N1225="مرتجع",0,K1225*IFERROR(INDEX(p_Cost,MATCH($F1225,p_ID,0)),0))</f>
        <v>420</v>
      </c>
      <c r="Q1225" s="84" t="n">
        <f aca="false">O1225-P1225</f>
        <v>336</v>
      </c>
      <c r="R1225" s="86" t="n">
        <f aca="false">DATE(YEAR(B1225),MONTH(B1225),1)</f>
        <v>46204</v>
      </c>
      <c r="S1225" s="83" t="str">
        <f aca="false">YEAR(B1225)&amp;"-Q"&amp;ROUNDUP(MONTH(B1225)/3,0)</f>
        <v>2026-Q3</v>
      </c>
      <c r="T1225" s="87" t="n">
        <f aca="false">IF(O1225&gt;0,Q1225/O1225,"")</f>
        <v>0.444444444444444</v>
      </c>
      <c r="U1225" s="84" t="n">
        <f aca="false">IF(O1225&gt;0,O1225,"")</f>
        <v>756</v>
      </c>
    </row>
    <row r="1226" customFormat="false" ht="15" hidden="false" customHeight="false" outlineLevel="0" collapsed="false">
      <c r="A1226" s="81" t="s">
        <v>1869</v>
      </c>
      <c r="B1226" s="82" t="n">
        <v>46222</v>
      </c>
      <c r="C1226" s="81" t="s">
        <v>304</v>
      </c>
      <c r="D1226" s="83" t="str">
        <f aca="false">IFERROR(INDEX(c_Name,MATCH($C1226,c_ID,0)),"غير معرّف")</f>
        <v>سلمان السبيعي</v>
      </c>
      <c r="E1226" s="83" t="str">
        <f aca="false">IFERROR(INDEX(c_Region,MATCH($C1226,c_ID,0)),"غير معرّف")</f>
        <v>الشرقية</v>
      </c>
      <c r="F1226" s="81" t="s">
        <v>186</v>
      </c>
      <c r="G1226" s="83" t="str">
        <f aca="false">IFERROR(INDEX(p_Name,MATCH($F1226,p_ID,0)),"غير معرّف")</f>
        <v>مجفف شعر</v>
      </c>
      <c r="H1226" s="83" t="str">
        <f aca="false">IFERROR(INDEX(p_Cat,MATCH($F1226,p_ID,0)),"غير معرّف")</f>
        <v>عناية شخصية</v>
      </c>
      <c r="I1226" s="81" t="s">
        <v>463</v>
      </c>
      <c r="J1226" s="81" t="s">
        <v>93</v>
      </c>
      <c r="K1226" s="81" t="n">
        <v>2</v>
      </c>
      <c r="L1226" s="84" t="n">
        <f aca="false">IFERROR(INDEX(p_Price,MATCH($F1226,p_ID,0)),0)</f>
        <v>280</v>
      </c>
      <c r="M1226" s="85" t="n">
        <v>0</v>
      </c>
      <c r="N1226" s="81" t="s">
        <v>644</v>
      </c>
      <c r="O1226" s="84" t="n">
        <f aca="false">IF($N1226="مرتجع",0,K1226*L1226*(1-M1226))</f>
        <v>560</v>
      </c>
      <c r="P1226" s="84" t="n">
        <f aca="false">IF($N1226="مرتجع",0,K1226*IFERROR(INDEX(p_Cost,MATCH($F1226,p_ID,0)),0))</f>
        <v>280</v>
      </c>
      <c r="Q1226" s="84" t="n">
        <f aca="false">O1226-P1226</f>
        <v>280</v>
      </c>
      <c r="R1226" s="86" t="n">
        <f aca="false">DATE(YEAR(B1226),MONTH(B1226),1)</f>
        <v>46204</v>
      </c>
      <c r="S1226" s="83" t="str">
        <f aca="false">YEAR(B1226)&amp;"-Q"&amp;ROUNDUP(MONTH(B1226)/3,0)</f>
        <v>2026-Q3</v>
      </c>
      <c r="T1226" s="87" t="n">
        <f aca="false">IF(O1226&gt;0,Q1226/O1226,"")</f>
        <v>0.5</v>
      </c>
      <c r="U1226" s="84" t="n">
        <f aca="false">IF(O1226&gt;0,O1226,"")</f>
        <v>560</v>
      </c>
    </row>
    <row r="1227" customFormat="false" ht="15" hidden="false" customHeight="false" outlineLevel="0" collapsed="false">
      <c r="A1227" s="81" t="s">
        <v>1870</v>
      </c>
      <c r="B1227" s="82" t="n">
        <v>46222</v>
      </c>
      <c r="C1227" s="81" t="s">
        <v>295</v>
      </c>
      <c r="D1227" s="83" t="str">
        <f aca="false">IFERROR(INDEX(c_Name,MATCH($C1227,c_ID,0)),"غير معرّف")</f>
        <v>عبير الزهراني</v>
      </c>
      <c r="E1227" s="83" t="str">
        <f aca="false">IFERROR(INDEX(c_Region,MATCH($C1227,c_ID,0)),"غير معرّف")</f>
        <v>الوسطى</v>
      </c>
      <c r="F1227" s="81" t="s">
        <v>179</v>
      </c>
      <c r="G1227" s="83" t="str">
        <f aca="false">IFERROR(INDEX(p_Name,MATCH($F1227,p_ID,0)),"غير معرّف")</f>
        <v>طقم أدوات مكتبية</v>
      </c>
      <c r="H1227" s="83" t="str">
        <f aca="false">IFERROR(INDEX(p_Cat,MATCH($F1227,p_ID,0)),"غير معرّف")</f>
        <v>مستلزمات مكتبية</v>
      </c>
      <c r="I1227" s="81" t="s">
        <v>443</v>
      </c>
      <c r="J1227" s="81" t="s">
        <v>95</v>
      </c>
      <c r="K1227" s="81" t="n">
        <v>8</v>
      </c>
      <c r="L1227" s="84" t="n">
        <f aca="false">IFERROR(INDEX(p_Price,MATCH($F1227,p_ID,0)),0)</f>
        <v>90</v>
      </c>
      <c r="M1227" s="85" t="n">
        <v>0.15</v>
      </c>
      <c r="N1227" s="81" t="s">
        <v>644</v>
      </c>
      <c r="O1227" s="84" t="n">
        <f aca="false">IF($N1227="مرتجع",0,K1227*L1227*(1-M1227))</f>
        <v>612</v>
      </c>
      <c r="P1227" s="84" t="n">
        <f aca="false">IF($N1227="مرتجع",0,K1227*IFERROR(INDEX(p_Cost,MATCH($F1227,p_ID,0)),0))</f>
        <v>360</v>
      </c>
      <c r="Q1227" s="84" t="n">
        <f aca="false">O1227-P1227</f>
        <v>252</v>
      </c>
      <c r="R1227" s="86" t="n">
        <f aca="false">DATE(YEAR(B1227),MONTH(B1227),1)</f>
        <v>46204</v>
      </c>
      <c r="S1227" s="83" t="str">
        <f aca="false">YEAR(B1227)&amp;"-Q"&amp;ROUNDUP(MONTH(B1227)/3,0)</f>
        <v>2026-Q3</v>
      </c>
      <c r="T1227" s="87" t="n">
        <f aca="false">IF(O1227&gt;0,Q1227/O1227,"")</f>
        <v>0.411764705882353</v>
      </c>
      <c r="U1227" s="84" t="n">
        <f aca="false">IF(O1227&gt;0,O1227,"")</f>
        <v>612</v>
      </c>
    </row>
    <row r="1228" customFormat="false" ht="15" hidden="false" customHeight="false" outlineLevel="0" collapsed="false">
      <c r="A1228" s="81" t="s">
        <v>1871</v>
      </c>
      <c r="B1228" s="82" t="n">
        <v>46223</v>
      </c>
      <c r="C1228" s="81" t="s">
        <v>387</v>
      </c>
      <c r="D1228" s="83" t="str">
        <f aca="false">IFERROR(INDEX(c_Name,MATCH($C1228,c_ID,0)),"غير معرّف")</f>
        <v>لمى الشمري</v>
      </c>
      <c r="E1228" s="83" t="str">
        <f aca="false">IFERROR(INDEX(c_Region,MATCH($C1228,c_ID,0)),"غير معرّف")</f>
        <v>الوسطى</v>
      </c>
      <c r="F1228" s="81" t="s">
        <v>171</v>
      </c>
      <c r="G1228" s="83" t="str">
        <f aca="false">IFERROR(INDEX(p_Name,MATCH($F1228,p_ID,0)),"غير معرّف")</f>
        <v>قلاية هوائية</v>
      </c>
      <c r="H1228" s="83" t="str">
        <f aca="false">IFERROR(INDEX(p_Cat,MATCH($F1228,p_ID,0)),"غير معرّف")</f>
        <v>أجهزة منزلية</v>
      </c>
      <c r="I1228" s="81" t="s">
        <v>446</v>
      </c>
      <c r="J1228" s="81" t="s">
        <v>93</v>
      </c>
      <c r="K1228" s="81" t="n">
        <v>3</v>
      </c>
      <c r="L1228" s="84" t="n">
        <f aca="false">IFERROR(INDEX(p_Price,MATCH($F1228,p_ID,0)),0)</f>
        <v>520</v>
      </c>
      <c r="M1228" s="85" t="n">
        <v>0</v>
      </c>
      <c r="N1228" s="81" t="s">
        <v>644</v>
      </c>
      <c r="O1228" s="84" t="n">
        <f aca="false">IF($N1228="مرتجع",0,K1228*L1228*(1-M1228))</f>
        <v>1560</v>
      </c>
      <c r="P1228" s="84" t="n">
        <f aca="false">IF($N1228="مرتجع",0,K1228*IFERROR(INDEX(p_Cost,MATCH($F1228,p_ID,0)),0))</f>
        <v>900</v>
      </c>
      <c r="Q1228" s="84" t="n">
        <f aca="false">O1228-P1228</f>
        <v>660</v>
      </c>
      <c r="R1228" s="86" t="n">
        <f aca="false">DATE(YEAR(B1228),MONTH(B1228),1)</f>
        <v>46204</v>
      </c>
      <c r="S1228" s="83" t="str">
        <f aca="false">YEAR(B1228)&amp;"-Q"&amp;ROUNDUP(MONTH(B1228)/3,0)</f>
        <v>2026-Q3</v>
      </c>
      <c r="T1228" s="87" t="n">
        <f aca="false">IF(O1228&gt;0,Q1228/O1228,"")</f>
        <v>0.423076923076923</v>
      </c>
      <c r="U1228" s="84" t="n">
        <f aca="false">IF(O1228&gt;0,O1228,"")</f>
        <v>1560</v>
      </c>
    </row>
    <row r="1229" customFormat="false" ht="15" hidden="false" customHeight="false" outlineLevel="0" collapsed="false">
      <c r="A1229" s="81" t="s">
        <v>1872</v>
      </c>
      <c r="B1229" s="82" t="n">
        <v>46223</v>
      </c>
      <c r="C1229" s="81" t="s">
        <v>261</v>
      </c>
      <c r="D1229" s="83" t="str">
        <f aca="false">IFERROR(INDEX(c_Name,MATCH($C1229,c_ID,0)),"غير معرّف")</f>
        <v>ياسر الدوسري</v>
      </c>
      <c r="E1229" s="83" t="str">
        <f aca="false">IFERROR(INDEX(c_Region,MATCH($C1229,c_ID,0)),"غير معرّف")</f>
        <v>الجنوبية</v>
      </c>
      <c r="F1229" s="81" t="s">
        <v>187</v>
      </c>
      <c r="G1229" s="83" t="str">
        <f aca="false">IFERROR(INDEX(p_Name,MATCH($F1229,p_ID,0)),"غير معرّف")</f>
        <v>جهاز تدليك</v>
      </c>
      <c r="H1229" s="83" t="str">
        <f aca="false">IFERROR(INDEX(p_Cat,MATCH($F1229,p_ID,0)),"غير معرّف")</f>
        <v>عناية شخصية</v>
      </c>
      <c r="I1229" s="81" t="s">
        <v>467</v>
      </c>
      <c r="J1229" s="81" t="s">
        <v>91</v>
      </c>
      <c r="K1229" s="81" t="n">
        <v>3</v>
      </c>
      <c r="L1229" s="84" t="n">
        <f aca="false">IFERROR(INDEX(p_Price,MATCH($F1229,p_ID,0)),0)</f>
        <v>600</v>
      </c>
      <c r="M1229" s="85" t="n">
        <v>0.05</v>
      </c>
      <c r="N1229" s="81" t="s">
        <v>644</v>
      </c>
      <c r="O1229" s="84" t="n">
        <f aca="false">IF($N1229="مرتجع",0,K1229*L1229*(1-M1229))</f>
        <v>1710</v>
      </c>
      <c r="P1229" s="84" t="n">
        <f aca="false">IF($N1229="مرتجع",0,K1229*IFERROR(INDEX(p_Cost,MATCH($F1229,p_ID,0)),0))</f>
        <v>990</v>
      </c>
      <c r="Q1229" s="84" t="n">
        <f aca="false">O1229-P1229</f>
        <v>720</v>
      </c>
      <c r="R1229" s="86" t="n">
        <f aca="false">DATE(YEAR(B1229),MONTH(B1229),1)</f>
        <v>46204</v>
      </c>
      <c r="S1229" s="83" t="str">
        <f aca="false">YEAR(B1229)&amp;"-Q"&amp;ROUNDUP(MONTH(B1229)/3,0)</f>
        <v>2026-Q3</v>
      </c>
      <c r="T1229" s="87" t="n">
        <f aca="false">IF(O1229&gt;0,Q1229/O1229,"")</f>
        <v>0.421052631578947</v>
      </c>
      <c r="U1229" s="84" t="n">
        <f aca="false">IF(O1229&gt;0,O1229,"")</f>
        <v>1710</v>
      </c>
    </row>
    <row r="1230" customFormat="false" ht="15" hidden="false" customHeight="false" outlineLevel="0" collapsed="false">
      <c r="A1230" s="81" t="s">
        <v>1873</v>
      </c>
      <c r="B1230" s="82" t="n">
        <v>46224</v>
      </c>
      <c r="C1230" s="81" t="s">
        <v>368</v>
      </c>
      <c r="D1230" s="83" t="str">
        <f aca="false">IFERROR(INDEX(c_Name,MATCH($C1230,c_ID,0)),"غير معرّف")</f>
        <v>خالد الحربي</v>
      </c>
      <c r="E1230" s="83" t="str">
        <f aca="false">IFERROR(INDEX(c_Region,MATCH($C1230,c_ID,0)),"غير معرّف")</f>
        <v>الغربية</v>
      </c>
      <c r="F1230" s="81" t="s">
        <v>182</v>
      </c>
      <c r="G1230" s="83" t="str">
        <f aca="false">IFERROR(INDEX(p_Name,MATCH($F1230,p_ID,0)),"غير معرّف")</f>
        <v>طقم أوزان</v>
      </c>
      <c r="H1230" s="83" t="str">
        <f aca="false">IFERROR(INDEX(p_Cat,MATCH($F1230,p_ID,0)),"غير معرّف")</f>
        <v>رياضة</v>
      </c>
      <c r="I1230" s="81" t="s">
        <v>452</v>
      </c>
      <c r="J1230" s="81" t="s">
        <v>93</v>
      </c>
      <c r="K1230" s="81" t="n">
        <v>1</v>
      </c>
      <c r="L1230" s="84" t="n">
        <f aca="false">IFERROR(INDEX(p_Price,MATCH($F1230,p_ID,0)),0)</f>
        <v>380</v>
      </c>
      <c r="M1230" s="85" t="n">
        <v>0</v>
      </c>
      <c r="N1230" s="81" t="s">
        <v>644</v>
      </c>
      <c r="O1230" s="84" t="n">
        <f aca="false">IF($N1230="مرتجع",0,K1230*L1230*(1-M1230))</f>
        <v>380</v>
      </c>
      <c r="P1230" s="84" t="n">
        <f aca="false">IF($N1230="مرتجع",0,K1230*IFERROR(INDEX(p_Cost,MATCH($F1230,p_ID,0)),0))</f>
        <v>210</v>
      </c>
      <c r="Q1230" s="84" t="n">
        <f aca="false">O1230-P1230</f>
        <v>170</v>
      </c>
      <c r="R1230" s="86" t="n">
        <f aca="false">DATE(YEAR(B1230),MONTH(B1230),1)</f>
        <v>46204</v>
      </c>
      <c r="S1230" s="83" t="str">
        <f aca="false">YEAR(B1230)&amp;"-Q"&amp;ROUNDUP(MONTH(B1230)/3,0)</f>
        <v>2026-Q3</v>
      </c>
      <c r="T1230" s="87" t="n">
        <f aca="false">IF(O1230&gt;0,Q1230/O1230,"")</f>
        <v>0.447368421052632</v>
      </c>
      <c r="U1230" s="84" t="n">
        <f aca="false">IF(O1230&gt;0,O1230,"")</f>
        <v>380</v>
      </c>
    </row>
    <row r="1231" customFormat="false" ht="15" hidden="false" customHeight="false" outlineLevel="0" collapsed="false">
      <c r="A1231" s="81" t="s">
        <v>1874</v>
      </c>
      <c r="B1231" s="82" t="n">
        <v>46224</v>
      </c>
      <c r="C1231" s="81" t="s">
        <v>404</v>
      </c>
      <c r="D1231" s="83" t="str">
        <f aca="false">IFERROR(INDEX(c_Name,MATCH($C1231,c_ID,0)),"غير معرّف")</f>
        <v>عبدالله الحسيني</v>
      </c>
      <c r="E1231" s="83" t="str">
        <f aca="false">IFERROR(INDEX(c_Region,MATCH($C1231,c_ID,0)),"غير معرّف")</f>
        <v>الشرقية</v>
      </c>
      <c r="F1231" s="81" t="s">
        <v>166</v>
      </c>
      <c r="G1231" s="83" t="str">
        <f aca="false">IFERROR(INDEX(p_Name,MATCH($F1231,p_ID,0)),"غير معرّف")</f>
        <v>سماعات لاسلكية</v>
      </c>
      <c r="H1231" s="83" t="str">
        <f aca="false">IFERROR(INDEX(p_Cat,MATCH($F1231,p_ID,0)),"غير معرّف")</f>
        <v>إلكترونيات</v>
      </c>
      <c r="I1231" s="81" t="s">
        <v>461</v>
      </c>
      <c r="J1231" s="81" t="s">
        <v>91</v>
      </c>
      <c r="K1231" s="81" t="n">
        <v>1</v>
      </c>
      <c r="L1231" s="84" t="n">
        <f aca="false">IFERROR(INDEX(p_Price,MATCH($F1231,p_ID,0)),0)</f>
        <v>450</v>
      </c>
      <c r="M1231" s="85" t="n">
        <v>0.05</v>
      </c>
      <c r="N1231" s="81" t="s">
        <v>644</v>
      </c>
      <c r="O1231" s="84" t="n">
        <f aca="false">IF($N1231="مرتجع",0,K1231*L1231*(1-M1231))</f>
        <v>427.5</v>
      </c>
      <c r="P1231" s="84" t="n">
        <f aca="false">IF($N1231="مرتجع",0,K1231*IFERROR(INDEX(p_Cost,MATCH($F1231,p_ID,0)),0))</f>
        <v>260</v>
      </c>
      <c r="Q1231" s="84" t="n">
        <f aca="false">O1231-P1231</f>
        <v>167.5</v>
      </c>
      <c r="R1231" s="86" t="n">
        <f aca="false">DATE(YEAR(B1231),MONTH(B1231),1)</f>
        <v>46204</v>
      </c>
      <c r="S1231" s="83" t="str">
        <f aca="false">YEAR(B1231)&amp;"-Q"&amp;ROUNDUP(MONTH(B1231)/3,0)</f>
        <v>2026-Q3</v>
      </c>
      <c r="T1231" s="87" t="n">
        <f aca="false">IF(O1231&gt;0,Q1231/O1231,"")</f>
        <v>0.391812865497076</v>
      </c>
      <c r="U1231" s="84" t="n">
        <f aca="false">IF(O1231&gt;0,O1231,"")</f>
        <v>427.5</v>
      </c>
    </row>
    <row r="1232" customFormat="false" ht="15" hidden="false" customHeight="false" outlineLevel="0" collapsed="false">
      <c r="A1232" s="81" t="s">
        <v>1875</v>
      </c>
      <c r="B1232" s="82" t="n">
        <v>46224</v>
      </c>
      <c r="C1232" s="81" t="s">
        <v>283</v>
      </c>
      <c r="D1232" s="83" t="str">
        <f aca="false">IFERROR(INDEX(c_Name,MATCH($C1232,c_ID,0)),"غير معرّف")</f>
        <v>فهد السبيعي</v>
      </c>
      <c r="E1232" s="83" t="str">
        <f aca="false">IFERROR(INDEX(c_Region,MATCH($C1232,c_ID,0)),"غير معرّف")</f>
        <v>الغربية</v>
      </c>
      <c r="F1232" s="81" t="s">
        <v>173</v>
      </c>
      <c r="G1232" s="83" t="str">
        <f aca="false">IFERROR(INDEX(p_Name,MATCH($F1232,p_ID,0)),"غير معرّف")</f>
        <v>كرسي مريح</v>
      </c>
      <c r="H1232" s="83" t="str">
        <f aca="false">IFERROR(INDEX(p_Cat,MATCH($F1232,p_ID,0)),"غير معرّف")</f>
        <v>أثاث</v>
      </c>
      <c r="I1232" s="81" t="s">
        <v>455</v>
      </c>
      <c r="J1232" s="81" t="s">
        <v>91</v>
      </c>
      <c r="K1232" s="81" t="n">
        <v>2</v>
      </c>
      <c r="L1232" s="84" t="n">
        <f aca="false">IFERROR(INDEX(p_Price,MATCH($F1232,p_ID,0)),0)</f>
        <v>850</v>
      </c>
      <c r="M1232" s="85" t="n">
        <v>0.15</v>
      </c>
      <c r="N1232" s="81" t="s">
        <v>644</v>
      </c>
      <c r="O1232" s="84" t="n">
        <f aca="false">IF($N1232="مرتجع",0,K1232*L1232*(1-M1232))</f>
        <v>1445</v>
      </c>
      <c r="P1232" s="84" t="n">
        <f aca="false">IF($N1232="مرتجع",0,K1232*IFERROR(INDEX(p_Cost,MATCH($F1232,p_ID,0)),0))</f>
        <v>960</v>
      </c>
      <c r="Q1232" s="84" t="n">
        <f aca="false">O1232-P1232</f>
        <v>485</v>
      </c>
      <c r="R1232" s="86" t="n">
        <f aca="false">DATE(YEAR(B1232),MONTH(B1232),1)</f>
        <v>46204</v>
      </c>
      <c r="S1232" s="83" t="str">
        <f aca="false">YEAR(B1232)&amp;"-Q"&amp;ROUNDUP(MONTH(B1232)/3,0)</f>
        <v>2026-Q3</v>
      </c>
      <c r="T1232" s="87" t="n">
        <f aca="false">IF(O1232&gt;0,Q1232/O1232,"")</f>
        <v>0.335640138408305</v>
      </c>
      <c r="U1232" s="84" t="n">
        <f aca="false">IF(O1232&gt;0,O1232,"")</f>
        <v>1445</v>
      </c>
    </row>
    <row r="1233" customFormat="false" ht="15" hidden="false" customHeight="false" outlineLevel="0" collapsed="false">
      <c r="A1233" s="81" t="s">
        <v>1876</v>
      </c>
      <c r="B1233" s="82" t="n">
        <v>46224</v>
      </c>
      <c r="C1233" s="81" t="s">
        <v>299</v>
      </c>
      <c r="D1233" s="83" t="str">
        <f aca="false">IFERROR(INDEX(c_Name,MATCH($C1233,c_ID,0)),"غير معرّف")</f>
        <v>جود الخالدي</v>
      </c>
      <c r="E1233" s="83" t="str">
        <f aca="false">IFERROR(INDEX(c_Region,MATCH($C1233,c_ID,0)),"غير معرّف")</f>
        <v>الوسطى</v>
      </c>
      <c r="F1233" s="81" t="s">
        <v>183</v>
      </c>
      <c r="G1233" s="83" t="str">
        <f aca="false">IFERROR(INDEX(p_Name,MATCH($F1233,p_ID,0)),"غير معرّف")</f>
        <v>سجادة يوغا</v>
      </c>
      <c r="H1233" s="83" t="str">
        <f aca="false">IFERROR(INDEX(p_Cat,MATCH($F1233,p_ID,0)),"غير معرّف")</f>
        <v>رياضة</v>
      </c>
      <c r="I1233" s="81" t="s">
        <v>443</v>
      </c>
      <c r="J1233" s="81" t="s">
        <v>93</v>
      </c>
      <c r="K1233" s="81" t="n">
        <v>1</v>
      </c>
      <c r="L1233" s="84" t="n">
        <f aca="false">IFERROR(INDEX(p_Price,MATCH($F1233,p_ID,0)),0)</f>
        <v>120</v>
      </c>
      <c r="M1233" s="85" t="n">
        <v>0.1</v>
      </c>
      <c r="N1233" s="81" t="s">
        <v>644</v>
      </c>
      <c r="O1233" s="84" t="n">
        <f aca="false">IF($N1233="مرتجع",0,K1233*L1233*(1-M1233))</f>
        <v>108</v>
      </c>
      <c r="P1233" s="84" t="n">
        <f aca="false">IF($N1233="مرتجع",0,K1233*IFERROR(INDEX(p_Cost,MATCH($F1233,p_ID,0)),0))</f>
        <v>50</v>
      </c>
      <c r="Q1233" s="84" t="n">
        <f aca="false">O1233-P1233</f>
        <v>58</v>
      </c>
      <c r="R1233" s="86" t="n">
        <f aca="false">DATE(YEAR(B1233),MONTH(B1233),1)</f>
        <v>46204</v>
      </c>
      <c r="S1233" s="83" t="str">
        <f aca="false">YEAR(B1233)&amp;"-Q"&amp;ROUNDUP(MONTH(B1233)/3,0)</f>
        <v>2026-Q3</v>
      </c>
      <c r="T1233" s="87" t="n">
        <f aca="false">IF(O1233&gt;0,Q1233/O1233,"")</f>
        <v>0.537037037037037</v>
      </c>
      <c r="U1233" s="84" t="n">
        <f aca="false">IF(O1233&gt;0,O1233,"")</f>
        <v>108</v>
      </c>
    </row>
    <row r="1234" customFormat="false" ht="15" hidden="false" customHeight="false" outlineLevel="0" collapsed="false">
      <c r="A1234" s="81" t="s">
        <v>1877</v>
      </c>
      <c r="B1234" s="82" t="n">
        <v>46224</v>
      </c>
      <c r="C1234" s="81" t="s">
        <v>342</v>
      </c>
      <c r="D1234" s="83" t="str">
        <f aca="false">IFERROR(INDEX(c_Name,MATCH($C1234,c_ID,0)),"غير معرّف")</f>
        <v>دانة الحربي</v>
      </c>
      <c r="E1234" s="83" t="str">
        <f aca="false">IFERROR(INDEX(c_Region,MATCH($C1234,c_ID,0)),"غير معرّف")</f>
        <v>الشرقية</v>
      </c>
      <c r="F1234" s="81" t="s">
        <v>167</v>
      </c>
      <c r="G1234" s="83" t="str">
        <f aca="false">IFERROR(INDEX(p_Name,MATCH($F1234,p_ID,0)),"غير معرّف")</f>
        <v>شاشة 27 بوصة</v>
      </c>
      <c r="H1234" s="83" t="str">
        <f aca="false">IFERROR(INDEX(p_Cat,MATCH($F1234,p_ID,0)),"غير معرّف")</f>
        <v>إلكترونيات</v>
      </c>
      <c r="I1234" s="81" t="s">
        <v>461</v>
      </c>
      <c r="J1234" s="81" t="s">
        <v>91</v>
      </c>
      <c r="K1234" s="81" t="n">
        <v>2</v>
      </c>
      <c r="L1234" s="84" t="n">
        <f aca="false">IFERROR(INDEX(p_Price,MATCH($F1234,p_ID,0)),0)</f>
        <v>1100</v>
      </c>
      <c r="M1234" s="85" t="n">
        <v>0.15</v>
      </c>
      <c r="N1234" s="81" t="s">
        <v>644</v>
      </c>
      <c r="O1234" s="84" t="n">
        <f aca="false">IF($N1234="مرتجع",0,K1234*L1234*(1-M1234))</f>
        <v>1870</v>
      </c>
      <c r="P1234" s="84" t="n">
        <f aca="false">IF($N1234="مرتجع",0,K1234*IFERROR(INDEX(p_Cost,MATCH($F1234,p_ID,0)),0))</f>
        <v>1560</v>
      </c>
      <c r="Q1234" s="84" t="n">
        <f aca="false">O1234-P1234</f>
        <v>310</v>
      </c>
      <c r="R1234" s="86" t="n">
        <f aca="false">DATE(YEAR(B1234),MONTH(B1234),1)</f>
        <v>46204</v>
      </c>
      <c r="S1234" s="83" t="str">
        <f aca="false">YEAR(B1234)&amp;"-Q"&amp;ROUNDUP(MONTH(B1234)/3,0)</f>
        <v>2026-Q3</v>
      </c>
      <c r="T1234" s="87" t="n">
        <f aca="false">IF(O1234&gt;0,Q1234/O1234,"")</f>
        <v>0.165775401069519</v>
      </c>
      <c r="U1234" s="84" t="n">
        <f aca="false">IF(O1234&gt;0,O1234,"")</f>
        <v>1870</v>
      </c>
    </row>
    <row r="1235" customFormat="false" ht="15" hidden="false" customHeight="false" outlineLevel="0" collapsed="false">
      <c r="A1235" s="81" t="s">
        <v>1878</v>
      </c>
      <c r="B1235" s="82" t="n">
        <v>46225</v>
      </c>
      <c r="C1235" s="81" t="s">
        <v>383</v>
      </c>
      <c r="D1235" s="83" t="str">
        <f aca="false">IFERROR(INDEX(c_Name,MATCH($C1235,c_ID,0)),"غير معرّف")</f>
        <v>منى الشمري</v>
      </c>
      <c r="E1235" s="83" t="str">
        <f aca="false">IFERROR(INDEX(c_Region,MATCH($C1235,c_ID,0)),"غير معرّف")</f>
        <v>الغربية</v>
      </c>
      <c r="F1235" s="81" t="s">
        <v>171</v>
      </c>
      <c r="G1235" s="83" t="str">
        <f aca="false">IFERROR(INDEX(p_Name,MATCH($F1235,p_ID,0)),"غير معرّف")</f>
        <v>قلاية هوائية</v>
      </c>
      <c r="H1235" s="83" t="str">
        <f aca="false">IFERROR(INDEX(p_Cat,MATCH($F1235,p_ID,0)),"غير معرّف")</f>
        <v>أجهزة منزلية</v>
      </c>
      <c r="I1235" s="81" t="s">
        <v>455</v>
      </c>
      <c r="J1235" s="81" t="s">
        <v>93</v>
      </c>
      <c r="K1235" s="81" t="n">
        <v>5</v>
      </c>
      <c r="L1235" s="84" t="n">
        <f aca="false">IFERROR(INDEX(p_Price,MATCH($F1235,p_ID,0)),0)</f>
        <v>520</v>
      </c>
      <c r="M1235" s="85" t="n">
        <v>0.05</v>
      </c>
      <c r="N1235" s="81" t="s">
        <v>644</v>
      </c>
      <c r="O1235" s="84" t="n">
        <f aca="false">IF($N1235="مرتجع",0,K1235*L1235*(1-M1235))</f>
        <v>2470</v>
      </c>
      <c r="P1235" s="84" t="n">
        <f aca="false">IF($N1235="مرتجع",0,K1235*IFERROR(INDEX(p_Cost,MATCH($F1235,p_ID,0)),0))</f>
        <v>1500</v>
      </c>
      <c r="Q1235" s="84" t="n">
        <f aca="false">O1235-P1235</f>
        <v>970</v>
      </c>
      <c r="R1235" s="86" t="n">
        <f aca="false">DATE(YEAR(B1235),MONTH(B1235),1)</f>
        <v>46204</v>
      </c>
      <c r="S1235" s="83" t="str">
        <f aca="false">YEAR(B1235)&amp;"-Q"&amp;ROUNDUP(MONTH(B1235)/3,0)</f>
        <v>2026-Q3</v>
      </c>
      <c r="T1235" s="87" t="n">
        <f aca="false">IF(O1235&gt;0,Q1235/O1235,"")</f>
        <v>0.392712550607287</v>
      </c>
      <c r="U1235" s="84" t="n">
        <f aca="false">IF(O1235&gt;0,O1235,"")</f>
        <v>2470</v>
      </c>
    </row>
    <row r="1236" customFormat="false" ht="15" hidden="false" customHeight="false" outlineLevel="0" collapsed="false">
      <c r="A1236" s="81" t="s">
        <v>1879</v>
      </c>
      <c r="B1236" s="82" t="n">
        <v>46225</v>
      </c>
      <c r="C1236" s="81" t="s">
        <v>287</v>
      </c>
      <c r="D1236" s="83" t="str">
        <f aca="false">IFERROR(INDEX(c_Name,MATCH($C1236,c_ID,0)),"غير معرّف")</f>
        <v>محمد الشهري</v>
      </c>
      <c r="E1236" s="83" t="str">
        <f aca="false">IFERROR(INDEX(c_Region,MATCH($C1236,c_ID,0)),"غير معرّف")</f>
        <v>الغربية</v>
      </c>
      <c r="F1236" s="81" t="s">
        <v>178</v>
      </c>
      <c r="G1236" s="83" t="str">
        <f aca="false">IFERROR(INDEX(p_Name,MATCH($F1236,p_ID,0)),"غير معرّف")</f>
        <v>حقيبة لابتوب</v>
      </c>
      <c r="H1236" s="83" t="str">
        <f aca="false">IFERROR(INDEX(p_Cat,MATCH($F1236,p_ID,0)),"غير معرّف")</f>
        <v>مستلزمات مكتبية</v>
      </c>
      <c r="I1236" s="81" t="s">
        <v>452</v>
      </c>
      <c r="J1236" s="81" t="s">
        <v>95</v>
      </c>
      <c r="K1236" s="81" t="n">
        <v>5</v>
      </c>
      <c r="L1236" s="84" t="n">
        <f aca="false">IFERROR(INDEX(p_Price,MATCH($F1236,p_ID,0)),0)</f>
        <v>260</v>
      </c>
      <c r="M1236" s="85" t="n">
        <v>0.2</v>
      </c>
      <c r="N1236" s="81" t="s">
        <v>644</v>
      </c>
      <c r="O1236" s="84" t="n">
        <f aca="false">IF($N1236="مرتجع",0,K1236*L1236*(1-M1236))</f>
        <v>1040</v>
      </c>
      <c r="P1236" s="84" t="n">
        <f aca="false">IF($N1236="مرتجع",0,K1236*IFERROR(INDEX(p_Cost,MATCH($F1236,p_ID,0)),0))</f>
        <v>600</v>
      </c>
      <c r="Q1236" s="84" t="n">
        <f aca="false">O1236-P1236</f>
        <v>440</v>
      </c>
      <c r="R1236" s="86" t="n">
        <f aca="false">DATE(YEAR(B1236),MONTH(B1236),1)</f>
        <v>46204</v>
      </c>
      <c r="S1236" s="83" t="str">
        <f aca="false">YEAR(B1236)&amp;"-Q"&amp;ROUNDUP(MONTH(B1236)/3,0)</f>
        <v>2026-Q3</v>
      </c>
      <c r="T1236" s="87" t="n">
        <f aca="false">IF(O1236&gt;0,Q1236/O1236,"")</f>
        <v>0.423076923076923</v>
      </c>
      <c r="U1236" s="84" t="n">
        <f aca="false">IF(O1236&gt;0,O1236,"")</f>
        <v>1040</v>
      </c>
    </row>
    <row r="1237" customFormat="false" ht="15" hidden="false" customHeight="false" outlineLevel="0" collapsed="false">
      <c r="A1237" s="81" t="s">
        <v>1880</v>
      </c>
      <c r="B1237" s="82" t="n">
        <v>46225</v>
      </c>
      <c r="C1237" s="81" t="s">
        <v>270</v>
      </c>
      <c r="D1237" s="83" t="str">
        <f aca="false">IFERROR(INDEX(c_Name,MATCH($C1237,c_ID,0)),"غير معرّف")</f>
        <v>ريم التميمي</v>
      </c>
      <c r="E1237" s="83" t="str">
        <f aca="false">IFERROR(INDEX(c_Region,MATCH($C1237,c_ID,0)),"غير معرّف")</f>
        <v>الشرقية</v>
      </c>
      <c r="F1237" s="81" t="s">
        <v>179</v>
      </c>
      <c r="G1237" s="83" t="str">
        <f aca="false">IFERROR(INDEX(p_Name,MATCH($F1237,p_ID,0)),"غير معرّف")</f>
        <v>طقم أدوات مكتبية</v>
      </c>
      <c r="H1237" s="83" t="str">
        <f aca="false">IFERROR(INDEX(p_Cat,MATCH($F1237,p_ID,0)),"غير معرّف")</f>
        <v>مستلزمات مكتبية</v>
      </c>
      <c r="I1237" s="81" t="s">
        <v>463</v>
      </c>
      <c r="J1237" s="81" t="s">
        <v>91</v>
      </c>
      <c r="K1237" s="81" t="n">
        <v>1</v>
      </c>
      <c r="L1237" s="84" t="n">
        <f aca="false">IFERROR(INDEX(p_Price,MATCH($F1237,p_ID,0)),0)</f>
        <v>90</v>
      </c>
      <c r="M1237" s="85" t="n">
        <v>0</v>
      </c>
      <c r="N1237" s="81" t="s">
        <v>644</v>
      </c>
      <c r="O1237" s="84" t="n">
        <f aca="false">IF($N1237="مرتجع",0,K1237*L1237*(1-M1237))</f>
        <v>90</v>
      </c>
      <c r="P1237" s="84" t="n">
        <f aca="false">IF($N1237="مرتجع",0,K1237*IFERROR(INDEX(p_Cost,MATCH($F1237,p_ID,0)),0))</f>
        <v>45</v>
      </c>
      <c r="Q1237" s="84" t="n">
        <f aca="false">O1237-P1237</f>
        <v>45</v>
      </c>
      <c r="R1237" s="86" t="n">
        <f aca="false">DATE(YEAR(B1237),MONTH(B1237),1)</f>
        <v>46204</v>
      </c>
      <c r="S1237" s="83" t="str">
        <f aca="false">YEAR(B1237)&amp;"-Q"&amp;ROUNDUP(MONTH(B1237)/3,0)</f>
        <v>2026-Q3</v>
      </c>
      <c r="T1237" s="87" t="n">
        <f aca="false">IF(O1237&gt;0,Q1237/O1237,"")</f>
        <v>0.5</v>
      </c>
      <c r="U1237" s="84" t="n">
        <f aca="false">IF(O1237&gt;0,O1237,"")</f>
        <v>90</v>
      </c>
    </row>
    <row r="1238" customFormat="false" ht="15" hidden="false" customHeight="false" outlineLevel="0" collapsed="false">
      <c r="A1238" s="81" t="s">
        <v>1881</v>
      </c>
      <c r="B1238" s="82" t="n">
        <v>46225</v>
      </c>
      <c r="C1238" s="81" t="s">
        <v>304</v>
      </c>
      <c r="D1238" s="83" t="str">
        <f aca="false">IFERROR(INDEX(c_Name,MATCH($C1238,c_ID,0)),"غير معرّف")</f>
        <v>سلمان السبيعي</v>
      </c>
      <c r="E1238" s="83" t="str">
        <f aca="false">IFERROR(INDEX(c_Region,MATCH($C1238,c_ID,0)),"غير معرّف")</f>
        <v>الشرقية</v>
      </c>
      <c r="F1238" s="81" t="s">
        <v>178</v>
      </c>
      <c r="G1238" s="83" t="str">
        <f aca="false">IFERROR(INDEX(p_Name,MATCH($F1238,p_ID,0)),"غير معرّف")</f>
        <v>حقيبة لابتوب</v>
      </c>
      <c r="H1238" s="83" t="str">
        <f aca="false">IFERROR(INDEX(p_Cat,MATCH($F1238,p_ID,0)),"غير معرّف")</f>
        <v>مستلزمات مكتبية</v>
      </c>
      <c r="I1238" s="81" t="s">
        <v>463</v>
      </c>
      <c r="J1238" s="81" t="s">
        <v>93</v>
      </c>
      <c r="K1238" s="81" t="n">
        <v>1</v>
      </c>
      <c r="L1238" s="84" t="n">
        <f aca="false">IFERROR(INDEX(p_Price,MATCH($F1238,p_ID,0)),0)</f>
        <v>260</v>
      </c>
      <c r="M1238" s="85" t="n">
        <v>0.1</v>
      </c>
      <c r="N1238" s="81" t="s">
        <v>644</v>
      </c>
      <c r="O1238" s="84" t="n">
        <f aca="false">IF($N1238="مرتجع",0,K1238*L1238*(1-M1238))</f>
        <v>234</v>
      </c>
      <c r="P1238" s="84" t="n">
        <f aca="false">IF($N1238="مرتجع",0,K1238*IFERROR(INDEX(p_Cost,MATCH($F1238,p_ID,0)),0))</f>
        <v>120</v>
      </c>
      <c r="Q1238" s="84" t="n">
        <f aca="false">O1238-P1238</f>
        <v>114</v>
      </c>
      <c r="R1238" s="86" t="n">
        <f aca="false">DATE(YEAR(B1238),MONTH(B1238),1)</f>
        <v>46204</v>
      </c>
      <c r="S1238" s="83" t="str">
        <f aca="false">YEAR(B1238)&amp;"-Q"&amp;ROUNDUP(MONTH(B1238)/3,0)</f>
        <v>2026-Q3</v>
      </c>
      <c r="T1238" s="87" t="n">
        <f aca="false">IF(O1238&gt;0,Q1238/O1238,"")</f>
        <v>0.487179487179487</v>
      </c>
      <c r="U1238" s="84" t="n">
        <f aca="false">IF(O1238&gt;0,O1238,"")</f>
        <v>234</v>
      </c>
    </row>
    <row r="1239" customFormat="false" ht="15" hidden="false" customHeight="false" outlineLevel="0" collapsed="false">
      <c r="A1239" s="81" t="s">
        <v>1882</v>
      </c>
      <c r="B1239" s="82" t="n">
        <v>46226</v>
      </c>
      <c r="C1239" s="81" t="s">
        <v>243</v>
      </c>
      <c r="D1239" s="83" t="str">
        <f aca="false">IFERROR(INDEX(c_Name,MATCH($C1239,c_ID,0)),"غير معرّف")</f>
        <v>محمد الحربي</v>
      </c>
      <c r="E1239" s="83" t="str">
        <f aca="false">IFERROR(INDEX(c_Region,MATCH($C1239,c_ID,0)),"غير معرّف")</f>
        <v>الغربية</v>
      </c>
      <c r="F1239" s="81" t="s">
        <v>184</v>
      </c>
      <c r="G1239" s="83" t="str">
        <f aca="false">IFERROR(INDEX(p_Name,MATCH($F1239,p_ID,0)),"غير معرّف")</f>
        <v>عطر فاخر</v>
      </c>
      <c r="H1239" s="83" t="str">
        <f aca="false">IFERROR(INDEX(p_Cat,MATCH($F1239,p_ID,0)),"غير معرّف")</f>
        <v>عناية شخصية</v>
      </c>
      <c r="I1239" s="81" t="s">
        <v>455</v>
      </c>
      <c r="J1239" s="81" t="s">
        <v>93</v>
      </c>
      <c r="K1239" s="81" t="n">
        <v>1</v>
      </c>
      <c r="L1239" s="84" t="n">
        <f aca="false">IFERROR(INDEX(p_Price,MATCH($F1239,p_ID,0)),0)</f>
        <v>520</v>
      </c>
      <c r="M1239" s="85" t="n">
        <v>0</v>
      </c>
      <c r="N1239" s="81" t="s">
        <v>644</v>
      </c>
      <c r="O1239" s="84" t="n">
        <f aca="false">IF($N1239="مرتجع",0,K1239*L1239*(1-M1239))</f>
        <v>520</v>
      </c>
      <c r="P1239" s="84" t="n">
        <f aca="false">IF($N1239="مرتجع",0,K1239*IFERROR(INDEX(p_Cost,MATCH($F1239,p_ID,0)),0))</f>
        <v>210</v>
      </c>
      <c r="Q1239" s="84" t="n">
        <f aca="false">O1239-P1239</f>
        <v>310</v>
      </c>
      <c r="R1239" s="86" t="n">
        <f aca="false">DATE(YEAR(B1239),MONTH(B1239),1)</f>
        <v>46204</v>
      </c>
      <c r="S1239" s="83" t="str">
        <f aca="false">YEAR(B1239)&amp;"-Q"&amp;ROUNDUP(MONTH(B1239)/3,0)</f>
        <v>2026-Q3</v>
      </c>
      <c r="T1239" s="87" t="n">
        <f aca="false">IF(O1239&gt;0,Q1239/O1239,"")</f>
        <v>0.596153846153846</v>
      </c>
      <c r="U1239" s="84" t="n">
        <f aca="false">IF(O1239&gt;0,O1239,"")</f>
        <v>520</v>
      </c>
    </row>
    <row r="1240" customFormat="false" ht="15" hidden="false" customHeight="false" outlineLevel="0" collapsed="false">
      <c r="A1240" s="81" t="s">
        <v>1883</v>
      </c>
      <c r="B1240" s="82" t="n">
        <v>46226</v>
      </c>
      <c r="C1240" s="81" t="s">
        <v>306</v>
      </c>
      <c r="D1240" s="83" t="str">
        <f aca="false">IFERROR(INDEX(c_Name,MATCH($C1240,c_ID,0)),"غير معرّف")</f>
        <v>أحمد العنزي</v>
      </c>
      <c r="E1240" s="83" t="str">
        <f aca="false">IFERROR(INDEX(c_Region,MATCH($C1240,c_ID,0)),"غير معرّف")</f>
        <v>الغربية</v>
      </c>
      <c r="F1240" s="81" t="s">
        <v>179</v>
      </c>
      <c r="G1240" s="83" t="str">
        <f aca="false">IFERROR(INDEX(p_Name,MATCH($F1240,p_ID,0)),"غير معرّف")</f>
        <v>طقم أدوات مكتبية</v>
      </c>
      <c r="H1240" s="83" t="str">
        <f aca="false">IFERROR(INDEX(p_Cat,MATCH($F1240,p_ID,0)),"غير معرّف")</f>
        <v>مستلزمات مكتبية</v>
      </c>
      <c r="I1240" s="81" t="s">
        <v>458</v>
      </c>
      <c r="J1240" s="81" t="s">
        <v>93</v>
      </c>
      <c r="K1240" s="81" t="n">
        <v>6</v>
      </c>
      <c r="L1240" s="84" t="n">
        <f aca="false">IFERROR(INDEX(p_Price,MATCH($F1240,p_ID,0)),0)</f>
        <v>90</v>
      </c>
      <c r="M1240" s="85" t="n">
        <v>0.05</v>
      </c>
      <c r="N1240" s="81" t="s">
        <v>644</v>
      </c>
      <c r="O1240" s="84" t="n">
        <f aca="false">IF($N1240="مرتجع",0,K1240*L1240*(1-M1240))</f>
        <v>513</v>
      </c>
      <c r="P1240" s="84" t="n">
        <f aca="false">IF($N1240="مرتجع",0,K1240*IFERROR(INDEX(p_Cost,MATCH($F1240,p_ID,0)),0))</f>
        <v>270</v>
      </c>
      <c r="Q1240" s="84" t="n">
        <f aca="false">O1240-P1240</f>
        <v>243</v>
      </c>
      <c r="R1240" s="86" t="n">
        <f aca="false">DATE(YEAR(B1240),MONTH(B1240),1)</f>
        <v>46204</v>
      </c>
      <c r="S1240" s="83" t="str">
        <f aca="false">YEAR(B1240)&amp;"-Q"&amp;ROUNDUP(MONTH(B1240)/3,0)</f>
        <v>2026-Q3</v>
      </c>
      <c r="T1240" s="87" t="n">
        <f aca="false">IF(O1240&gt;0,Q1240/O1240,"")</f>
        <v>0.473684210526316</v>
      </c>
      <c r="U1240" s="84" t="n">
        <f aca="false">IF(O1240&gt;0,O1240,"")</f>
        <v>513</v>
      </c>
    </row>
    <row r="1241" customFormat="false" ht="15" hidden="false" customHeight="false" outlineLevel="0" collapsed="false">
      <c r="A1241" s="81" t="s">
        <v>1884</v>
      </c>
      <c r="B1241" s="82" t="n">
        <v>46227</v>
      </c>
      <c r="C1241" s="81" t="s">
        <v>342</v>
      </c>
      <c r="D1241" s="83" t="str">
        <f aca="false">IFERROR(INDEX(c_Name,MATCH($C1241,c_ID,0)),"غير معرّف")</f>
        <v>دانة الحربي</v>
      </c>
      <c r="E1241" s="83" t="str">
        <f aca="false">IFERROR(INDEX(c_Region,MATCH($C1241,c_ID,0)),"غير معرّف")</f>
        <v>الشرقية</v>
      </c>
      <c r="F1241" s="81" t="s">
        <v>166</v>
      </c>
      <c r="G1241" s="83" t="str">
        <f aca="false">IFERROR(INDEX(p_Name,MATCH($F1241,p_ID,0)),"غير معرّف")</f>
        <v>سماعات لاسلكية</v>
      </c>
      <c r="H1241" s="83" t="str">
        <f aca="false">IFERROR(INDEX(p_Cat,MATCH($F1241,p_ID,0)),"غير معرّف")</f>
        <v>إلكترونيات</v>
      </c>
      <c r="I1241" s="81" t="s">
        <v>463</v>
      </c>
      <c r="J1241" s="81" t="s">
        <v>95</v>
      </c>
      <c r="K1241" s="81" t="n">
        <v>3</v>
      </c>
      <c r="L1241" s="84" t="n">
        <f aca="false">IFERROR(INDEX(p_Price,MATCH($F1241,p_ID,0)),0)</f>
        <v>450</v>
      </c>
      <c r="M1241" s="85" t="n">
        <v>0.1</v>
      </c>
      <c r="N1241" s="81" t="s">
        <v>644</v>
      </c>
      <c r="O1241" s="84" t="n">
        <f aca="false">IF($N1241="مرتجع",0,K1241*L1241*(1-M1241))</f>
        <v>1215</v>
      </c>
      <c r="P1241" s="84" t="n">
        <f aca="false">IF($N1241="مرتجع",0,K1241*IFERROR(INDEX(p_Cost,MATCH($F1241,p_ID,0)),0))</f>
        <v>780</v>
      </c>
      <c r="Q1241" s="84" t="n">
        <f aca="false">O1241-P1241</f>
        <v>435</v>
      </c>
      <c r="R1241" s="86" t="n">
        <f aca="false">DATE(YEAR(B1241),MONTH(B1241),1)</f>
        <v>46204</v>
      </c>
      <c r="S1241" s="83" t="str">
        <f aca="false">YEAR(B1241)&amp;"-Q"&amp;ROUNDUP(MONTH(B1241)/3,0)</f>
        <v>2026-Q3</v>
      </c>
      <c r="T1241" s="87" t="n">
        <f aca="false">IF(O1241&gt;0,Q1241/O1241,"")</f>
        <v>0.358024691358025</v>
      </c>
      <c r="U1241" s="84" t="n">
        <f aca="false">IF(O1241&gt;0,O1241,"")</f>
        <v>1215</v>
      </c>
    </row>
    <row r="1242" customFormat="false" ht="15" hidden="false" customHeight="false" outlineLevel="0" collapsed="false">
      <c r="A1242" s="81" t="s">
        <v>1885</v>
      </c>
      <c r="B1242" s="82" t="n">
        <v>46227</v>
      </c>
      <c r="C1242" s="81" t="s">
        <v>364</v>
      </c>
      <c r="D1242" s="83" t="str">
        <f aca="false">IFERROR(INDEX(c_Name,MATCH($C1242,c_ID,0)),"غير معرّف")</f>
        <v>عبير الدوسري</v>
      </c>
      <c r="E1242" s="83" t="str">
        <f aca="false">IFERROR(INDEX(c_Region,MATCH($C1242,c_ID,0)),"غير معرّف")</f>
        <v>الشرقية</v>
      </c>
      <c r="F1242" s="81" t="s">
        <v>164</v>
      </c>
      <c r="G1242" s="83" t="str">
        <f aca="false">IFERROR(INDEX(p_Name,MATCH($F1242,p_ID,0)),"غير معرّف")</f>
        <v>هاتف ذكي</v>
      </c>
      <c r="H1242" s="83" t="str">
        <f aca="false">IFERROR(INDEX(p_Cat,MATCH($F1242,p_ID,0)),"غير معرّف")</f>
        <v>إلكترونيات</v>
      </c>
      <c r="I1242" s="81" t="s">
        <v>461</v>
      </c>
      <c r="J1242" s="81" t="s">
        <v>91</v>
      </c>
      <c r="K1242" s="81" t="n">
        <v>1</v>
      </c>
      <c r="L1242" s="84" t="n">
        <f aca="false">IFERROR(INDEX(p_Price,MATCH($F1242,p_ID,0)),0)</f>
        <v>2400</v>
      </c>
      <c r="M1242" s="85" t="n">
        <v>0.1</v>
      </c>
      <c r="N1242" s="81" t="s">
        <v>644</v>
      </c>
      <c r="O1242" s="84" t="n">
        <f aca="false">IF($N1242="مرتجع",0,K1242*L1242*(1-M1242))</f>
        <v>2160</v>
      </c>
      <c r="P1242" s="84" t="n">
        <f aca="false">IF($N1242="مرتجع",0,K1242*IFERROR(INDEX(p_Cost,MATCH($F1242,p_ID,0)),0))</f>
        <v>1750</v>
      </c>
      <c r="Q1242" s="84" t="n">
        <f aca="false">O1242-P1242</f>
        <v>410</v>
      </c>
      <c r="R1242" s="86" t="n">
        <f aca="false">DATE(YEAR(B1242),MONTH(B1242),1)</f>
        <v>46204</v>
      </c>
      <c r="S1242" s="83" t="str">
        <f aca="false">YEAR(B1242)&amp;"-Q"&amp;ROUNDUP(MONTH(B1242)/3,0)</f>
        <v>2026-Q3</v>
      </c>
      <c r="T1242" s="87" t="n">
        <f aca="false">IF(O1242&gt;0,Q1242/O1242,"")</f>
        <v>0.189814814814815</v>
      </c>
      <c r="U1242" s="84" t="n">
        <f aca="false">IF(O1242&gt;0,O1242,"")</f>
        <v>2160</v>
      </c>
    </row>
    <row r="1243" customFormat="false" ht="15" hidden="false" customHeight="false" outlineLevel="0" collapsed="false">
      <c r="A1243" s="81" t="s">
        <v>1886</v>
      </c>
      <c r="B1243" s="82" t="n">
        <v>46227</v>
      </c>
      <c r="C1243" s="81" t="s">
        <v>319</v>
      </c>
      <c r="D1243" s="83" t="str">
        <f aca="false">IFERROR(INDEX(c_Name,MATCH($C1243,c_ID,0)),"غير معرّف")</f>
        <v>سعد التميمي</v>
      </c>
      <c r="E1243" s="83" t="str">
        <f aca="false">IFERROR(INDEX(c_Region,MATCH($C1243,c_ID,0)),"غير معرّف")</f>
        <v>الغربية</v>
      </c>
      <c r="F1243" s="81" t="s">
        <v>181</v>
      </c>
      <c r="G1243" s="83" t="str">
        <f aca="false">IFERROR(INDEX(p_Name,MATCH($F1243,p_ID,0)),"غير معرّف")</f>
        <v>دراجة ثابتة</v>
      </c>
      <c r="H1243" s="83" t="str">
        <f aca="false">IFERROR(INDEX(p_Cat,MATCH($F1243,p_ID,0)),"غير معرّف")</f>
        <v>رياضة</v>
      </c>
      <c r="I1243" s="81" t="s">
        <v>452</v>
      </c>
      <c r="J1243" s="81" t="s">
        <v>95</v>
      </c>
      <c r="K1243" s="81" t="n">
        <v>2</v>
      </c>
      <c r="L1243" s="84" t="n">
        <f aca="false">IFERROR(INDEX(p_Price,MATCH($F1243,p_ID,0)),0)</f>
        <v>1800</v>
      </c>
      <c r="M1243" s="85" t="n">
        <v>0</v>
      </c>
      <c r="N1243" s="81" t="s">
        <v>644</v>
      </c>
      <c r="O1243" s="84" t="n">
        <f aca="false">IF($N1243="مرتجع",0,K1243*L1243*(1-M1243))</f>
        <v>3600</v>
      </c>
      <c r="P1243" s="84" t="n">
        <f aca="false">IF($N1243="مرتجع",0,K1243*IFERROR(INDEX(p_Cost,MATCH($F1243,p_ID,0)),0))</f>
        <v>2400</v>
      </c>
      <c r="Q1243" s="84" t="n">
        <f aca="false">O1243-P1243</f>
        <v>1200</v>
      </c>
      <c r="R1243" s="86" t="n">
        <f aca="false">DATE(YEAR(B1243),MONTH(B1243),1)</f>
        <v>46204</v>
      </c>
      <c r="S1243" s="83" t="str">
        <f aca="false">YEAR(B1243)&amp;"-Q"&amp;ROUNDUP(MONTH(B1243)/3,0)</f>
        <v>2026-Q3</v>
      </c>
      <c r="T1243" s="87" t="n">
        <f aca="false">IF(O1243&gt;0,Q1243/O1243,"")</f>
        <v>0.333333333333333</v>
      </c>
      <c r="U1243" s="84" t="n">
        <f aca="false">IF(O1243&gt;0,O1243,"")</f>
        <v>3600</v>
      </c>
    </row>
    <row r="1244" customFormat="false" ht="15" hidden="false" customHeight="false" outlineLevel="0" collapsed="false">
      <c r="A1244" s="81" t="s">
        <v>1887</v>
      </c>
      <c r="B1244" s="82" t="n">
        <v>46227</v>
      </c>
      <c r="C1244" s="81" t="s">
        <v>428</v>
      </c>
      <c r="D1244" s="83" t="str">
        <f aca="false">IFERROR(INDEX(c_Name,MATCH($C1244,c_ID,0)),"غير معرّف")</f>
        <v>عبدالله القحطاني</v>
      </c>
      <c r="E1244" s="83" t="str">
        <f aca="false">IFERROR(INDEX(c_Region,MATCH($C1244,c_ID,0)),"غير معرّف")</f>
        <v>الوسطى</v>
      </c>
      <c r="F1244" s="81" t="s">
        <v>175</v>
      </c>
      <c r="G1244" s="83" t="str">
        <f aca="false">IFERROR(INDEX(p_Name,MATCH($F1244,p_ID,0)),"غير معرّف")</f>
        <v>رف كتب</v>
      </c>
      <c r="H1244" s="83" t="str">
        <f aca="false">IFERROR(INDEX(p_Cat,MATCH($F1244,p_ID,0)),"غير معرّف")</f>
        <v>أثاث</v>
      </c>
      <c r="I1244" s="81" t="s">
        <v>446</v>
      </c>
      <c r="J1244" s="81" t="s">
        <v>91</v>
      </c>
      <c r="K1244" s="81" t="n">
        <v>2</v>
      </c>
      <c r="L1244" s="84" t="n">
        <f aca="false">IFERROR(INDEX(p_Price,MATCH($F1244,p_ID,0)),0)</f>
        <v>400</v>
      </c>
      <c r="M1244" s="85" t="n">
        <v>0.05</v>
      </c>
      <c r="N1244" s="81" t="s">
        <v>644</v>
      </c>
      <c r="O1244" s="84" t="n">
        <f aca="false">IF($N1244="مرتجع",0,K1244*L1244*(1-M1244))</f>
        <v>760</v>
      </c>
      <c r="P1244" s="84" t="n">
        <f aca="false">IF($N1244="مرتجع",0,K1244*IFERROR(INDEX(p_Cost,MATCH($F1244,p_ID,0)),0))</f>
        <v>440</v>
      </c>
      <c r="Q1244" s="84" t="n">
        <f aca="false">O1244-P1244</f>
        <v>320</v>
      </c>
      <c r="R1244" s="86" t="n">
        <f aca="false">DATE(YEAR(B1244),MONTH(B1244),1)</f>
        <v>46204</v>
      </c>
      <c r="S1244" s="83" t="str">
        <f aca="false">YEAR(B1244)&amp;"-Q"&amp;ROUNDUP(MONTH(B1244)/3,0)</f>
        <v>2026-Q3</v>
      </c>
      <c r="T1244" s="87" t="n">
        <f aca="false">IF(O1244&gt;0,Q1244/O1244,"")</f>
        <v>0.421052631578947</v>
      </c>
      <c r="U1244" s="84" t="n">
        <f aca="false">IF(O1244&gt;0,O1244,"")</f>
        <v>760</v>
      </c>
    </row>
    <row r="1245" customFormat="false" ht="15" hidden="false" customHeight="false" outlineLevel="0" collapsed="false">
      <c r="A1245" s="81" t="s">
        <v>1888</v>
      </c>
      <c r="B1245" s="82" t="n">
        <v>46227</v>
      </c>
      <c r="C1245" s="81" t="s">
        <v>426</v>
      </c>
      <c r="D1245" s="83" t="str">
        <f aca="false">IFERROR(INDEX(c_Name,MATCH($C1245,c_ID,0)),"غير معرّف")</f>
        <v>لمى البلوي</v>
      </c>
      <c r="E1245" s="83" t="str">
        <f aca="false">IFERROR(INDEX(c_Region,MATCH($C1245,c_ID,0)),"غير معرّف")</f>
        <v>الشرقية</v>
      </c>
      <c r="F1245" s="81" t="s">
        <v>171</v>
      </c>
      <c r="G1245" s="83" t="str">
        <f aca="false">IFERROR(INDEX(p_Name,MATCH($F1245,p_ID,0)),"غير معرّف")</f>
        <v>قلاية هوائية</v>
      </c>
      <c r="H1245" s="83" t="str">
        <f aca="false">IFERROR(INDEX(p_Cat,MATCH($F1245,p_ID,0)),"غير معرّف")</f>
        <v>أجهزة منزلية</v>
      </c>
      <c r="I1245" s="81" t="s">
        <v>461</v>
      </c>
      <c r="J1245" s="81" t="s">
        <v>93</v>
      </c>
      <c r="K1245" s="81" t="n">
        <v>1</v>
      </c>
      <c r="L1245" s="84" t="n">
        <f aca="false">IFERROR(INDEX(p_Price,MATCH($F1245,p_ID,0)),0)</f>
        <v>520</v>
      </c>
      <c r="M1245" s="85" t="n">
        <v>0</v>
      </c>
      <c r="N1245" s="81" t="s">
        <v>644</v>
      </c>
      <c r="O1245" s="84" t="n">
        <f aca="false">IF($N1245="مرتجع",0,K1245*L1245*(1-M1245))</f>
        <v>520</v>
      </c>
      <c r="P1245" s="84" t="n">
        <f aca="false">IF($N1245="مرتجع",0,K1245*IFERROR(INDEX(p_Cost,MATCH($F1245,p_ID,0)),0))</f>
        <v>300</v>
      </c>
      <c r="Q1245" s="84" t="n">
        <f aca="false">O1245-P1245</f>
        <v>220</v>
      </c>
      <c r="R1245" s="86" t="n">
        <f aca="false">DATE(YEAR(B1245),MONTH(B1245),1)</f>
        <v>46204</v>
      </c>
      <c r="S1245" s="83" t="str">
        <f aca="false">YEAR(B1245)&amp;"-Q"&amp;ROUNDUP(MONTH(B1245)/3,0)</f>
        <v>2026-Q3</v>
      </c>
      <c r="T1245" s="87" t="n">
        <f aca="false">IF(O1245&gt;0,Q1245/O1245,"")</f>
        <v>0.423076923076923</v>
      </c>
      <c r="U1245" s="84" t="n">
        <f aca="false">IF(O1245&gt;0,O1245,"")</f>
        <v>520</v>
      </c>
    </row>
    <row r="1246" customFormat="false" ht="15" hidden="false" customHeight="false" outlineLevel="0" collapsed="false">
      <c r="A1246" s="81" t="s">
        <v>1889</v>
      </c>
      <c r="B1246" s="82" t="n">
        <v>46228</v>
      </c>
      <c r="C1246" s="81" t="s">
        <v>288</v>
      </c>
      <c r="D1246" s="83" t="str">
        <f aca="false">IFERROR(INDEX(c_Name,MATCH($C1246,c_ID,0)),"غير معرّف")</f>
        <v>خالد الشمري</v>
      </c>
      <c r="E1246" s="83" t="str">
        <f aca="false">IFERROR(INDEX(c_Region,MATCH($C1246,c_ID,0)),"غير معرّف")</f>
        <v>الجنوبية</v>
      </c>
      <c r="F1246" s="81" t="s">
        <v>187</v>
      </c>
      <c r="G1246" s="83" t="str">
        <f aca="false">IFERROR(INDEX(p_Name,MATCH($F1246,p_ID,0)),"غير معرّف")</f>
        <v>جهاز تدليك</v>
      </c>
      <c r="H1246" s="83" t="str">
        <f aca="false">IFERROR(INDEX(p_Cat,MATCH($F1246,p_ID,0)),"غير معرّف")</f>
        <v>عناية شخصية</v>
      </c>
      <c r="I1246" s="81" t="s">
        <v>465</v>
      </c>
      <c r="J1246" s="81" t="s">
        <v>93</v>
      </c>
      <c r="K1246" s="81" t="n">
        <v>1</v>
      </c>
      <c r="L1246" s="84" t="n">
        <f aca="false">IFERROR(INDEX(p_Price,MATCH($F1246,p_ID,0)),0)</f>
        <v>600</v>
      </c>
      <c r="M1246" s="85" t="n">
        <v>0.15</v>
      </c>
      <c r="N1246" s="81" t="s">
        <v>644</v>
      </c>
      <c r="O1246" s="84" t="n">
        <f aca="false">IF($N1246="مرتجع",0,K1246*L1246*(1-M1246))</f>
        <v>510</v>
      </c>
      <c r="P1246" s="84" t="n">
        <f aca="false">IF($N1246="مرتجع",0,K1246*IFERROR(INDEX(p_Cost,MATCH($F1246,p_ID,0)),0))</f>
        <v>330</v>
      </c>
      <c r="Q1246" s="84" t="n">
        <f aca="false">O1246-P1246</f>
        <v>180</v>
      </c>
      <c r="R1246" s="86" t="n">
        <f aca="false">DATE(YEAR(B1246),MONTH(B1246),1)</f>
        <v>46204</v>
      </c>
      <c r="S1246" s="83" t="str">
        <f aca="false">YEAR(B1246)&amp;"-Q"&amp;ROUNDUP(MONTH(B1246)/3,0)</f>
        <v>2026-Q3</v>
      </c>
      <c r="T1246" s="87" t="n">
        <f aca="false">IF(O1246&gt;0,Q1246/O1246,"")</f>
        <v>0.352941176470588</v>
      </c>
      <c r="U1246" s="84" t="n">
        <f aca="false">IF(O1246&gt;0,O1246,"")</f>
        <v>510</v>
      </c>
    </row>
    <row r="1247" customFormat="false" ht="15" hidden="false" customHeight="false" outlineLevel="0" collapsed="false">
      <c r="A1247" s="81" t="s">
        <v>1890</v>
      </c>
      <c r="B1247" s="82" t="n">
        <v>46229</v>
      </c>
      <c r="C1247" s="81" t="s">
        <v>423</v>
      </c>
      <c r="D1247" s="83" t="str">
        <f aca="false">IFERROR(INDEX(c_Name,MATCH($C1247,c_ID,0)),"غير معرّف")</f>
        <v>ناصر المطيري</v>
      </c>
      <c r="E1247" s="83" t="str">
        <f aca="false">IFERROR(INDEX(c_Region,MATCH($C1247,c_ID,0)),"غير معرّف")</f>
        <v>الغربية</v>
      </c>
      <c r="F1247" s="81" t="s">
        <v>166</v>
      </c>
      <c r="G1247" s="83" t="str">
        <f aca="false">IFERROR(INDEX(p_Name,MATCH($F1247,p_ID,0)),"غير معرّف")</f>
        <v>سماعات لاسلكية</v>
      </c>
      <c r="H1247" s="83" t="str">
        <f aca="false">IFERROR(INDEX(p_Cat,MATCH($F1247,p_ID,0)),"غير معرّف")</f>
        <v>إلكترونيات</v>
      </c>
      <c r="I1247" s="81" t="s">
        <v>458</v>
      </c>
      <c r="J1247" s="81" t="s">
        <v>91</v>
      </c>
      <c r="K1247" s="81" t="n">
        <v>4</v>
      </c>
      <c r="L1247" s="84" t="n">
        <f aca="false">IFERROR(INDEX(p_Price,MATCH($F1247,p_ID,0)),0)</f>
        <v>450</v>
      </c>
      <c r="M1247" s="85" t="n">
        <v>0.2</v>
      </c>
      <c r="N1247" s="81" t="s">
        <v>644</v>
      </c>
      <c r="O1247" s="84" t="n">
        <f aca="false">IF($N1247="مرتجع",0,K1247*L1247*(1-M1247))</f>
        <v>1440</v>
      </c>
      <c r="P1247" s="84" t="n">
        <f aca="false">IF($N1247="مرتجع",0,K1247*IFERROR(INDEX(p_Cost,MATCH($F1247,p_ID,0)),0))</f>
        <v>1040</v>
      </c>
      <c r="Q1247" s="84" t="n">
        <f aca="false">O1247-P1247</f>
        <v>400</v>
      </c>
      <c r="R1247" s="86" t="n">
        <f aca="false">DATE(YEAR(B1247),MONTH(B1247),1)</f>
        <v>46204</v>
      </c>
      <c r="S1247" s="83" t="str">
        <f aca="false">YEAR(B1247)&amp;"-Q"&amp;ROUNDUP(MONTH(B1247)/3,0)</f>
        <v>2026-Q3</v>
      </c>
      <c r="T1247" s="87" t="n">
        <f aca="false">IF(O1247&gt;0,Q1247/O1247,"")</f>
        <v>0.277777777777778</v>
      </c>
      <c r="U1247" s="84" t="n">
        <f aca="false">IF(O1247&gt;0,O1247,"")</f>
        <v>1440</v>
      </c>
    </row>
    <row r="1248" customFormat="false" ht="15" hidden="false" customHeight="false" outlineLevel="0" collapsed="false">
      <c r="A1248" s="81" t="s">
        <v>1891</v>
      </c>
      <c r="B1248" s="82" t="n">
        <v>46229</v>
      </c>
      <c r="C1248" s="81" t="s">
        <v>270</v>
      </c>
      <c r="D1248" s="83" t="str">
        <f aca="false">IFERROR(INDEX(c_Name,MATCH($C1248,c_ID,0)),"غير معرّف")</f>
        <v>ريم التميمي</v>
      </c>
      <c r="E1248" s="83" t="str">
        <f aca="false">IFERROR(INDEX(c_Region,MATCH($C1248,c_ID,0)),"غير معرّف")</f>
        <v>الشرقية</v>
      </c>
      <c r="F1248" s="81" t="s">
        <v>186</v>
      </c>
      <c r="G1248" s="83" t="str">
        <f aca="false">IFERROR(INDEX(p_Name,MATCH($F1248,p_ID,0)),"غير معرّف")</f>
        <v>مجفف شعر</v>
      </c>
      <c r="H1248" s="83" t="str">
        <f aca="false">IFERROR(INDEX(p_Cat,MATCH($F1248,p_ID,0)),"غير معرّف")</f>
        <v>عناية شخصية</v>
      </c>
      <c r="I1248" s="81" t="s">
        <v>463</v>
      </c>
      <c r="J1248" s="81" t="s">
        <v>93</v>
      </c>
      <c r="K1248" s="81" t="n">
        <v>1</v>
      </c>
      <c r="L1248" s="84" t="n">
        <f aca="false">IFERROR(INDEX(p_Price,MATCH($F1248,p_ID,0)),0)</f>
        <v>280</v>
      </c>
      <c r="M1248" s="85" t="n">
        <v>0.05</v>
      </c>
      <c r="N1248" s="81" t="s">
        <v>644</v>
      </c>
      <c r="O1248" s="84" t="n">
        <f aca="false">IF($N1248="مرتجع",0,K1248*L1248*(1-M1248))</f>
        <v>266</v>
      </c>
      <c r="P1248" s="84" t="n">
        <f aca="false">IF($N1248="مرتجع",0,K1248*IFERROR(INDEX(p_Cost,MATCH($F1248,p_ID,0)),0))</f>
        <v>140</v>
      </c>
      <c r="Q1248" s="84" t="n">
        <f aca="false">O1248-P1248</f>
        <v>126</v>
      </c>
      <c r="R1248" s="86" t="n">
        <f aca="false">DATE(YEAR(B1248),MONTH(B1248),1)</f>
        <v>46204</v>
      </c>
      <c r="S1248" s="83" t="str">
        <f aca="false">YEAR(B1248)&amp;"-Q"&amp;ROUNDUP(MONTH(B1248)/3,0)</f>
        <v>2026-Q3</v>
      </c>
      <c r="T1248" s="87" t="n">
        <f aca="false">IF(O1248&gt;0,Q1248/O1248,"")</f>
        <v>0.473684210526316</v>
      </c>
      <c r="U1248" s="84" t="n">
        <f aca="false">IF(O1248&gt;0,O1248,"")</f>
        <v>266</v>
      </c>
    </row>
    <row r="1249" customFormat="false" ht="15" hidden="false" customHeight="false" outlineLevel="0" collapsed="false">
      <c r="A1249" s="81" t="s">
        <v>1892</v>
      </c>
      <c r="B1249" s="82" t="n">
        <v>46229</v>
      </c>
      <c r="C1249" s="81" t="s">
        <v>291</v>
      </c>
      <c r="D1249" s="83" t="str">
        <f aca="false">IFERROR(INDEX(c_Name,MATCH($C1249,c_ID,0)),"غير معرّف")</f>
        <v>ياسر الشمري</v>
      </c>
      <c r="E1249" s="83" t="str">
        <f aca="false">IFERROR(INDEX(c_Region,MATCH($C1249,c_ID,0)),"غير معرّف")</f>
        <v>الوسطى</v>
      </c>
      <c r="F1249" s="81" t="s">
        <v>186</v>
      </c>
      <c r="G1249" s="83" t="str">
        <f aca="false">IFERROR(INDEX(p_Name,MATCH($F1249,p_ID,0)),"غير معرّف")</f>
        <v>مجفف شعر</v>
      </c>
      <c r="H1249" s="83" t="str">
        <f aca="false">IFERROR(INDEX(p_Cat,MATCH($F1249,p_ID,0)),"غير معرّف")</f>
        <v>عناية شخصية</v>
      </c>
      <c r="I1249" s="81" t="s">
        <v>446</v>
      </c>
      <c r="J1249" s="81" t="s">
        <v>91</v>
      </c>
      <c r="K1249" s="81" t="n">
        <v>1</v>
      </c>
      <c r="L1249" s="84" t="n">
        <f aca="false">IFERROR(INDEX(p_Price,MATCH($F1249,p_ID,0)),0)</f>
        <v>280</v>
      </c>
      <c r="M1249" s="85" t="n">
        <v>0.05</v>
      </c>
      <c r="N1249" s="81" t="s">
        <v>644</v>
      </c>
      <c r="O1249" s="84" t="n">
        <f aca="false">IF($N1249="مرتجع",0,K1249*L1249*(1-M1249))</f>
        <v>266</v>
      </c>
      <c r="P1249" s="84" t="n">
        <f aca="false">IF($N1249="مرتجع",0,K1249*IFERROR(INDEX(p_Cost,MATCH($F1249,p_ID,0)),0))</f>
        <v>140</v>
      </c>
      <c r="Q1249" s="84" t="n">
        <f aca="false">O1249-P1249</f>
        <v>126</v>
      </c>
      <c r="R1249" s="86" t="n">
        <f aca="false">DATE(YEAR(B1249),MONTH(B1249),1)</f>
        <v>46204</v>
      </c>
      <c r="S1249" s="83" t="str">
        <f aca="false">YEAR(B1249)&amp;"-Q"&amp;ROUNDUP(MONTH(B1249)/3,0)</f>
        <v>2026-Q3</v>
      </c>
      <c r="T1249" s="87" t="n">
        <f aca="false">IF(O1249&gt;0,Q1249/O1249,"")</f>
        <v>0.473684210526316</v>
      </c>
      <c r="U1249" s="84" t="n">
        <f aca="false">IF(O1249&gt;0,O1249,"")</f>
        <v>266</v>
      </c>
    </row>
    <row r="1250" customFormat="false" ht="15" hidden="false" customHeight="false" outlineLevel="0" collapsed="false">
      <c r="A1250" s="81" t="s">
        <v>1893</v>
      </c>
      <c r="B1250" s="82" t="n">
        <v>46230</v>
      </c>
      <c r="C1250" s="81" t="s">
        <v>334</v>
      </c>
      <c r="D1250" s="83" t="str">
        <f aca="false">IFERROR(INDEX(c_Name,MATCH($C1250,c_ID,0)),"غير معرّف")</f>
        <v>ناصر الغامدي</v>
      </c>
      <c r="E1250" s="83" t="str">
        <f aca="false">IFERROR(INDEX(c_Region,MATCH($C1250,c_ID,0)),"غير معرّف")</f>
        <v>الغربية</v>
      </c>
      <c r="F1250" s="81" t="s">
        <v>184</v>
      </c>
      <c r="G1250" s="83" t="str">
        <f aca="false">IFERROR(INDEX(p_Name,MATCH($F1250,p_ID,0)),"غير معرّف")</f>
        <v>عطر فاخر</v>
      </c>
      <c r="H1250" s="83" t="str">
        <f aca="false">IFERROR(INDEX(p_Cat,MATCH($F1250,p_ID,0)),"غير معرّف")</f>
        <v>عناية شخصية</v>
      </c>
      <c r="I1250" s="81" t="s">
        <v>458</v>
      </c>
      <c r="J1250" s="81" t="s">
        <v>93</v>
      </c>
      <c r="K1250" s="81" t="n">
        <v>1</v>
      </c>
      <c r="L1250" s="84" t="n">
        <f aca="false">IFERROR(INDEX(p_Price,MATCH($F1250,p_ID,0)),0)</f>
        <v>520</v>
      </c>
      <c r="M1250" s="85" t="n">
        <v>0</v>
      </c>
      <c r="N1250" s="81" t="s">
        <v>644</v>
      </c>
      <c r="O1250" s="84" t="n">
        <f aca="false">IF($N1250="مرتجع",0,K1250*L1250*(1-M1250))</f>
        <v>520</v>
      </c>
      <c r="P1250" s="84" t="n">
        <f aca="false">IF($N1250="مرتجع",0,K1250*IFERROR(INDEX(p_Cost,MATCH($F1250,p_ID,0)),0))</f>
        <v>210</v>
      </c>
      <c r="Q1250" s="84" t="n">
        <f aca="false">O1250-P1250</f>
        <v>310</v>
      </c>
      <c r="R1250" s="86" t="n">
        <f aca="false">DATE(YEAR(B1250),MONTH(B1250),1)</f>
        <v>46204</v>
      </c>
      <c r="S1250" s="83" t="str">
        <f aca="false">YEAR(B1250)&amp;"-Q"&amp;ROUNDUP(MONTH(B1250)/3,0)</f>
        <v>2026-Q3</v>
      </c>
      <c r="T1250" s="87" t="n">
        <f aca="false">IF(O1250&gt;0,Q1250/O1250,"")</f>
        <v>0.596153846153846</v>
      </c>
      <c r="U1250" s="84" t="n">
        <f aca="false">IF(O1250&gt;0,O1250,"")</f>
        <v>520</v>
      </c>
    </row>
    <row r="1251" customFormat="false" ht="15" hidden="false" customHeight="false" outlineLevel="0" collapsed="false">
      <c r="A1251" s="81" t="s">
        <v>1894</v>
      </c>
      <c r="B1251" s="82" t="n">
        <v>46230</v>
      </c>
      <c r="C1251" s="81" t="s">
        <v>277</v>
      </c>
      <c r="D1251" s="83" t="str">
        <f aca="false">IFERROR(INDEX(c_Name,MATCH($C1251,c_ID,0)),"غير معرّف")</f>
        <v>خالد الخالدي</v>
      </c>
      <c r="E1251" s="83" t="str">
        <f aca="false">IFERROR(INDEX(c_Region,MATCH($C1251,c_ID,0)),"غير معرّف")</f>
        <v>الغربية</v>
      </c>
      <c r="F1251" s="81" t="s">
        <v>178</v>
      </c>
      <c r="G1251" s="83" t="str">
        <f aca="false">IFERROR(INDEX(p_Name,MATCH($F1251,p_ID,0)),"غير معرّف")</f>
        <v>حقيبة لابتوب</v>
      </c>
      <c r="H1251" s="83" t="str">
        <f aca="false">IFERROR(INDEX(p_Cat,MATCH($F1251,p_ID,0)),"غير معرّف")</f>
        <v>مستلزمات مكتبية</v>
      </c>
      <c r="I1251" s="81" t="s">
        <v>455</v>
      </c>
      <c r="J1251" s="81" t="s">
        <v>93</v>
      </c>
      <c r="K1251" s="81" t="n">
        <v>7</v>
      </c>
      <c r="L1251" s="84" t="n">
        <f aca="false">IFERROR(INDEX(p_Price,MATCH($F1251,p_ID,0)),0)</f>
        <v>260</v>
      </c>
      <c r="M1251" s="85" t="n">
        <v>0.05</v>
      </c>
      <c r="N1251" s="81" t="s">
        <v>644</v>
      </c>
      <c r="O1251" s="84" t="n">
        <f aca="false">IF($N1251="مرتجع",0,K1251*L1251*(1-M1251))</f>
        <v>1729</v>
      </c>
      <c r="P1251" s="84" t="n">
        <f aca="false">IF($N1251="مرتجع",0,K1251*IFERROR(INDEX(p_Cost,MATCH($F1251,p_ID,0)),0))</f>
        <v>840</v>
      </c>
      <c r="Q1251" s="84" t="n">
        <f aca="false">O1251-P1251</f>
        <v>889</v>
      </c>
      <c r="R1251" s="86" t="n">
        <f aca="false">DATE(YEAR(B1251),MONTH(B1251),1)</f>
        <v>46204</v>
      </c>
      <c r="S1251" s="83" t="str">
        <f aca="false">YEAR(B1251)&amp;"-Q"&amp;ROUNDUP(MONTH(B1251)/3,0)</f>
        <v>2026-Q3</v>
      </c>
      <c r="T1251" s="87" t="n">
        <f aca="false">IF(O1251&gt;0,Q1251/O1251,"")</f>
        <v>0.51417004048583</v>
      </c>
      <c r="U1251" s="84" t="n">
        <f aca="false">IF(O1251&gt;0,O1251,"")</f>
        <v>1729</v>
      </c>
    </row>
    <row r="1252" customFormat="false" ht="15" hidden="false" customHeight="false" outlineLevel="0" collapsed="false">
      <c r="A1252" s="81" t="s">
        <v>1895</v>
      </c>
      <c r="B1252" s="82" t="n">
        <v>46230</v>
      </c>
      <c r="C1252" s="81" t="s">
        <v>330</v>
      </c>
      <c r="D1252" s="83" t="str">
        <f aca="false">IFERROR(INDEX(c_Name,MATCH($C1252,c_ID,0)),"غير معرّف")</f>
        <v>سارة السبيعي</v>
      </c>
      <c r="E1252" s="83" t="str">
        <f aca="false">IFERROR(INDEX(c_Region,MATCH($C1252,c_ID,0)),"غير معرّف")</f>
        <v>الشرقية</v>
      </c>
      <c r="F1252" s="81" t="s">
        <v>173</v>
      </c>
      <c r="G1252" s="83" t="str">
        <f aca="false">IFERROR(INDEX(p_Name,MATCH($F1252,p_ID,0)),"غير معرّف")</f>
        <v>كرسي مريح</v>
      </c>
      <c r="H1252" s="83" t="str">
        <f aca="false">IFERROR(INDEX(p_Cat,MATCH($F1252,p_ID,0)),"غير معرّف")</f>
        <v>أثاث</v>
      </c>
      <c r="I1252" s="81" t="s">
        <v>463</v>
      </c>
      <c r="J1252" s="81" t="s">
        <v>95</v>
      </c>
      <c r="K1252" s="81" t="n">
        <v>5</v>
      </c>
      <c r="L1252" s="84" t="n">
        <f aca="false">IFERROR(INDEX(p_Price,MATCH($F1252,p_ID,0)),0)</f>
        <v>850</v>
      </c>
      <c r="M1252" s="85" t="n">
        <v>0.05</v>
      </c>
      <c r="N1252" s="81" t="s">
        <v>644</v>
      </c>
      <c r="O1252" s="84" t="n">
        <f aca="false">IF($N1252="مرتجع",0,K1252*L1252*(1-M1252))</f>
        <v>4037.5</v>
      </c>
      <c r="P1252" s="84" t="n">
        <f aca="false">IF($N1252="مرتجع",0,K1252*IFERROR(INDEX(p_Cost,MATCH($F1252,p_ID,0)),0))</f>
        <v>2400</v>
      </c>
      <c r="Q1252" s="84" t="n">
        <f aca="false">O1252-P1252</f>
        <v>1637.5</v>
      </c>
      <c r="R1252" s="86" t="n">
        <f aca="false">DATE(YEAR(B1252),MONTH(B1252),1)</f>
        <v>46204</v>
      </c>
      <c r="S1252" s="83" t="str">
        <f aca="false">YEAR(B1252)&amp;"-Q"&amp;ROUNDUP(MONTH(B1252)/3,0)</f>
        <v>2026-Q3</v>
      </c>
      <c r="T1252" s="87" t="n">
        <f aca="false">IF(O1252&gt;0,Q1252/O1252,"")</f>
        <v>0.405572755417957</v>
      </c>
      <c r="U1252" s="84" t="n">
        <f aca="false">IF(O1252&gt;0,O1252,"")</f>
        <v>4037.5</v>
      </c>
    </row>
    <row r="1253" customFormat="false" ht="15" hidden="false" customHeight="false" outlineLevel="0" collapsed="false">
      <c r="A1253" s="81" t="s">
        <v>1896</v>
      </c>
      <c r="B1253" s="82" t="n">
        <v>46230</v>
      </c>
      <c r="C1253" s="81" t="s">
        <v>422</v>
      </c>
      <c r="D1253" s="83" t="str">
        <f aca="false">IFERROR(INDEX(c_Name,MATCH($C1253,c_ID,0)),"غير معرّف")</f>
        <v>سارة الحسيني</v>
      </c>
      <c r="E1253" s="83" t="str">
        <f aca="false">IFERROR(INDEX(c_Region,MATCH($C1253,c_ID,0)),"غير معرّف")</f>
        <v>الجنوبية</v>
      </c>
      <c r="F1253" s="81" t="s">
        <v>179</v>
      </c>
      <c r="G1253" s="83" t="str">
        <f aca="false">IFERROR(INDEX(p_Name,MATCH($F1253,p_ID,0)),"غير معرّف")</f>
        <v>طقم أدوات مكتبية</v>
      </c>
      <c r="H1253" s="83" t="str">
        <f aca="false">IFERROR(INDEX(p_Cat,MATCH($F1253,p_ID,0)),"غير معرّف")</f>
        <v>مستلزمات مكتبية</v>
      </c>
      <c r="I1253" s="81" t="s">
        <v>467</v>
      </c>
      <c r="J1253" s="81" t="s">
        <v>91</v>
      </c>
      <c r="K1253" s="81" t="n">
        <v>4</v>
      </c>
      <c r="L1253" s="84" t="n">
        <f aca="false">IFERROR(INDEX(p_Price,MATCH($F1253,p_ID,0)),0)</f>
        <v>90</v>
      </c>
      <c r="M1253" s="85" t="n">
        <v>0</v>
      </c>
      <c r="N1253" s="81" t="s">
        <v>644</v>
      </c>
      <c r="O1253" s="84" t="n">
        <f aca="false">IF($N1253="مرتجع",0,K1253*L1253*(1-M1253))</f>
        <v>360</v>
      </c>
      <c r="P1253" s="84" t="n">
        <f aca="false">IF($N1253="مرتجع",0,K1253*IFERROR(INDEX(p_Cost,MATCH($F1253,p_ID,0)),0))</f>
        <v>180</v>
      </c>
      <c r="Q1253" s="84" t="n">
        <f aca="false">O1253-P1253</f>
        <v>180</v>
      </c>
      <c r="R1253" s="86" t="n">
        <f aca="false">DATE(YEAR(B1253),MONTH(B1253),1)</f>
        <v>46204</v>
      </c>
      <c r="S1253" s="83" t="str">
        <f aca="false">YEAR(B1253)&amp;"-Q"&amp;ROUNDUP(MONTH(B1253)/3,0)</f>
        <v>2026-Q3</v>
      </c>
      <c r="T1253" s="87" t="n">
        <f aca="false">IF(O1253&gt;0,Q1253/O1253,"")</f>
        <v>0.5</v>
      </c>
      <c r="U1253" s="84" t="n">
        <f aca="false">IF(O1253&gt;0,O1253,"")</f>
        <v>360</v>
      </c>
    </row>
    <row r="1254" customFormat="false" ht="15" hidden="false" customHeight="false" outlineLevel="0" collapsed="false">
      <c r="A1254" s="81" t="s">
        <v>1897</v>
      </c>
      <c r="B1254" s="82" t="n">
        <v>46231</v>
      </c>
      <c r="C1254" s="81" t="s">
        <v>404</v>
      </c>
      <c r="D1254" s="83" t="str">
        <f aca="false">IFERROR(INDEX(c_Name,MATCH($C1254,c_ID,0)),"غير معرّف")</f>
        <v>عبدالله الحسيني</v>
      </c>
      <c r="E1254" s="83" t="str">
        <f aca="false">IFERROR(INDEX(c_Region,MATCH($C1254,c_ID,0)),"غير معرّف")</f>
        <v>الشرقية</v>
      </c>
      <c r="F1254" s="81" t="s">
        <v>173</v>
      </c>
      <c r="G1254" s="83" t="str">
        <f aca="false">IFERROR(INDEX(p_Name,MATCH($F1254,p_ID,0)),"غير معرّف")</f>
        <v>كرسي مريح</v>
      </c>
      <c r="H1254" s="83" t="str">
        <f aca="false">IFERROR(INDEX(p_Cat,MATCH($F1254,p_ID,0)),"غير معرّف")</f>
        <v>أثاث</v>
      </c>
      <c r="I1254" s="81" t="s">
        <v>461</v>
      </c>
      <c r="J1254" s="81" t="s">
        <v>93</v>
      </c>
      <c r="K1254" s="81" t="n">
        <v>1</v>
      </c>
      <c r="L1254" s="84" t="n">
        <f aca="false">IFERROR(INDEX(p_Price,MATCH($F1254,p_ID,0)),0)</f>
        <v>850</v>
      </c>
      <c r="M1254" s="85" t="n">
        <v>0</v>
      </c>
      <c r="N1254" s="81" t="s">
        <v>644</v>
      </c>
      <c r="O1254" s="84" t="n">
        <f aca="false">IF($N1254="مرتجع",0,K1254*L1254*(1-M1254))</f>
        <v>850</v>
      </c>
      <c r="P1254" s="84" t="n">
        <f aca="false">IF($N1254="مرتجع",0,K1254*IFERROR(INDEX(p_Cost,MATCH($F1254,p_ID,0)),0))</f>
        <v>480</v>
      </c>
      <c r="Q1254" s="84" t="n">
        <f aca="false">O1254-P1254</f>
        <v>370</v>
      </c>
      <c r="R1254" s="86" t="n">
        <f aca="false">DATE(YEAR(B1254),MONTH(B1254),1)</f>
        <v>46204</v>
      </c>
      <c r="S1254" s="83" t="str">
        <f aca="false">YEAR(B1254)&amp;"-Q"&amp;ROUNDUP(MONTH(B1254)/3,0)</f>
        <v>2026-Q3</v>
      </c>
      <c r="T1254" s="87" t="n">
        <f aca="false">IF(O1254&gt;0,Q1254/O1254,"")</f>
        <v>0.435294117647059</v>
      </c>
      <c r="U1254" s="84" t="n">
        <f aca="false">IF(O1254&gt;0,O1254,"")</f>
        <v>850</v>
      </c>
    </row>
    <row r="1255" customFormat="false" ht="15" hidden="false" customHeight="false" outlineLevel="0" collapsed="false">
      <c r="A1255" s="81" t="s">
        <v>1898</v>
      </c>
      <c r="B1255" s="82" t="n">
        <v>46231</v>
      </c>
      <c r="C1255" s="81" t="s">
        <v>234</v>
      </c>
      <c r="D1255" s="83" t="str">
        <f aca="false">IFERROR(INDEX(c_Name,MATCH($C1255,c_ID,0)),"غير معرّف")</f>
        <v>هند الخالدي</v>
      </c>
      <c r="E1255" s="83" t="str">
        <f aca="false">IFERROR(INDEX(c_Region,MATCH($C1255,c_ID,0)),"غير معرّف")</f>
        <v>الوسطى</v>
      </c>
      <c r="F1255" s="81" t="s">
        <v>172</v>
      </c>
      <c r="G1255" s="83" t="str">
        <f aca="false">IFERROR(INDEX(p_Name,MATCH($F1255,p_ID,0)),"غير معرّف")</f>
        <v>مكتب عمل</v>
      </c>
      <c r="H1255" s="83" t="str">
        <f aca="false">IFERROR(INDEX(p_Cat,MATCH($F1255,p_ID,0)),"غير معرّف")</f>
        <v>أثاث</v>
      </c>
      <c r="I1255" s="81" t="s">
        <v>443</v>
      </c>
      <c r="J1255" s="81" t="s">
        <v>91</v>
      </c>
      <c r="K1255" s="81" t="n">
        <v>1</v>
      </c>
      <c r="L1255" s="84" t="n">
        <f aca="false">IFERROR(INDEX(p_Price,MATCH($F1255,p_ID,0)),0)</f>
        <v>1200</v>
      </c>
      <c r="M1255" s="85" t="n">
        <v>0</v>
      </c>
      <c r="N1255" s="81" t="s">
        <v>644</v>
      </c>
      <c r="O1255" s="84" t="n">
        <f aca="false">IF($N1255="مرتجع",0,K1255*L1255*(1-M1255))</f>
        <v>1200</v>
      </c>
      <c r="P1255" s="84" t="n">
        <f aca="false">IF($N1255="مرتجع",0,K1255*IFERROR(INDEX(p_Cost,MATCH($F1255,p_ID,0)),0))</f>
        <v>700</v>
      </c>
      <c r="Q1255" s="84" t="n">
        <f aca="false">O1255-P1255</f>
        <v>500</v>
      </c>
      <c r="R1255" s="86" t="n">
        <f aca="false">DATE(YEAR(B1255),MONTH(B1255),1)</f>
        <v>46204</v>
      </c>
      <c r="S1255" s="83" t="str">
        <f aca="false">YEAR(B1255)&amp;"-Q"&amp;ROUNDUP(MONTH(B1255)/3,0)</f>
        <v>2026-Q3</v>
      </c>
      <c r="T1255" s="87" t="n">
        <f aca="false">IF(O1255&gt;0,Q1255/O1255,"")</f>
        <v>0.416666666666667</v>
      </c>
      <c r="U1255" s="84" t="n">
        <f aca="false">IF(O1255&gt;0,O1255,"")</f>
        <v>1200</v>
      </c>
    </row>
    <row r="1256" customFormat="false" ht="15" hidden="false" customHeight="false" outlineLevel="0" collapsed="false">
      <c r="A1256" s="81" t="s">
        <v>1899</v>
      </c>
      <c r="B1256" s="82" t="n">
        <v>46231</v>
      </c>
      <c r="C1256" s="81" t="s">
        <v>243</v>
      </c>
      <c r="D1256" s="83" t="str">
        <f aca="false">IFERROR(INDEX(c_Name,MATCH($C1256,c_ID,0)),"غير معرّف")</f>
        <v>محمد الحربي</v>
      </c>
      <c r="E1256" s="83" t="str">
        <f aca="false">IFERROR(INDEX(c_Region,MATCH($C1256,c_ID,0)),"غير معرّف")</f>
        <v>الغربية</v>
      </c>
      <c r="F1256" s="81" t="s">
        <v>171</v>
      </c>
      <c r="G1256" s="83" t="str">
        <f aca="false">IFERROR(INDEX(p_Name,MATCH($F1256,p_ID,0)),"غير معرّف")</f>
        <v>قلاية هوائية</v>
      </c>
      <c r="H1256" s="83" t="str">
        <f aca="false">IFERROR(INDEX(p_Cat,MATCH($F1256,p_ID,0)),"غير معرّف")</f>
        <v>أجهزة منزلية</v>
      </c>
      <c r="I1256" s="81" t="s">
        <v>458</v>
      </c>
      <c r="J1256" s="81" t="s">
        <v>93</v>
      </c>
      <c r="K1256" s="81" t="n">
        <v>2</v>
      </c>
      <c r="L1256" s="84" t="n">
        <f aca="false">IFERROR(INDEX(p_Price,MATCH($F1256,p_ID,0)),0)</f>
        <v>520</v>
      </c>
      <c r="M1256" s="85" t="n">
        <v>0.1</v>
      </c>
      <c r="N1256" s="81" t="s">
        <v>644</v>
      </c>
      <c r="O1256" s="84" t="n">
        <f aca="false">IF($N1256="مرتجع",0,K1256*L1256*(1-M1256))</f>
        <v>936</v>
      </c>
      <c r="P1256" s="84" t="n">
        <f aca="false">IF($N1256="مرتجع",0,K1256*IFERROR(INDEX(p_Cost,MATCH($F1256,p_ID,0)),0))</f>
        <v>600</v>
      </c>
      <c r="Q1256" s="84" t="n">
        <f aca="false">O1256-P1256</f>
        <v>336</v>
      </c>
      <c r="R1256" s="86" t="n">
        <f aca="false">DATE(YEAR(B1256),MONTH(B1256),1)</f>
        <v>46204</v>
      </c>
      <c r="S1256" s="83" t="str">
        <f aca="false">YEAR(B1256)&amp;"-Q"&amp;ROUNDUP(MONTH(B1256)/3,0)</f>
        <v>2026-Q3</v>
      </c>
      <c r="T1256" s="87" t="n">
        <f aca="false">IF(O1256&gt;0,Q1256/O1256,"")</f>
        <v>0.358974358974359</v>
      </c>
      <c r="U1256" s="84" t="n">
        <f aca="false">IF(O1256&gt;0,O1256,"")</f>
        <v>936</v>
      </c>
    </row>
    <row r="1257" customFormat="false" ht="15" hidden="false" customHeight="false" outlineLevel="0" collapsed="false">
      <c r="A1257" s="81" t="s">
        <v>1900</v>
      </c>
      <c r="B1257" s="82" t="n">
        <v>46231</v>
      </c>
      <c r="C1257" s="81" t="s">
        <v>323</v>
      </c>
      <c r="D1257" s="83" t="str">
        <f aca="false">IFERROR(INDEX(c_Name,MATCH($C1257,c_ID,0)),"غير معرّف")</f>
        <v>ليلى الدوسري</v>
      </c>
      <c r="E1257" s="83" t="str">
        <f aca="false">IFERROR(INDEX(c_Region,MATCH($C1257,c_ID,0)),"غير معرّف")</f>
        <v>الشرقية</v>
      </c>
      <c r="F1257" s="81" t="s">
        <v>183</v>
      </c>
      <c r="G1257" s="83" t="str">
        <f aca="false">IFERROR(INDEX(p_Name,MATCH($F1257,p_ID,0)),"غير معرّف")</f>
        <v>سجادة يوغا</v>
      </c>
      <c r="H1257" s="83" t="str">
        <f aca="false">IFERROR(INDEX(p_Cat,MATCH($F1257,p_ID,0)),"غير معرّف")</f>
        <v>رياضة</v>
      </c>
      <c r="I1257" s="81" t="s">
        <v>463</v>
      </c>
      <c r="J1257" s="81" t="s">
        <v>93</v>
      </c>
      <c r="K1257" s="81" t="n">
        <v>1</v>
      </c>
      <c r="L1257" s="84" t="n">
        <f aca="false">IFERROR(INDEX(p_Price,MATCH($F1257,p_ID,0)),0)</f>
        <v>120</v>
      </c>
      <c r="M1257" s="85" t="n">
        <v>0.15</v>
      </c>
      <c r="N1257" s="81" t="s">
        <v>650</v>
      </c>
      <c r="O1257" s="84" t="n">
        <f aca="false">IF($N1257="مرتجع",0,K1257*L1257*(1-M1257))</f>
        <v>0</v>
      </c>
      <c r="P1257" s="84" t="n">
        <f aca="false">IF($N1257="مرتجع",0,K1257*IFERROR(INDEX(p_Cost,MATCH($F1257,p_ID,0)),0))</f>
        <v>0</v>
      </c>
      <c r="Q1257" s="84" t="n">
        <f aca="false">O1257-P1257</f>
        <v>0</v>
      </c>
      <c r="R1257" s="86" t="n">
        <f aca="false">DATE(YEAR(B1257),MONTH(B1257),1)</f>
        <v>46204</v>
      </c>
      <c r="S1257" s="83" t="str">
        <f aca="false">YEAR(B1257)&amp;"-Q"&amp;ROUNDUP(MONTH(B1257)/3,0)</f>
        <v>2026-Q3</v>
      </c>
      <c r="T1257" s="87" t="str">
        <f aca="false">IF(O1257&gt;0,Q1257/O1257,"")</f>
        <v/>
      </c>
      <c r="U1257" s="84" t="str">
        <f aca="false">IF(O1257&gt;0,O1257,"")</f>
        <v/>
      </c>
    </row>
    <row r="1258" customFormat="false" ht="15" hidden="false" customHeight="false" outlineLevel="0" collapsed="false">
      <c r="A1258" s="81" t="s">
        <v>1901</v>
      </c>
      <c r="B1258" s="82" t="n">
        <v>46231</v>
      </c>
      <c r="C1258" s="81" t="s">
        <v>259</v>
      </c>
      <c r="D1258" s="83" t="str">
        <f aca="false">IFERROR(INDEX(c_Name,MATCH($C1258,c_ID,0)),"غير معرّف")</f>
        <v>عبير العتيبي</v>
      </c>
      <c r="E1258" s="83" t="str">
        <f aca="false">IFERROR(INDEX(c_Region,MATCH($C1258,c_ID,0)),"غير معرّف")</f>
        <v>الوسطى</v>
      </c>
      <c r="F1258" s="81" t="s">
        <v>178</v>
      </c>
      <c r="G1258" s="83" t="str">
        <f aca="false">IFERROR(INDEX(p_Name,MATCH($F1258,p_ID,0)),"غير معرّف")</f>
        <v>حقيبة لابتوب</v>
      </c>
      <c r="H1258" s="83" t="str">
        <f aca="false">IFERROR(INDEX(p_Cat,MATCH($F1258,p_ID,0)),"غير معرّف")</f>
        <v>مستلزمات مكتبية</v>
      </c>
      <c r="I1258" s="81" t="s">
        <v>443</v>
      </c>
      <c r="J1258" s="81" t="s">
        <v>91</v>
      </c>
      <c r="K1258" s="81" t="n">
        <v>1</v>
      </c>
      <c r="L1258" s="84" t="n">
        <f aca="false">IFERROR(INDEX(p_Price,MATCH($F1258,p_ID,0)),0)</f>
        <v>260</v>
      </c>
      <c r="M1258" s="85" t="n">
        <v>0.1</v>
      </c>
      <c r="N1258" s="81" t="s">
        <v>644</v>
      </c>
      <c r="O1258" s="84" t="n">
        <f aca="false">IF($N1258="مرتجع",0,K1258*L1258*(1-M1258))</f>
        <v>234</v>
      </c>
      <c r="P1258" s="84" t="n">
        <f aca="false">IF($N1258="مرتجع",0,K1258*IFERROR(INDEX(p_Cost,MATCH($F1258,p_ID,0)),0))</f>
        <v>120</v>
      </c>
      <c r="Q1258" s="84" t="n">
        <f aca="false">O1258-P1258</f>
        <v>114</v>
      </c>
      <c r="R1258" s="86" t="n">
        <f aca="false">DATE(YEAR(B1258),MONTH(B1258),1)</f>
        <v>46204</v>
      </c>
      <c r="S1258" s="83" t="str">
        <f aca="false">YEAR(B1258)&amp;"-Q"&amp;ROUNDUP(MONTH(B1258)/3,0)</f>
        <v>2026-Q3</v>
      </c>
      <c r="T1258" s="87" t="n">
        <f aca="false">IF(O1258&gt;0,Q1258/O1258,"")</f>
        <v>0.487179487179487</v>
      </c>
      <c r="U1258" s="84" t="n">
        <f aca="false">IF(O1258&gt;0,O1258,"")</f>
        <v>234</v>
      </c>
    </row>
    <row r="1259" customFormat="false" ht="15" hidden="false" customHeight="false" outlineLevel="0" collapsed="false">
      <c r="A1259" s="81" t="s">
        <v>1902</v>
      </c>
      <c r="B1259" s="82" t="n">
        <v>46232</v>
      </c>
      <c r="C1259" s="81" t="s">
        <v>291</v>
      </c>
      <c r="D1259" s="83" t="str">
        <f aca="false">IFERROR(INDEX(c_Name,MATCH($C1259,c_ID,0)),"غير معرّف")</f>
        <v>ياسر الشمري</v>
      </c>
      <c r="E1259" s="83" t="str">
        <f aca="false">IFERROR(INDEX(c_Region,MATCH($C1259,c_ID,0)),"غير معرّف")</f>
        <v>الوسطى</v>
      </c>
      <c r="F1259" s="81" t="s">
        <v>184</v>
      </c>
      <c r="G1259" s="83" t="str">
        <f aca="false">IFERROR(INDEX(p_Name,MATCH($F1259,p_ID,0)),"غير معرّف")</f>
        <v>عطر فاخر</v>
      </c>
      <c r="H1259" s="83" t="str">
        <f aca="false">IFERROR(INDEX(p_Cat,MATCH($F1259,p_ID,0)),"غير معرّف")</f>
        <v>عناية شخصية</v>
      </c>
      <c r="I1259" s="81" t="s">
        <v>446</v>
      </c>
      <c r="J1259" s="81" t="s">
        <v>93</v>
      </c>
      <c r="K1259" s="81" t="n">
        <v>4</v>
      </c>
      <c r="L1259" s="84" t="n">
        <f aca="false">IFERROR(INDEX(p_Price,MATCH($F1259,p_ID,0)),0)</f>
        <v>520</v>
      </c>
      <c r="M1259" s="85" t="n">
        <v>0</v>
      </c>
      <c r="N1259" s="81" t="s">
        <v>644</v>
      </c>
      <c r="O1259" s="84" t="n">
        <f aca="false">IF($N1259="مرتجع",0,K1259*L1259*(1-M1259))</f>
        <v>2080</v>
      </c>
      <c r="P1259" s="84" t="n">
        <f aca="false">IF($N1259="مرتجع",0,K1259*IFERROR(INDEX(p_Cost,MATCH($F1259,p_ID,0)),0))</f>
        <v>840</v>
      </c>
      <c r="Q1259" s="84" t="n">
        <f aca="false">O1259-P1259</f>
        <v>1240</v>
      </c>
      <c r="R1259" s="86" t="n">
        <f aca="false">DATE(YEAR(B1259),MONTH(B1259),1)</f>
        <v>46204</v>
      </c>
      <c r="S1259" s="83" t="str">
        <f aca="false">YEAR(B1259)&amp;"-Q"&amp;ROUNDUP(MONTH(B1259)/3,0)</f>
        <v>2026-Q3</v>
      </c>
      <c r="T1259" s="87" t="n">
        <f aca="false">IF(O1259&gt;0,Q1259/O1259,"")</f>
        <v>0.596153846153846</v>
      </c>
      <c r="U1259" s="84" t="n">
        <f aca="false">IF(O1259&gt;0,O1259,"")</f>
        <v>2080</v>
      </c>
    </row>
    <row r="1260" customFormat="false" ht="15" hidden="false" customHeight="false" outlineLevel="0" collapsed="false">
      <c r="A1260" s="81" t="s">
        <v>1903</v>
      </c>
      <c r="B1260" s="82" t="n">
        <v>46232</v>
      </c>
      <c r="C1260" s="81" t="s">
        <v>258</v>
      </c>
      <c r="D1260" s="83" t="str">
        <f aca="false">IFERROR(INDEX(c_Name,MATCH($C1260,c_ID,0)),"غير معرّف")</f>
        <v>سارة الدوسري</v>
      </c>
      <c r="E1260" s="83" t="str">
        <f aca="false">IFERROR(INDEX(c_Region,MATCH($C1260,c_ID,0)),"غير معرّف")</f>
        <v>الوسطى</v>
      </c>
      <c r="F1260" s="81" t="s">
        <v>187</v>
      </c>
      <c r="G1260" s="83" t="str">
        <f aca="false">IFERROR(INDEX(p_Name,MATCH($F1260,p_ID,0)),"غير معرّف")</f>
        <v>جهاز تدليك</v>
      </c>
      <c r="H1260" s="83" t="str">
        <f aca="false">IFERROR(INDEX(p_Cat,MATCH($F1260,p_ID,0)),"غير معرّف")</f>
        <v>عناية شخصية</v>
      </c>
      <c r="I1260" s="81" t="s">
        <v>449</v>
      </c>
      <c r="J1260" s="81" t="s">
        <v>93</v>
      </c>
      <c r="K1260" s="81" t="n">
        <v>1</v>
      </c>
      <c r="L1260" s="84" t="n">
        <f aca="false">IFERROR(INDEX(p_Price,MATCH($F1260,p_ID,0)),0)</f>
        <v>600</v>
      </c>
      <c r="M1260" s="85" t="n">
        <v>0.15</v>
      </c>
      <c r="N1260" s="81" t="s">
        <v>644</v>
      </c>
      <c r="O1260" s="84" t="n">
        <f aca="false">IF($N1260="مرتجع",0,K1260*L1260*(1-M1260))</f>
        <v>510</v>
      </c>
      <c r="P1260" s="84" t="n">
        <f aca="false">IF($N1260="مرتجع",0,K1260*IFERROR(INDEX(p_Cost,MATCH($F1260,p_ID,0)),0))</f>
        <v>330</v>
      </c>
      <c r="Q1260" s="84" t="n">
        <f aca="false">O1260-P1260</f>
        <v>180</v>
      </c>
      <c r="R1260" s="86" t="n">
        <f aca="false">DATE(YEAR(B1260),MONTH(B1260),1)</f>
        <v>46204</v>
      </c>
      <c r="S1260" s="83" t="str">
        <f aca="false">YEAR(B1260)&amp;"-Q"&amp;ROUNDUP(MONTH(B1260)/3,0)</f>
        <v>2026-Q3</v>
      </c>
      <c r="T1260" s="87" t="n">
        <f aca="false">IF(O1260&gt;0,Q1260/O1260,"")</f>
        <v>0.352941176470588</v>
      </c>
      <c r="U1260" s="84" t="n">
        <f aca="false">IF(O1260&gt;0,O1260,"")</f>
        <v>510</v>
      </c>
    </row>
    <row r="1261" customFormat="false" ht="15" hidden="false" customHeight="false" outlineLevel="0" collapsed="false">
      <c r="A1261" s="81" t="s">
        <v>1904</v>
      </c>
      <c r="B1261" s="82" t="n">
        <v>46232</v>
      </c>
      <c r="C1261" s="81" t="s">
        <v>428</v>
      </c>
      <c r="D1261" s="83" t="str">
        <f aca="false">IFERROR(INDEX(c_Name,MATCH($C1261,c_ID,0)),"غير معرّف")</f>
        <v>عبدالله القحطاني</v>
      </c>
      <c r="E1261" s="83" t="str">
        <f aca="false">IFERROR(INDEX(c_Region,MATCH($C1261,c_ID,0)),"غير معرّف")</f>
        <v>الوسطى</v>
      </c>
      <c r="F1261" s="81" t="s">
        <v>171</v>
      </c>
      <c r="G1261" s="83" t="str">
        <f aca="false">IFERROR(INDEX(p_Name,MATCH($F1261,p_ID,0)),"غير معرّف")</f>
        <v>قلاية هوائية</v>
      </c>
      <c r="H1261" s="83" t="str">
        <f aca="false">IFERROR(INDEX(p_Cat,MATCH($F1261,p_ID,0)),"غير معرّف")</f>
        <v>أجهزة منزلية</v>
      </c>
      <c r="I1261" s="81" t="s">
        <v>449</v>
      </c>
      <c r="J1261" s="81" t="s">
        <v>91</v>
      </c>
      <c r="K1261" s="81" t="n">
        <v>2</v>
      </c>
      <c r="L1261" s="84" t="n">
        <f aca="false">IFERROR(INDEX(p_Price,MATCH($F1261,p_ID,0)),0)</f>
        <v>520</v>
      </c>
      <c r="M1261" s="85" t="n">
        <v>0.15</v>
      </c>
      <c r="N1261" s="81" t="s">
        <v>644</v>
      </c>
      <c r="O1261" s="84" t="n">
        <f aca="false">IF($N1261="مرتجع",0,K1261*L1261*(1-M1261))</f>
        <v>884</v>
      </c>
      <c r="P1261" s="84" t="n">
        <f aca="false">IF($N1261="مرتجع",0,K1261*IFERROR(INDEX(p_Cost,MATCH($F1261,p_ID,0)),0))</f>
        <v>600</v>
      </c>
      <c r="Q1261" s="84" t="n">
        <f aca="false">O1261-P1261</f>
        <v>284</v>
      </c>
      <c r="R1261" s="86" t="n">
        <f aca="false">DATE(YEAR(B1261),MONTH(B1261),1)</f>
        <v>46204</v>
      </c>
      <c r="S1261" s="83" t="str">
        <f aca="false">YEAR(B1261)&amp;"-Q"&amp;ROUNDUP(MONTH(B1261)/3,0)</f>
        <v>2026-Q3</v>
      </c>
      <c r="T1261" s="87" t="n">
        <f aca="false">IF(O1261&gt;0,Q1261/O1261,"")</f>
        <v>0.321266968325792</v>
      </c>
      <c r="U1261" s="84" t="n">
        <f aca="false">IF(O1261&gt;0,O1261,"")</f>
        <v>884</v>
      </c>
    </row>
    <row r="1262" customFormat="false" ht="15" hidden="false" customHeight="false" outlineLevel="0" collapsed="false">
      <c r="A1262" s="81" t="s">
        <v>1905</v>
      </c>
      <c r="B1262" s="82" t="n">
        <v>46232</v>
      </c>
      <c r="C1262" s="81" t="s">
        <v>419</v>
      </c>
      <c r="D1262" s="83" t="str">
        <f aca="false">IFERROR(INDEX(c_Name,MATCH($C1262,c_ID,0)),"غير معرّف")</f>
        <v>خالد العتيبي</v>
      </c>
      <c r="E1262" s="83" t="str">
        <f aca="false">IFERROR(INDEX(c_Region,MATCH($C1262,c_ID,0)),"غير معرّف")</f>
        <v>الجنوبية</v>
      </c>
      <c r="F1262" s="81" t="s">
        <v>171</v>
      </c>
      <c r="G1262" s="83" t="str">
        <f aca="false">IFERROR(INDEX(p_Name,MATCH($F1262,p_ID,0)),"غير معرّف")</f>
        <v>قلاية هوائية</v>
      </c>
      <c r="H1262" s="83" t="str">
        <f aca="false">IFERROR(INDEX(p_Cat,MATCH($F1262,p_ID,0)),"غير معرّف")</f>
        <v>أجهزة منزلية</v>
      </c>
      <c r="I1262" s="81" t="s">
        <v>465</v>
      </c>
      <c r="J1262" s="81" t="s">
        <v>91</v>
      </c>
      <c r="K1262" s="81" t="n">
        <v>1</v>
      </c>
      <c r="L1262" s="84" t="n">
        <f aca="false">IFERROR(INDEX(p_Price,MATCH($F1262,p_ID,0)),0)</f>
        <v>520</v>
      </c>
      <c r="M1262" s="85" t="n">
        <v>0.05</v>
      </c>
      <c r="N1262" s="81" t="s">
        <v>650</v>
      </c>
      <c r="O1262" s="84" t="n">
        <f aca="false">IF($N1262="مرتجع",0,K1262*L1262*(1-M1262))</f>
        <v>0</v>
      </c>
      <c r="P1262" s="84" t="n">
        <f aca="false">IF($N1262="مرتجع",0,K1262*IFERROR(INDEX(p_Cost,MATCH($F1262,p_ID,0)),0))</f>
        <v>0</v>
      </c>
      <c r="Q1262" s="84" t="n">
        <f aca="false">O1262-P1262</f>
        <v>0</v>
      </c>
      <c r="R1262" s="86" t="n">
        <f aca="false">DATE(YEAR(B1262),MONTH(B1262),1)</f>
        <v>46204</v>
      </c>
      <c r="S1262" s="83" t="str">
        <f aca="false">YEAR(B1262)&amp;"-Q"&amp;ROUNDUP(MONTH(B1262)/3,0)</f>
        <v>2026-Q3</v>
      </c>
      <c r="T1262" s="87" t="str">
        <f aca="false">IF(O1262&gt;0,Q1262/O1262,"")</f>
        <v/>
      </c>
      <c r="U1262" s="84" t="str">
        <f aca="false">IF(O1262&gt;0,O1262,"")</f>
        <v/>
      </c>
    </row>
    <row r="1263" customFormat="false" ht="15" hidden="false" customHeight="false" outlineLevel="0" collapsed="false">
      <c r="A1263" s="81" t="s">
        <v>1906</v>
      </c>
      <c r="B1263" s="82" t="n">
        <v>46233</v>
      </c>
      <c r="C1263" s="81" t="s">
        <v>291</v>
      </c>
      <c r="D1263" s="83" t="str">
        <f aca="false">IFERROR(INDEX(c_Name,MATCH($C1263,c_ID,0)),"غير معرّف")</f>
        <v>ياسر الشمري</v>
      </c>
      <c r="E1263" s="83" t="str">
        <f aca="false">IFERROR(INDEX(c_Region,MATCH($C1263,c_ID,0)),"غير معرّف")</f>
        <v>الوسطى</v>
      </c>
      <c r="F1263" s="81" t="s">
        <v>176</v>
      </c>
      <c r="G1263" s="83" t="str">
        <f aca="false">IFERROR(INDEX(p_Name,MATCH($F1263,p_ID,0)),"غير معرّف")</f>
        <v>طابعة ليزر</v>
      </c>
      <c r="H1263" s="83" t="str">
        <f aca="false">IFERROR(INDEX(p_Cat,MATCH($F1263,p_ID,0)),"غير معرّف")</f>
        <v>مستلزمات مكتبية</v>
      </c>
      <c r="I1263" s="81" t="s">
        <v>449</v>
      </c>
      <c r="J1263" s="81" t="s">
        <v>91</v>
      </c>
      <c r="K1263" s="81" t="n">
        <v>2</v>
      </c>
      <c r="L1263" s="84" t="n">
        <f aca="false">IFERROR(INDEX(p_Price,MATCH($F1263,p_ID,0)),0)</f>
        <v>1300</v>
      </c>
      <c r="M1263" s="85" t="n">
        <v>0.05</v>
      </c>
      <c r="N1263" s="81" t="s">
        <v>644</v>
      </c>
      <c r="O1263" s="84" t="n">
        <f aca="false">IF($N1263="مرتجع",0,K1263*L1263*(1-M1263))</f>
        <v>2470</v>
      </c>
      <c r="P1263" s="84" t="n">
        <f aca="false">IF($N1263="مرتجع",0,K1263*IFERROR(INDEX(p_Cost,MATCH($F1263,p_ID,0)),0))</f>
        <v>1900</v>
      </c>
      <c r="Q1263" s="84" t="n">
        <f aca="false">O1263-P1263</f>
        <v>570</v>
      </c>
      <c r="R1263" s="86" t="n">
        <f aca="false">DATE(YEAR(B1263),MONTH(B1263),1)</f>
        <v>46204</v>
      </c>
      <c r="S1263" s="83" t="str">
        <f aca="false">YEAR(B1263)&amp;"-Q"&amp;ROUNDUP(MONTH(B1263)/3,0)</f>
        <v>2026-Q3</v>
      </c>
      <c r="T1263" s="87" t="n">
        <f aca="false">IF(O1263&gt;0,Q1263/O1263,"")</f>
        <v>0.230769230769231</v>
      </c>
      <c r="U1263" s="84" t="n">
        <f aca="false">IF(O1263&gt;0,O1263,"")</f>
        <v>2470</v>
      </c>
    </row>
    <row r="1264" customFormat="false" ht="15" hidden="false" customHeight="false" outlineLevel="0" collapsed="false">
      <c r="A1264" s="81" t="s">
        <v>1907</v>
      </c>
      <c r="B1264" s="82" t="n">
        <v>46233</v>
      </c>
      <c r="C1264" s="81" t="s">
        <v>355</v>
      </c>
      <c r="D1264" s="83" t="str">
        <f aca="false">IFERROR(INDEX(c_Name,MATCH($C1264,c_ID,0)),"غير معرّف")</f>
        <v>جود القحطاني</v>
      </c>
      <c r="E1264" s="83" t="str">
        <f aca="false">IFERROR(INDEX(c_Region,MATCH($C1264,c_ID,0)),"غير معرّف")</f>
        <v>الجنوبية</v>
      </c>
      <c r="F1264" s="81" t="s">
        <v>178</v>
      </c>
      <c r="G1264" s="83" t="str">
        <f aca="false">IFERROR(INDEX(p_Name,MATCH($F1264,p_ID,0)),"غير معرّف")</f>
        <v>حقيبة لابتوب</v>
      </c>
      <c r="H1264" s="83" t="str">
        <f aca="false">IFERROR(INDEX(p_Cat,MATCH($F1264,p_ID,0)),"غير معرّف")</f>
        <v>مستلزمات مكتبية</v>
      </c>
      <c r="I1264" s="81" t="s">
        <v>465</v>
      </c>
      <c r="J1264" s="81" t="s">
        <v>91</v>
      </c>
      <c r="K1264" s="81" t="n">
        <v>5</v>
      </c>
      <c r="L1264" s="84" t="n">
        <f aca="false">IFERROR(INDEX(p_Price,MATCH($F1264,p_ID,0)),0)</f>
        <v>260</v>
      </c>
      <c r="M1264" s="85" t="n">
        <v>0.15</v>
      </c>
      <c r="N1264" s="81" t="s">
        <v>644</v>
      </c>
      <c r="O1264" s="84" t="n">
        <f aca="false">IF($N1264="مرتجع",0,K1264*L1264*(1-M1264))</f>
        <v>1105</v>
      </c>
      <c r="P1264" s="84" t="n">
        <f aca="false">IF($N1264="مرتجع",0,K1264*IFERROR(INDEX(p_Cost,MATCH($F1264,p_ID,0)),0))</f>
        <v>600</v>
      </c>
      <c r="Q1264" s="84" t="n">
        <f aca="false">O1264-P1264</f>
        <v>505</v>
      </c>
      <c r="R1264" s="86" t="n">
        <f aca="false">DATE(YEAR(B1264),MONTH(B1264),1)</f>
        <v>46204</v>
      </c>
      <c r="S1264" s="83" t="str">
        <f aca="false">YEAR(B1264)&amp;"-Q"&amp;ROUNDUP(MONTH(B1264)/3,0)</f>
        <v>2026-Q3</v>
      </c>
      <c r="T1264" s="87" t="n">
        <f aca="false">IF(O1264&gt;0,Q1264/O1264,"")</f>
        <v>0.457013574660633</v>
      </c>
      <c r="U1264" s="84" t="n">
        <f aca="false">IF(O1264&gt;0,O1264,"")</f>
        <v>1105</v>
      </c>
    </row>
    <row r="1265" customFormat="false" ht="15" hidden="false" customHeight="false" outlineLevel="0" collapsed="false">
      <c r="A1265" s="81" t="s">
        <v>1908</v>
      </c>
      <c r="B1265" s="82" t="n">
        <v>46233</v>
      </c>
      <c r="C1265" s="81" t="s">
        <v>423</v>
      </c>
      <c r="D1265" s="83" t="str">
        <f aca="false">IFERROR(INDEX(c_Name,MATCH($C1265,c_ID,0)),"غير معرّف")</f>
        <v>ناصر المطيري</v>
      </c>
      <c r="E1265" s="83" t="str">
        <f aca="false">IFERROR(INDEX(c_Region,MATCH($C1265,c_ID,0)),"غير معرّف")</f>
        <v>الغربية</v>
      </c>
      <c r="F1265" s="81" t="s">
        <v>187</v>
      </c>
      <c r="G1265" s="83" t="str">
        <f aca="false">IFERROR(INDEX(p_Name,MATCH($F1265,p_ID,0)),"غير معرّف")</f>
        <v>جهاز تدليك</v>
      </c>
      <c r="H1265" s="83" t="str">
        <f aca="false">IFERROR(INDEX(p_Cat,MATCH($F1265,p_ID,0)),"غير معرّف")</f>
        <v>عناية شخصية</v>
      </c>
      <c r="I1265" s="81" t="s">
        <v>452</v>
      </c>
      <c r="J1265" s="81" t="s">
        <v>91</v>
      </c>
      <c r="K1265" s="81" t="n">
        <v>1</v>
      </c>
      <c r="L1265" s="84" t="n">
        <f aca="false">IFERROR(INDEX(p_Price,MATCH($F1265,p_ID,0)),0)</f>
        <v>600</v>
      </c>
      <c r="M1265" s="85" t="n">
        <v>0.1</v>
      </c>
      <c r="N1265" s="81" t="s">
        <v>644</v>
      </c>
      <c r="O1265" s="84" t="n">
        <f aca="false">IF($N1265="مرتجع",0,K1265*L1265*(1-M1265))</f>
        <v>540</v>
      </c>
      <c r="P1265" s="84" t="n">
        <f aca="false">IF($N1265="مرتجع",0,K1265*IFERROR(INDEX(p_Cost,MATCH($F1265,p_ID,0)),0))</f>
        <v>330</v>
      </c>
      <c r="Q1265" s="84" t="n">
        <f aca="false">O1265-P1265</f>
        <v>210</v>
      </c>
      <c r="R1265" s="86" t="n">
        <f aca="false">DATE(YEAR(B1265),MONTH(B1265),1)</f>
        <v>46204</v>
      </c>
      <c r="S1265" s="83" t="str">
        <f aca="false">YEAR(B1265)&amp;"-Q"&amp;ROUNDUP(MONTH(B1265)/3,0)</f>
        <v>2026-Q3</v>
      </c>
      <c r="T1265" s="87" t="n">
        <f aca="false">IF(O1265&gt;0,Q1265/O1265,"")</f>
        <v>0.388888888888889</v>
      </c>
      <c r="U1265" s="84" t="n">
        <f aca="false">IF(O1265&gt;0,O1265,"")</f>
        <v>540</v>
      </c>
    </row>
    <row r="1266" customFormat="false" ht="15" hidden="false" customHeight="false" outlineLevel="0" collapsed="false">
      <c r="A1266" s="81" t="s">
        <v>1909</v>
      </c>
      <c r="B1266" s="82" t="n">
        <v>46233</v>
      </c>
      <c r="C1266" s="81" t="s">
        <v>299</v>
      </c>
      <c r="D1266" s="83" t="str">
        <f aca="false">IFERROR(INDEX(c_Name,MATCH($C1266,c_ID,0)),"غير معرّف")</f>
        <v>جود الخالدي</v>
      </c>
      <c r="E1266" s="83" t="str">
        <f aca="false">IFERROR(INDEX(c_Region,MATCH($C1266,c_ID,0)),"غير معرّف")</f>
        <v>الوسطى</v>
      </c>
      <c r="F1266" s="81" t="s">
        <v>168</v>
      </c>
      <c r="G1266" s="83" t="str">
        <f aca="false">IFERROR(INDEX(p_Name,MATCH($F1266,p_ID,0)),"غير معرّف")</f>
        <v>مكنسة كهربائية</v>
      </c>
      <c r="H1266" s="83" t="str">
        <f aca="false">IFERROR(INDEX(p_Cat,MATCH($F1266,p_ID,0)),"غير معرّف")</f>
        <v>أجهزة منزلية</v>
      </c>
      <c r="I1266" s="81" t="s">
        <v>449</v>
      </c>
      <c r="J1266" s="81" t="s">
        <v>93</v>
      </c>
      <c r="K1266" s="81" t="n">
        <v>2</v>
      </c>
      <c r="L1266" s="84" t="n">
        <f aca="false">IFERROR(INDEX(p_Price,MATCH($F1266,p_ID,0)),0)</f>
        <v>650</v>
      </c>
      <c r="M1266" s="85" t="n">
        <v>0</v>
      </c>
      <c r="N1266" s="81" t="s">
        <v>644</v>
      </c>
      <c r="O1266" s="84" t="n">
        <f aca="false">IF($N1266="مرتجع",0,K1266*L1266*(1-M1266))</f>
        <v>1300</v>
      </c>
      <c r="P1266" s="84" t="n">
        <f aca="false">IF($N1266="مرتجع",0,K1266*IFERROR(INDEX(p_Cost,MATCH($F1266,p_ID,0)),0))</f>
        <v>840</v>
      </c>
      <c r="Q1266" s="84" t="n">
        <f aca="false">O1266-P1266</f>
        <v>460</v>
      </c>
      <c r="R1266" s="86" t="n">
        <f aca="false">DATE(YEAR(B1266),MONTH(B1266),1)</f>
        <v>46204</v>
      </c>
      <c r="S1266" s="83" t="str">
        <f aca="false">YEAR(B1266)&amp;"-Q"&amp;ROUNDUP(MONTH(B1266)/3,0)</f>
        <v>2026-Q3</v>
      </c>
      <c r="T1266" s="87" t="n">
        <f aca="false">IF(O1266&gt;0,Q1266/O1266,"")</f>
        <v>0.353846153846154</v>
      </c>
      <c r="U1266" s="84" t="n">
        <f aca="false">IF(O1266&gt;0,O1266,"")</f>
        <v>1300</v>
      </c>
    </row>
    <row r="1267" customFormat="false" ht="15" hidden="false" customHeight="false" outlineLevel="0" collapsed="false">
      <c r="A1267" s="81" t="s">
        <v>1910</v>
      </c>
      <c r="B1267" s="82" t="n">
        <v>46234</v>
      </c>
      <c r="C1267" s="81" t="s">
        <v>398</v>
      </c>
      <c r="D1267" s="83" t="str">
        <f aca="false">IFERROR(INDEX(c_Name,MATCH($C1267,c_ID,0)),"غير معرّف")</f>
        <v>عبدالله الحربي</v>
      </c>
      <c r="E1267" s="83" t="str">
        <f aca="false">IFERROR(INDEX(c_Region,MATCH($C1267,c_ID,0)),"غير معرّف")</f>
        <v>الشرقية</v>
      </c>
      <c r="F1267" s="81" t="s">
        <v>172</v>
      </c>
      <c r="G1267" s="83" t="str">
        <f aca="false">IFERROR(INDEX(p_Name,MATCH($F1267,p_ID,0)),"غير معرّف")</f>
        <v>مكتب عمل</v>
      </c>
      <c r="H1267" s="83" t="str">
        <f aca="false">IFERROR(INDEX(p_Cat,MATCH($F1267,p_ID,0)),"غير معرّف")</f>
        <v>أثاث</v>
      </c>
      <c r="I1267" s="81" t="s">
        <v>463</v>
      </c>
      <c r="J1267" s="81" t="s">
        <v>95</v>
      </c>
      <c r="K1267" s="81" t="n">
        <v>6</v>
      </c>
      <c r="L1267" s="84" t="n">
        <f aca="false">IFERROR(INDEX(p_Price,MATCH($F1267,p_ID,0)),0)</f>
        <v>1200</v>
      </c>
      <c r="M1267" s="85" t="n">
        <v>0.15</v>
      </c>
      <c r="N1267" s="81" t="s">
        <v>644</v>
      </c>
      <c r="O1267" s="84" t="n">
        <f aca="false">IF($N1267="مرتجع",0,K1267*L1267*(1-M1267))</f>
        <v>6120</v>
      </c>
      <c r="P1267" s="84" t="n">
        <f aca="false">IF($N1267="مرتجع",0,K1267*IFERROR(INDEX(p_Cost,MATCH($F1267,p_ID,0)),0))</f>
        <v>4200</v>
      </c>
      <c r="Q1267" s="84" t="n">
        <f aca="false">O1267-P1267</f>
        <v>1920</v>
      </c>
      <c r="R1267" s="86" t="n">
        <f aca="false">DATE(YEAR(B1267),MONTH(B1267),1)</f>
        <v>46204</v>
      </c>
      <c r="S1267" s="83" t="str">
        <f aca="false">YEAR(B1267)&amp;"-Q"&amp;ROUNDUP(MONTH(B1267)/3,0)</f>
        <v>2026-Q3</v>
      </c>
      <c r="T1267" s="87" t="n">
        <f aca="false">IF(O1267&gt;0,Q1267/O1267,"")</f>
        <v>0.313725490196078</v>
      </c>
      <c r="U1267" s="84" t="n">
        <f aca="false">IF(O1267&gt;0,O1267,"")</f>
        <v>6120</v>
      </c>
    </row>
    <row r="1268" customFormat="false" ht="15" hidden="false" customHeight="false" outlineLevel="0" collapsed="false">
      <c r="A1268" s="81" t="s">
        <v>1911</v>
      </c>
      <c r="B1268" s="82" t="n">
        <v>46234</v>
      </c>
      <c r="C1268" s="81" t="s">
        <v>241</v>
      </c>
      <c r="D1268" s="83" t="str">
        <f aca="false">IFERROR(INDEX(c_Name,MATCH($C1268,c_ID,0)),"غير معرّف")</f>
        <v>فهد الزهراني</v>
      </c>
      <c r="E1268" s="83" t="str">
        <f aca="false">IFERROR(INDEX(c_Region,MATCH($C1268,c_ID,0)),"غير معرّف")</f>
        <v>الجنوبية</v>
      </c>
      <c r="F1268" s="81" t="s">
        <v>183</v>
      </c>
      <c r="G1268" s="83" t="str">
        <f aca="false">IFERROR(INDEX(p_Name,MATCH($F1268,p_ID,0)),"غير معرّف")</f>
        <v>سجادة يوغا</v>
      </c>
      <c r="H1268" s="83" t="str">
        <f aca="false">IFERROR(INDEX(p_Cat,MATCH($F1268,p_ID,0)),"غير معرّف")</f>
        <v>رياضة</v>
      </c>
      <c r="I1268" s="81" t="s">
        <v>467</v>
      </c>
      <c r="J1268" s="81" t="s">
        <v>91</v>
      </c>
      <c r="K1268" s="81" t="n">
        <v>2</v>
      </c>
      <c r="L1268" s="84" t="n">
        <f aca="false">IFERROR(INDEX(p_Price,MATCH($F1268,p_ID,0)),0)</f>
        <v>120</v>
      </c>
      <c r="M1268" s="85" t="n">
        <v>0.05</v>
      </c>
      <c r="N1268" s="81" t="s">
        <v>644</v>
      </c>
      <c r="O1268" s="84" t="n">
        <f aca="false">IF($N1268="مرتجع",0,K1268*L1268*(1-M1268))</f>
        <v>228</v>
      </c>
      <c r="P1268" s="84" t="n">
        <f aca="false">IF($N1268="مرتجع",0,K1268*IFERROR(INDEX(p_Cost,MATCH($F1268,p_ID,0)),0))</f>
        <v>100</v>
      </c>
      <c r="Q1268" s="84" t="n">
        <f aca="false">O1268-P1268</f>
        <v>128</v>
      </c>
      <c r="R1268" s="86" t="n">
        <f aca="false">DATE(YEAR(B1268),MONTH(B1268),1)</f>
        <v>46204</v>
      </c>
      <c r="S1268" s="83" t="str">
        <f aca="false">YEAR(B1268)&amp;"-Q"&amp;ROUNDUP(MONTH(B1268)/3,0)</f>
        <v>2026-Q3</v>
      </c>
      <c r="T1268" s="87" t="n">
        <f aca="false">IF(O1268&gt;0,Q1268/O1268,"")</f>
        <v>0.56140350877193</v>
      </c>
      <c r="U1268" s="84" t="n">
        <f aca="false">IF(O1268&gt;0,O1268,"")</f>
        <v>228</v>
      </c>
    </row>
    <row r="1269" customFormat="false" ht="15" hidden="false" customHeight="false" outlineLevel="0" collapsed="false">
      <c r="A1269" s="81" t="s">
        <v>1912</v>
      </c>
      <c r="B1269" s="82" t="n">
        <v>46234</v>
      </c>
      <c r="C1269" s="81" t="s">
        <v>254</v>
      </c>
      <c r="D1269" s="83" t="str">
        <f aca="false">IFERROR(INDEX(c_Name,MATCH($C1269,c_ID,0)),"غير معرّف")</f>
        <v>عبدالله العتيبي</v>
      </c>
      <c r="E1269" s="83" t="str">
        <f aca="false">IFERROR(INDEX(c_Region,MATCH($C1269,c_ID,0)),"غير معرّف")</f>
        <v>الغربية</v>
      </c>
      <c r="F1269" s="81" t="s">
        <v>187</v>
      </c>
      <c r="G1269" s="83" t="str">
        <f aca="false">IFERROR(INDEX(p_Name,MATCH($F1269,p_ID,0)),"غير معرّف")</f>
        <v>جهاز تدليك</v>
      </c>
      <c r="H1269" s="83" t="str">
        <f aca="false">IFERROR(INDEX(p_Cat,MATCH($F1269,p_ID,0)),"غير معرّف")</f>
        <v>عناية شخصية</v>
      </c>
      <c r="I1269" s="81" t="s">
        <v>458</v>
      </c>
      <c r="J1269" s="81" t="s">
        <v>91</v>
      </c>
      <c r="K1269" s="81" t="n">
        <v>2</v>
      </c>
      <c r="L1269" s="84" t="n">
        <f aca="false">IFERROR(INDEX(p_Price,MATCH($F1269,p_ID,0)),0)</f>
        <v>600</v>
      </c>
      <c r="M1269" s="85" t="n">
        <v>0.1</v>
      </c>
      <c r="N1269" s="81" t="s">
        <v>644</v>
      </c>
      <c r="O1269" s="84" t="n">
        <f aca="false">IF($N1269="مرتجع",0,K1269*L1269*(1-M1269))</f>
        <v>1080</v>
      </c>
      <c r="P1269" s="84" t="n">
        <f aca="false">IF($N1269="مرتجع",0,K1269*IFERROR(INDEX(p_Cost,MATCH($F1269,p_ID,0)),0))</f>
        <v>660</v>
      </c>
      <c r="Q1269" s="84" t="n">
        <f aca="false">O1269-P1269</f>
        <v>420</v>
      </c>
      <c r="R1269" s="86" t="n">
        <f aca="false">DATE(YEAR(B1269),MONTH(B1269),1)</f>
        <v>46204</v>
      </c>
      <c r="S1269" s="83" t="str">
        <f aca="false">YEAR(B1269)&amp;"-Q"&amp;ROUNDUP(MONTH(B1269)/3,0)</f>
        <v>2026-Q3</v>
      </c>
      <c r="T1269" s="87" t="n">
        <f aca="false">IF(O1269&gt;0,Q1269/O1269,"")</f>
        <v>0.388888888888889</v>
      </c>
      <c r="U1269" s="84" t="n">
        <f aca="false">IF(O1269&gt;0,O1269,"")</f>
        <v>1080</v>
      </c>
    </row>
    <row r="1270" customFormat="false" ht="15" hidden="false" customHeight="false" outlineLevel="0" collapsed="false">
      <c r="A1270" s="81" t="s">
        <v>1913</v>
      </c>
      <c r="B1270" s="82" t="n">
        <v>46235</v>
      </c>
      <c r="C1270" s="81" t="s">
        <v>291</v>
      </c>
      <c r="D1270" s="83" t="str">
        <f aca="false">IFERROR(INDEX(c_Name,MATCH($C1270,c_ID,0)),"غير معرّف")</f>
        <v>ياسر الشمري</v>
      </c>
      <c r="E1270" s="83" t="str">
        <f aca="false">IFERROR(INDEX(c_Region,MATCH($C1270,c_ID,0)),"غير معرّف")</f>
        <v>الوسطى</v>
      </c>
      <c r="F1270" s="81" t="s">
        <v>168</v>
      </c>
      <c r="G1270" s="83" t="str">
        <f aca="false">IFERROR(INDEX(p_Name,MATCH($F1270,p_ID,0)),"غير معرّف")</f>
        <v>مكنسة كهربائية</v>
      </c>
      <c r="H1270" s="83" t="str">
        <f aca="false">IFERROR(INDEX(p_Cat,MATCH($F1270,p_ID,0)),"غير معرّف")</f>
        <v>أجهزة منزلية</v>
      </c>
      <c r="I1270" s="81" t="s">
        <v>443</v>
      </c>
      <c r="J1270" s="81" t="s">
        <v>93</v>
      </c>
      <c r="K1270" s="81" t="n">
        <v>4</v>
      </c>
      <c r="L1270" s="84" t="n">
        <f aca="false">IFERROR(INDEX(p_Price,MATCH($F1270,p_ID,0)),0)</f>
        <v>650</v>
      </c>
      <c r="M1270" s="85" t="n">
        <v>0.1</v>
      </c>
      <c r="N1270" s="81" t="s">
        <v>644</v>
      </c>
      <c r="O1270" s="84" t="n">
        <f aca="false">IF($N1270="مرتجع",0,K1270*L1270*(1-M1270))</f>
        <v>2340</v>
      </c>
      <c r="P1270" s="84" t="n">
        <f aca="false">IF($N1270="مرتجع",0,K1270*IFERROR(INDEX(p_Cost,MATCH($F1270,p_ID,0)),0))</f>
        <v>1680</v>
      </c>
      <c r="Q1270" s="84" t="n">
        <f aca="false">O1270-P1270</f>
        <v>660</v>
      </c>
      <c r="R1270" s="86" t="n">
        <f aca="false">DATE(YEAR(B1270),MONTH(B1270),1)</f>
        <v>46235</v>
      </c>
      <c r="S1270" s="83" t="str">
        <f aca="false">YEAR(B1270)&amp;"-Q"&amp;ROUNDUP(MONTH(B1270)/3,0)</f>
        <v>2026-Q3</v>
      </c>
      <c r="T1270" s="87" t="n">
        <f aca="false">IF(O1270&gt;0,Q1270/O1270,"")</f>
        <v>0.282051282051282</v>
      </c>
      <c r="U1270" s="84" t="n">
        <f aca="false">IF(O1270&gt;0,O1270,"")</f>
        <v>2340</v>
      </c>
    </row>
    <row r="1271" customFormat="false" ht="15" hidden="false" customHeight="false" outlineLevel="0" collapsed="false">
      <c r="A1271" s="81" t="s">
        <v>1914</v>
      </c>
      <c r="B1271" s="82" t="n">
        <v>46235</v>
      </c>
      <c r="C1271" s="81" t="s">
        <v>357</v>
      </c>
      <c r="D1271" s="83" t="str">
        <f aca="false">IFERROR(INDEX(c_Name,MATCH($C1271,c_ID,0)),"غير معرّف")</f>
        <v>منى الحربي</v>
      </c>
      <c r="E1271" s="83" t="str">
        <f aca="false">IFERROR(INDEX(c_Region,MATCH($C1271,c_ID,0)),"غير معرّف")</f>
        <v>الوسطى</v>
      </c>
      <c r="F1271" s="81" t="s">
        <v>186</v>
      </c>
      <c r="G1271" s="83" t="str">
        <f aca="false">IFERROR(INDEX(p_Name,MATCH($F1271,p_ID,0)),"غير معرّف")</f>
        <v>مجفف شعر</v>
      </c>
      <c r="H1271" s="83" t="str">
        <f aca="false">IFERROR(INDEX(p_Cat,MATCH($F1271,p_ID,0)),"غير معرّف")</f>
        <v>عناية شخصية</v>
      </c>
      <c r="I1271" s="81" t="s">
        <v>446</v>
      </c>
      <c r="J1271" s="81" t="s">
        <v>93</v>
      </c>
      <c r="K1271" s="81" t="n">
        <v>4</v>
      </c>
      <c r="L1271" s="84" t="n">
        <f aca="false">IFERROR(INDEX(p_Price,MATCH($F1271,p_ID,0)),0)</f>
        <v>280</v>
      </c>
      <c r="M1271" s="85" t="n">
        <v>0.2</v>
      </c>
      <c r="N1271" s="81" t="s">
        <v>644</v>
      </c>
      <c r="O1271" s="84" t="n">
        <f aca="false">IF($N1271="مرتجع",0,K1271*L1271*(1-M1271))</f>
        <v>896</v>
      </c>
      <c r="P1271" s="84" t="n">
        <f aca="false">IF($N1271="مرتجع",0,K1271*IFERROR(INDEX(p_Cost,MATCH($F1271,p_ID,0)),0))</f>
        <v>560</v>
      </c>
      <c r="Q1271" s="84" t="n">
        <f aca="false">O1271-P1271</f>
        <v>336</v>
      </c>
      <c r="R1271" s="86" t="n">
        <f aca="false">DATE(YEAR(B1271),MONTH(B1271),1)</f>
        <v>46235</v>
      </c>
      <c r="S1271" s="83" t="str">
        <f aca="false">YEAR(B1271)&amp;"-Q"&amp;ROUNDUP(MONTH(B1271)/3,0)</f>
        <v>2026-Q3</v>
      </c>
      <c r="T1271" s="87" t="n">
        <f aca="false">IF(O1271&gt;0,Q1271/O1271,"")</f>
        <v>0.375</v>
      </c>
      <c r="U1271" s="84" t="n">
        <f aca="false">IF(O1271&gt;0,O1271,"")</f>
        <v>896</v>
      </c>
    </row>
    <row r="1272" customFormat="false" ht="15" hidden="false" customHeight="false" outlineLevel="0" collapsed="false">
      <c r="A1272" s="81" t="s">
        <v>1915</v>
      </c>
      <c r="B1272" s="82" t="n">
        <v>46235</v>
      </c>
      <c r="C1272" s="81" t="s">
        <v>334</v>
      </c>
      <c r="D1272" s="83" t="str">
        <f aca="false">IFERROR(INDEX(c_Name,MATCH($C1272,c_ID,0)),"غير معرّف")</f>
        <v>ناصر الغامدي</v>
      </c>
      <c r="E1272" s="83" t="str">
        <f aca="false">IFERROR(INDEX(c_Region,MATCH($C1272,c_ID,0)),"غير معرّف")</f>
        <v>الغربية</v>
      </c>
      <c r="F1272" s="81" t="s">
        <v>186</v>
      </c>
      <c r="G1272" s="83" t="str">
        <f aca="false">IFERROR(INDEX(p_Name,MATCH($F1272,p_ID,0)),"غير معرّف")</f>
        <v>مجفف شعر</v>
      </c>
      <c r="H1272" s="83" t="str">
        <f aca="false">IFERROR(INDEX(p_Cat,MATCH($F1272,p_ID,0)),"غير معرّف")</f>
        <v>عناية شخصية</v>
      </c>
      <c r="I1272" s="81" t="s">
        <v>452</v>
      </c>
      <c r="J1272" s="81" t="s">
        <v>91</v>
      </c>
      <c r="K1272" s="81" t="n">
        <v>1</v>
      </c>
      <c r="L1272" s="84" t="n">
        <f aca="false">IFERROR(INDEX(p_Price,MATCH($F1272,p_ID,0)),0)</f>
        <v>280</v>
      </c>
      <c r="M1272" s="85" t="n">
        <v>0.05</v>
      </c>
      <c r="N1272" s="81" t="s">
        <v>644</v>
      </c>
      <c r="O1272" s="84" t="n">
        <f aca="false">IF($N1272="مرتجع",0,K1272*L1272*(1-M1272))</f>
        <v>266</v>
      </c>
      <c r="P1272" s="84" t="n">
        <f aca="false">IF($N1272="مرتجع",0,K1272*IFERROR(INDEX(p_Cost,MATCH($F1272,p_ID,0)),0))</f>
        <v>140</v>
      </c>
      <c r="Q1272" s="84" t="n">
        <f aca="false">O1272-P1272</f>
        <v>126</v>
      </c>
      <c r="R1272" s="86" t="n">
        <f aca="false">DATE(YEAR(B1272),MONTH(B1272),1)</f>
        <v>46235</v>
      </c>
      <c r="S1272" s="83" t="str">
        <f aca="false">YEAR(B1272)&amp;"-Q"&amp;ROUNDUP(MONTH(B1272)/3,0)</f>
        <v>2026-Q3</v>
      </c>
      <c r="T1272" s="87" t="n">
        <f aca="false">IF(O1272&gt;0,Q1272/O1272,"")</f>
        <v>0.473684210526316</v>
      </c>
      <c r="U1272" s="84" t="n">
        <f aca="false">IF(O1272&gt;0,O1272,"")</f>
        <v>266</v>
      </c>
    </row>
    <row r="1273" customFormat="false" ht="15" hidden="false" customHeight="false" outlineLevel="0" collapsed="false">
      <c r="A1273" s="81" t="s">
        <v>1916</v>
      </c>
      <c r="B1273" s="82" t="n">
        <v>46235</v>
      </c>
      <c r="C1273" s="81" t="s">
        <v>356</v>
      </c>
      <c r="D1273" s="83" t="str">
        <f aca="false">IFERROR(INDEX(c_Name,MATCH($C1273,c_ID,0)),"غير معرّف")</f>
        <v>هند البلوي</v>
      </c>
      <c r="E1273" s="83" t="str">
        <f aca="false">IFERROR(INDEX(c_Region,MATCH($C1273,c_ID,0)),"غير معرّف")</f>
        <v>الغربية</v>
      </c>
      <c r="F1273" s="81" t="s">
        <v>168</v>
      </c>
      <c r="G1273" s="83" t="str">
        <f aca="false">IFERROR(INDEX(p_Name,MATCH($F1273,p_ID,0)),"غير معرّف")</f>
        <v>مكنسة كهربائية</v>
      </c>
      <c r="H1273" s="83" t="str">
        <f aca="false">IFERROR(INDEX(p_Cat,MATCH($F1273,p_ID,0)),"غير معرّف")</f>
        <v>أجهزة منزلية</v>
      </c>
      <c r="I1273" s="81" t="s">
        <v>452</v>
      </c>
      <c r="J1273" s="81" t="s">
        <v>93</v>
      </c>
      <c r="K1273" s="81" t="n">
        <v>2</v>
      </c>
      <c r="L1273" s="84" t="n">
        <f aca="false">IFERROR(INDEX(p_Price,MATCH($F1273,p_ID,0)),0)</f>
        <v>650</v>
      </c>
      <c r="M1273" s="85" t="n">
        <v>0.05</v>
      </c>
      <c r="N1273" s="81" t="s">
        <v>644</v>
      </c>
      <c r="O1273" s="84" t="n">
        <f aca="false">IF($N1273="مرتجع",0,K1273*L1273*(1-M1273))</f>
        <v>1235</v>
      </c>
      <c r="P1273" s="84" t="n">
        <f aca="false">IF($N1273="مرتجع",0,K1273*IFERROR(INDEX(p_Cost,MATCH($F1273,p_ID,0)),0))</f>
        <v>840</v>
      </c>
      <c r="Q1273" s="84" t="n">
        <f aca="false">O1273-P1273</f>
        <v>395</v>
      </c>
      <c r="R1273" s="86" t="n">
        <f aca="false">DATE(YEAR(B1273),MONTH(B1273),1)</f>
        <v>46235</v>
      </c>
      <c r="S1273" s="83" t="str">
        <f aca="false">YEAR(B1273)&amp;"-Q"&amp;ROUNDUP(MONTH(B1273)/3,0)</f>
        <v>2026-Q3</v>
      </c>
      <c r="T1273" s="87" t="n">
        <f aca="false">IF(O1273&gt;0,Q1273/O1273,"")</f>
        <v>0.319838056680162</v>
      </c>
      <c r="U1273" s="84" t="n">
        <f aca="false">IF(O1273&gt;0,O1273,"")</f>
        <v>1235</v>
      </c>
    </row>
    <row r="1274" customFormat="false" ht="15" hidden="false" customHeight="false" outlineLevel="0" collapsed="false">
      <c r="A1274" s="81" t="s">
        <v>1917</v>
      </c>
      <c r="B1274" s="82" t="n">
        <v>46236</v>
      </c>
      <c r="C1274" s="81" t="s">
        <v>255</v>
      </c>
      <c r="D1274" s="83" t="str">
        <f aca="false">IFERROR(INDEX(c_Name,MATCH($C1274,c_ID,0)),"غير معرّف")</f>
        <v>سارة العتيبي</v>
      </c>
      <c r="E1274" s="83" t="str">
        <f aca="false">IFERROR(INDEX(c_Region,MATCH($C1274,c_ID,0)),"غير معرّف")</f>
        <v>الغربية</v>
      </c>
      <c r="F1274" s="81" t="s">
        <v>186</v>
      </c>
      <c r="G1274" s="83" t="str">
        <f aca="false">IFERROR(INDEX(p_Name,MATCH($F1274,p_ID,0)),"غير معرّف")</f>
        <v>مجفف شعر</v>
      </c>
      <c r="H1274" s="83" t="str">
        <f aca="false">IFERROR(INDEX(p_Cat,MATCH($F1274,p_ID,0)),"غير معرّف")</f>
        <v>عناية شخصية</v>
      </c>
      <c r="I1274" s="81" t="s">
        <v>455</v>
      </c>
      <c r="J1274" s="81" t="s">
        <v>91</v>
      </c>
      <c r="K1274" s="81" t="n">
        <v>1</v>
      </c>
      <c r="L1274" s="84" t="n">
        <f aca="false">IFERROR(INDEX(p_Price,MATCH($F1274,p_ID,0)),0)</f>
        <v>280</v>
      </c>
      <c r="M1274" s="85" t="n">
        <v>0.05</v>
      </c>
      <c r="N1274" s="81" t="s">
        <v>644</v>
      </c>
      <c r="O1274" s="84" t="n">
        <f aca="false">IF($N1274="مرتجع",0,K1274*L1274*(1-M1274))</f>
        <v>266</v>
      </c>
      <c r="P1274" s="84" t="n">
        <f aca="false">IF($N1274="مرتجع",0,K1274*IFERROR(INDEX(p_Cost,MATCH($F1274,p_ID,0)),0))</f>
        <v>140</v>
      </c>
      <c r="Q1274" s="84" t="n">
        <f aca="false">O1274-P1274</f>
        <v>126</v>
      </c>
      <c r="R1274" s="86" t="n">
        <f aca="false">DATE(YEAR(B1274),MONTH(B1274),1)</f>
        <v>46235</v>
      </c>
      <c r="S1274" s="83" t="str">
        <f aca="false">YEAR(B1274)&amp;"-Q"&amp;ROUNDUP(MONTH(B1274)/3,0)</f>
        <v>2026-Q3</v>
      </c>
      <c r="T1274" s="87" t="n">
        <f aca="false">IF(O1274&gt;0,Q1274/O1274,"")</f>
        <v>0.473684210526316</v>
      </c>
      <c r="U1274" s="84" t="n">
        <f aca="false">IF(O1274&gt;0,O1274,"")</f>
        <v>266</v>
      </c>
    </row>
    <row r="1275" customFormat="false" ht="15" hidden="false" customHeight="false" outlineLevel="0" collapsed="false">
      <c r="A1275" s="81" t="s">
        <v>1918</v>
      </c>
      <c r="B1275" s="82" t="n">
        <v>46236</v>
      </c>
      <c r="C1275" s="81" t="s">
        <v>391</v>
      </c>
      <c r="D1275" s="83" t="str">
        <f aca="false">IFERROR(INDEX(c_Name,MATCH($C1275,c_ID,0)),"غير معرّف")</f>
        <v>أحمد المطيري</v>
      </c>
      <c r="E1275" s="83" t="str">
        <f aca="false">IFERROR(INDEX(c_Region,MATCH($C1275,c_ID,0)),"غير معرّف")</f>
        <v>الوسطى</v>
      </c>
      <c r="F1275" s="81" t="s">
        <v>183</v>
      </c>
      <c r="G1275" s="83" t="str">
        <f aca="false">IFERROR(INDEX(p_Name,MATCH($F1275,p_ID,0)),"غير معرّف")</f>
        <v>سجادة يوغا</v>
      </c>
      <c r="H1275" s="83" t="str">
        <f aca="false">IFERROR(INDEX(p_Cat,MATCH($F1275,p_ID,0)),"غير معرّف")</f>
        <v>رياضة</v>
      </c>
      <c r="I1275" s="81" t="s">
        <v>446</v>
      </c>
      <c r="J1275" s="81" t="s">
        <v>91</v>
      </c>
      <c r="K1275" s="81" t="n">
        <v>1</v>
      </c>
      <c r="L1275" s="84" t="n">
        <f aca="false">IFERROR(INDEX(p_Price,MATCH($F1275,p_ID,0)),0)</f>
        <v>120</v>
      </c>
      <c r="M1275" s="85" t="n">
        <v>0.05</v>
      </c>
      <c r="N1275" s="81" t="s">
        <v>644</v>
      </c>
      <c r="O1275" s="84" t="n">
        <f aca="false">IF($N1275="مرتجع",0,K1275*L1275*(1-M1275))</f>
        <v>114</v>
      </c>
      <c r="P1275" s="84" t="n">
        <f aca="false">IF($N1275="مرتجع",0,K1275*IFERROR(INDEX(p_Cost,MATCH($F1275,p_ID,0)),0))</f>
        <v>50</v>
      </c>
      <c r="Q1275" s="84" t="n">
        <f aca="false">O1275-P1275</f>
        <v>64</v>
      </c>
      <c r="R1275" s="86" t="n">
        <f aca="false">DATE(YEAR(B1275),MONTH(B1275),1)</f>
        <v>46235</v>
      </c>
      <c r="S1275" s="83" t="str">
        <f aca="false">YEAR(B1275)&amp;"-Q"&amp;ROUNDUP(MONTH(B1275)/3,0)</f>
        <v>2026-Q3</v>
      </c>
      <c r="T1275" s="87" t="n">
        <f aca="false">IF(O1275&gt;0,Q1275/O1275,"")</f>
        <v>0.56140350877193</v>
      </c>
      <c r="U1275" s="84" t="n">
        <f aca="false">IF(O1275&gt;0,O1275,"")</f>
        <v>114</v>
      </c>
    </row>
    <row r="1276" customFormat="false" ht="15" hidden="false" customHeight="false" outlineLevel="0" collapsed="false">
      <c r="A1276" s="81" t="s">
        <v>1919</v>
      </c>
      <c r="B1276" s="82" t="n">
        <v>46236</v>
      </c>
      <c r="C1276" s="81" t="s">
        <v>423</v>
      </c>
      <c r="D1276" s="83" t="str">
        <f aca="false">IFERROR(INDEX(c_Name,MATCH($C1276,c_ID,0)),"غير معرّف")</f>
        <v>ناصر المطيري</v>
      </c>
      <c r="E1276" s="83" t="str">
        <f aca="false">IFERROR(INDEX(c_Region,MATCH($C1276,c_ID,0)),"غير معرّف")</f>
        <v>الغربية</v>
      </c>
      <c r="F1276" s="81" t="s">
        <v>183</v>
      </c>
      <c r="G1276" s="83" t="str">
        <f aca="false">IFERROR(INDEX(p_Name,MATCH($F1276,p_ID,0)),"غير معرّف")</f>
        <v>سجادة يوغا</v>
      </c>
      <c r="H1276" s="83" t="str">
        <f aca="false">IFERROR(INDEX(p_Cat,MATCH($F1276,p_ID,0)),"غير معرّف")</f>
        <v>رياضة</v>
      </c>
      <c r="I1276" s="81" t="s">
        <v>458</v>
      </c>
      <c r="J1276" s="81" t="s">
        <v>91</v>
      </c>
      <c r="K1276" s="81" t="n">
        <v>1</v>
      </c>
      <c r="L1276" s="84" t="n">
        <f aca="false">IFERROR(INDEX(p_Price,MATCH($F1276,p_ID,0)),0)</f>
        <v>120</v>
      </c>
      <c r="M1276" s="85" t="n">
        <v>0.1</v>
      </c>
      <c r="N1276" s="81" t="s">
        <v>644</v>
      </c>
      <c r="O1276" s="84" t="n">
        <f aca="false">IF($N1276="مرتجع",0,K1276*L1276*(1-M1276))</f>
        <v>108</v>
      </c>
      <c r="P1276" s="84" t="n">
        <f aca="false">IF($N1276="مرتجع",0,K1276*IFERROR(INDEX(p_Cost,MATCH($F1276,p_ID,0)),0))</f>
        <v>50</v>
      </c>
      <c r="Q1276" s="84" t="n">
        <f aca="false">O1276-P1276</f>
        <v>58</v>
      </c>
      <c r="R1276" s="86" t="n">
        <f aca="false">DATE(YEAR(B1276),MONTH(B1276),1)</f>
        <v>46235</v>
      </c>
      <c r="S1276" s="83" t="str">
        <f aca="false">YEAR(B1276)&amp;"-Q"&amp;ROUNDUP(MONTH(B1276)/3,0)</f>
        <v>2026-Q3</v>
      </c>
      <c r="T1276" s="87" t="n">
        <f aca="false">IF(O1276&gt;0,Q1276/O1276,"")</f>
        <v>0.537037037037037</v>
      </c>
      <c r="U1276" s="84" t="n">
        <f aca="false">IF(O1276&gt;0,O1276,"")</f>
        <v>108</v>
      </c>
    </row>
    <row r="1277" customFormat="false" ht="15" hidden="false" customHeight="false" outlineLevel="0" collapsed="false">
      <c r="A1277" s="81" t="s">
        <v>1920</v>
      </c>
      <c r="B1277" s="82" t="n">
        <v>46236</v>
      </c>
      <c r="C1277" s="81" t="s">
        <v>356</v>
      </c>
      <c r="D1277" s="83" t="str">
        <f aca="false">IFERROR(INDEX(c_Name,MATCH($C1277,c_ID,0)),"غير معرّف")</f>
        <v>هند البلوي</v>
      </c>
      <c r="E1277" s="83" t="str">
        <f aca="false">IFERROR(INDEX(c_Region,MATCH($C1277,c_ID,0)),"غير معرّف")</f>
        <v>الغربية</v>
      </c>
      <c r="F1277" s="81" t="s">
        <v>183</v>
      </c>
      <c r="G1277" s="83" t="str">
        <f aca="false">IFERROR(INDEX(p_Name,MATCH($F1277,p_ID,0)),"غير معرّف")</f>
        <v>سجادة يوغا</v>
      </c>
      <c r="H1277" s="83" t="str">
        <f aca="false">IFERROR(INDEX(p_Cat,MATCH($F1277,p_ID,0)),"غير معرّف")</f>
        <v>رياضة</v>
      </c>
      <c r="I1277" s="81" t="s">
        <v>458</v>
      </c>
      <c r="J1277" s="81" t="s">
        <v>91</v>
      </c>
      <c r="K1277" s="81" t="n">
        <v>1</v>
      </c>
      <c r="L1277" s="84" t="n">
        <f aca="false">IFERROR(INDEX(p_Price,MATCH($F1277,p_ID,0)),0)</f>
        <v>120</v>
      </c>
      <c r="M1277" s="85" t="n">
        <v>0</v>
      </c>
      <c r="N1277" s="81" t="s">
        <v>644</v>
      </c>
      <c r="O1277" s="84" t="n">
        <f aca="false">IF($N1277="مرتجع",0,K1277*L1277*(1-M1277))</f>
        <v>120</v>
      </c>
      <c r="P1277" s="84" t="n">
        <f aca="false">IF($N1277="مرتجع",0,K1277*IFERROR(INDEX(p_Cost,MATCH($F1277,p_ID,0)),0))</f>
        <v>50</v>
      </c>
      <c r="Q1277" s="84" t="n">
        <f aca="false">O1277-P1277</f>
        <v>70</v>
      </c>
      <c r="R1277" s="86" t="n">
        <f aca="false">DATE(YEAR(B1277),MONTH(B1277),1)</f>
        <v>46235</v>
      </c>
      <c r="S1277" s="83" t="str">
        <f aca="false">YEAR(B1277)&amp;"-Q"&amp;ROUNDUP(MONTH(B1277)/3,0)</f>
        <v>2026-Q3</v>
      </c>
      <c r="T1277" s="87" t="n">
        <f aca="false">IF(O1277&gt;0,Q1277/O1277,"")</f>
        <v>0.583333333333333</v>
      </c>
      <c r="U1277" s="84" t="n">
        <f aca="false">IF(O1277&gt;0,O1277,"")</f>
        <v>120</v>
      </c>
    </row>
    <row r="1278" customFormat="false" ht="15" hidden="false" customHeight="false" outlineLevel="0" collapsed="false">
      <c r="A1278" s="81" t="s">
        <v>1921</v>
      </c>
      <c r="B1278" s="82" t="n">
        <v>46237</v>
      </c>
      <c r="C1278" s="81" t="s">
        <v>354</v>
      </c>
      <c r="D1278" s="83" t="str">
        <f aca="false">IFERROR(INDEX(c_Name,MATCH($C1278,c_ID,0)),"غير معرّف")</f>
        <v>عبير الشمري</v>
      </c>
      <c r="E1278" s="83" t="str">
        <f aca="false">IFERROR(INDEX(c_Region,MATCH($C1278,c_ID,0)),"غير معرّف")</f>
        <v>الجنوبية</v>
      </c>
      <c r="F1278" s="81" t="s">
        <v>175</v>
      </c>
      <c r="G1278" s="83" t="str">
        <f aca="false">IFERROR(INDEX(p_Name,MATCH($F1278,p_ID,0)),"غير معرّف")</f>
        <v>رف كتب</v>
      </c>
      <c r="H1278" s="83" t="str">
        <f aca="false">IFERROR(INDEX(p_Cat,MATCH($F1278,p_ID,0)),"غير معرّف")</f>
        <v>أثاث</v>
      </c>
      <c r="I1278" s="81" t="s">
        <v>467</v>
      </c>
      <c r="J1278" s="81" t="s">
        <v>91</v>
      </c>
      <c r="K1278" s="81" t="n">
        <v>1</v>
      </c>
      <c r="L1278" s="84" t="n">
        <f aca="false">IFERROR(INDEX(p_Price,MATCH($F1278,p_ID,0)),0)</f>
        <v>400</v>
      </c>
      <c r="M1278" s="85" t="n">
        <v>0.05</v>
      </c>
      <c r="N1278" s="81" t="s">
        <v>644</v>
      </c>
      <c r="O1278" s="84" t="n">
        <f aca="false">IF($N1278="مرتجع",0,K1278*L1278*(1-M1278))</f>
        <v>380</v>
      </c>
      <c r="P1278" s="84" t="n">
        <f aca="false">IF($N1278="مرتجع",0,K1278*IFERROR(INDEX(p_Cost,MATCH($F1278,p_ID,0)),0))</f>
        <v>220</v>
      </c>
      <c r="Q1278" s="84" t="n">
        <f aca="false">O1278-P1278</f>
        <v>160</v>
      </c>
      <c r="R1278" s="86" t="n">
        <f aca="false">DATE(YEAR(B1278),MONTH(B1278),1)</f>
        <v>46235</v>
      </c>
      <c r="S1278" s="83" t="str">
        <f aca="false">YEAR(B1278)&amp;"-Q"&amp;ROUNDUP(MONTH(B1278)/3,0)</f>
        <v>2026-Q3</v>
      </c>
      <c r="T1278" s="87" t="n">
        <f aca="false">IF(O1278&gt;0,Q1278/O1278,"")</f>
        <v>0.421052631578947</v>
      </c>
      <c r="U1278" s="84" t="n">
        <f aca="false">IF(O1278&gt;0,O1278,"")</f>
        <v>380</v>
      </c>
    </row>
    <row r="1279" customFormat="false" ht="15" hidden="false" customHeight="false" outlineLevel="0" collapsed="false">
      <c r="A1279" s="81" t="s">
        <v>1922</v>
      </c>
      <c r="B1279" s="82" t="n">
        <v>46237</v>
      </c>
      <c r="C1279" s="81" t="s">
        <v>236</v>
      </c>
      <c r="D1279" s="83" t="str">
        <f aca="false">IFERROR(INDEX(c_Name,MATCH($C1279,c_ID,0)),"غير معرّف")</f>
        <v>ناصر البلوي</v>
      </c>
      <c r="E1279" s="83" t="str">
        <f aca="false">IFERROR(INDEX(c_Region,MATCH($C1279,c_ID,0)),"غير معرّف")</f>
        <v>الوسطى</v>
      </c>
      <c r="F1279" s="81" t="s">
        <v>183</v>
      </c>
      <c r="G1279" s="83" t="str">
        <f aca="false">IFERROR(INDEX(p_Name,MATCH($F1279,p_ID,0)),"غير معرّف")</f>
        <v>سجادة يوغا</v>
      </c>
      <c r="H1279" s="83" t="str">
        <f aca="false">IFERROR(INDEX(p_Cat,MATCH($F1279,p_ID,0)),"غير معرّف")</f>
        <v>رياضة</v>
      </c>
      <c r="I1279" s="81" t="s">
        <v>446</v>
      </c>
      <c r="J1279" s="81" t="s">
        <v>93</v>
      </c>
      <c r="K1279" s="81" t="n">
        <v>1</v>
      </c>
      <c r="L1279" s="84" t="n">
        <f aca="false">IFERROR(INDEX(p_Price,MATCH($F1279,p_ID,0)),0)</f>
        <v>120</v>
      </c>
      <c r="M1279" s="85" t="n">
        <v>0</v>
      </c>
      <c r="N1279" s="81" t="s">
        <v>644</v>
      </c>
      <c r="O1279" s="84" t="n">
        <f aca="false">IF($N1279="مرتجع",0,K1279*L1279*(1-M1279))</f>
        <v>120</v>
      </c>
      <c r="P1279" s="84" t="n">
        <f aca="false">IF($N1279="مرتجع",0,K1279*IFERROR(INDEX(p_Cost,MATCH($F1279,p_ID,0)),0))</f>
        <v>50</v>
      </c>
      <c r="Q1279" s="84" t="n">
        <f aca="false">O1279-P1279</f>
        <v>70</v>
      </c>
      <c r="R1279" s="86" t="n">
        <f aca="false">DATE(YEAR(B1279),MONTH(B1279),1)</f>
        <v>46235</v>
      </c>
      <c r="S1279" s="83" t="str">
        <f aca="false">YEAR(B1279)&amp;"-Q"&amp;ROUNDUP(MONTH(B1279)/3,0)</f>
        <v>2026-Q3</v>
      </c>
      <c r="T1279" s="87" t="n">
        <f aca="false">IF(O1279&gt;0,Q1279/O1279,"")</f>
        <v>0.583333333333333</v>
      </c>
      <c r="U1279" s="84" t="n">
        <f aca="false">IF(O1279&gt;0,O1279,"")</f>
        <v>120</v>
      </c>
    </row>
    <row r="1280" customFormat="false" ht="15" hidden="false" customHeight="false" outlineLevel="0" collapsed="false">
      <c r="A1280" s="81" t="s">
        <v>1923</v>
      </c>
      <c r="B1280" s="82" t="n">
        <v>46237</v>
      </c>
      <c r="C1280" s="81" t="s">
        <v>429</v>
      </c>
      <c r="D1280" s="83" t="str">
        <f aca="false">IFERROR(INDEX(c_Name,MATCH($C1280,c_ID,0)),"غير معرّف")</f>
        <v>سعد الحربي</v>
      </c>
      <c r="E1280" s="83" t="str">
        <f aca="false">IFERROR(INDEX(c_Region,MATCH($C1280,c_ID,0)),"غير معرّف")</f>
        <v>الغربية</v>
      </c>
      <c r="F1280" s="81" t="s">
        <v>185</v>
      </c>
      <c r="G1280" s="83" t="str">
        <f aca="false">IFERROR(INDEX(p_Name,MATCH($F1280,p_ID,0)),"غير معرّف")</f>
        <v>ماكينة حلاقة</v>
      </c>
      <c r="H1280" s="83" t="str">
        <f aca="false">IFERROR(INDEX(p_Cat,MATCH($F1280,p_ID,0)),"غير معرّف")</f>
        <v>عناية شخصية</v>
      </c>
      <c r="I1280" s="81" t="s">
        <v>458</v>
      </c>
      <c r="J1280" s="81" t="s">
        <v>93</v>
      </c>
      <c r="K1280" s="81" t="n">
        <v>1</v>
      </c>
      <c r="L1280" s="84" t="n">
        <f aca="false">IFERROR(INDEX(p_Price,MATCH($F1280,p_ID,0)),0)</f>
        <v>340</v>
      </c>
      <c r="M1280" s="85" t="n">
        <v>0.15</v>
      </c>
      <c r="N1280" s="81" t="s">
        <v>644</v>
      </c>
      <c r="O1280" s="84" t="n">
        <f aca="false">IF($N1280="مرتجع",0,K1280*L1280*(1-M1280))</f>
        <v>289</v>
      </c>
      <c r="P1280" s="84" t="n">
        <f aca="false">IF($N1280="مرتجع",0,K1280*IFERROR(INDEX(p_Cost,MATCH($F1280,p_ID,0)),0))</f>
        <v>170</v>
      </c>
      <c r="Q1280" s="84" t="n">
        <f aca="false">O1280-P1280</f>
        <v>119</v>
      </c>
      <c r="R1280" s="86" t="n">
        <f aca="false">DATE(YEAR(B1280),MONTH(B1280),1)</f>
        <v>46235</v>
      </c>
      <c r="S1280" s="83" t="str">
        <f aca="false">YEAR(B1280)&amp;"-Q"&amp;ROUNDUP(MONTH(B1280)/3,0)</f>
        <v>2026-Q3</v>
      </c>
      <c r="T1280" s="87" t="n">
        <f aca="false">IF(O1280&gt;0,Q1280/O1280,"")</f>
        <v>0.411764705882353</v>
      </c>
      <c r="U1280" s="84" t="n">
        <f aca="false">IF(O1280&gt;0,O1280,"")</f>
        <v>289</v>
      </c>
    </row>
    <row r="1281" customFormat="false" ht="15" hidden="false" customHeight="false" outlineLevel="0" collapsed="false">
      <c r="A1281" s="81" t="s">
        <v>1924</v>
      </c>
      <c r="B1281" s="82" t="n">
        <v>46237</v>
      </c>
      <c r="C1281" s="81" t="s">
        <v>389</v>
      </c>
      <c r="D1281" s="83" t="str">
        <f aca="false">IFERROR(INDEX(c_Name,MATCH($C1281,c_ID,0)),"غير معرّف")</f>
        <v>ليلى القحطاني</v>
      </c>
      <c r="E1281" s="83" t="str">
        <f aca="false">IFERROR(INDEX(c_Region,MATCH($C1281,c_ID,0)),"غير معرّف")</f>
        <v>الشرقية</v>
      </c>
      <c r="F1281" s="81" t="s">
        <v>169</v>
      </c>
      <c r="G1281" s="83" t="str">
        <f aca="false">IFERROR(INDEX(p_Name,MATCH($F1281,p_ID,0)),"غير معرّف")</f>
        <v>خلاط</v>
      </c>
      <c r="H1281" s="83" t="str">
        <f aca="false">IFERROR(INDEX(p_Cat,MATCH($F1281,p_ID,0)),"غير معرّف")</f>
        <v>أجهزة منزلية</v>
      </c>
      <c r="I1281" s="81" t="s">
        <v>461</v>
      </c>
      <c r="J1281" s="81" t="s">
        <v>93</v>
      </c>
      <c r="K1281" s="81" t="n">
        <v>8</v>
      </c>
      <c r="L1281" s="84" t="n">
        <f aca="false">IFERROR(INDEX(p_Price,MATCH($F1281,p_ID,0)),0)</f>
        <v>300</v>
      </c>
      <c r="M1281" s="85" t="n">
        <v>0</v>
      </c>
      <c r="N1281" s="81" t="s">
        <v>644</v>
      </c>
      <c r="O1281" s="84" t="n">
        <f aca="false">IF($N1281="مرتجع",0,K1281*L1281*(1-M1281))</f>
        <v>2400</v>
      </c>
      <c r="P1281" s="84" t="n">
        <f aca="false">IF($N1281="مرتجع",0,K1281*IFERROR(INDEX(p_Cost,MATCH($F1281,p_ID,0)),0))</f>
        <v>1400</v>
      </c>
      <c r="Q1281" s="84" t="n">
        <f aca="false">O1281-P1281</f>
        <v>1000</v>
      </c>
      <c r="R1281" s="86" t="n">
        <f aca="false">DATE(YEAR(B1281),MONTH(B1281),1)</f>
        <v>46235</v>
      </c>
      <c r="S1281" s="83" t="str">
        <f aca="false">YEAR(B1281)&amp;"-Q"&amp;ROUNDUP(MONTH(B1281)/3,0)</f>
        <v>2026-Q3</v>
      </c>
      <c r="T1281" s="87" t="n">
        <f aca="false">IF(O1281&gt;0,Q1281/O1281,"")</f>
        <v>0.416666666666667</v>
      </c>
      <c r="U1281" s="84" t="n">
        <f aca="false">IF(O1281&gt;0,O1281,"")</f>
        <v>2400</v>
      </c>
    </row>
    <row r="1282" customFormat="false" ht="15" hidden="false" customHeight="false" outlineLevel="0" collapsed="false">
      <c r="A1282" s="81" t="s">
        <v>1925</v>
      </c>
      <c r="B1282" s="82" t="n">
        <v>46238</v>
      </c>
      <c r="C1282" s="81" t="s">
        <v>389</v>
      </c>
      <c r="D1282" s="83" t="str">
        <f aca="false">IFERROR(INDEX(c_Name,MATCH($C1282,c_ID,0)),"غير معرّف")</f>
        <v>ليلى القحطاني</v>
      </c>
      <c r="E1282" s="83" t="str">
        <f aca="false">IFERROR(INDEX(c_Region,MATCH($C1282,c_ID,0)),"غير معرّف")</f>
        <v>الشرقية</v>
      </c>
      <c r="F1282" s="81" t="s">
        <v>165</v>
      </c>
      <c r="G1282" s="83" t="str">
        <f aca="false">IFERROR(INDEX(p_Name,MATCH($F1282,p_ID,0)),"غير معرّف")</f>
        <v>حاسوب محمول</v>
      </c>
      <c r="H1282" s="83" t="str">
        <f aca="false">IFERROR(INDEX(p_Cat,MATCH($F1282,p_ID,0)),"غير معرّف")</f>
        <v>إلكترونيات</v>
      </c>
      <c r="I1282" s="81" t="s">
        <v>461</v>
      </c>
      <c r="J1282" s="81" t="s">
        <v>91</v>
      </c>
      <c r="K1282" s="81" t="n">
        <v>1</v>
      </c>
      <c r="L1282" s="84" t="n">
        <f aca="false">IFERROR(INDEX(p_Price,MATCH($F1282,p_ID,0)),0)</f>
        <v>3800</v>
      </c>
      <c r="M1282" s="85" t="n">
        <v>0</v>
      </c>
      <c r="N1282" s="81" t="s">
        <v>644</v>
      </c>
      <c r="O1282" s="84" t="n">
        <f aca="false">IF($N1282="مرتجع",0,K1282*L1282*(1-M1282))</f>
        <v>3800</v>
      </c>
      <c r="P1282" s="84" t="n">
        <f aca="false">IF($N1282="مرتجع",0,K1282*IFERROR(INDEX(p_Cost,MATCH($F1282,p_ID,0)),0))</f>
        <v>2900</v>
      </c>
      <c r="Q1282" s="84" t="n">
        <f aca="false">O1282-P1282</f>
        <v>900</v>
      </c>
      <c r="R1282" s="86" t="n">
        <f aca="false">DATE(YEAR(B1282),MONTH(B1282),1)</f>
        <v>46235</v>
      </c>
      <c r="S1282" s="83" t="str">
        <f aca="false">YEAR(B1282)&amp;"-Q"&amp;ROUNDUP(MONTH(B1282)/3,0)</f>
        <v>2026-Q3</v>
      </c>
      <c r="T1282" s="87" t="n">
        <f aca="false">IF(O1282&gt;0,Q1282/O1282,"")</f>
        <v>0.236842105263158</v>
      </c>
      <c r="U1282" s="84" t="n">
        <f aca="false">IF(O1282&gt;0,O1282,"")</f>
        <v>3800</v>
      </c>
    </row>
    <row r="1283" customFormat="false" ht="15" hidden="false" customHeight="false" outlineLevel="0" collapsed="false">
      <c r="A1283" s="81" t="s">
        <v>1926</v>
      </c>
      <c r="B1283" s="82" t="n">
        <v>46238</v>
      </c>
      <c r="C1283" s="81" t="s">
        <v>306</v>
      </c>
      <c r="D1283" s="83" t="str">
        <f aca="false">IFERROR(INDEX(c_Name,MATCH($C1283,c_ID,0)),"غير معرّف")</f>
        <v>أحمد العنزي</v>
      </c>
      <c r="E1283" s="83" t="str">
        <f aca="false">IFERROR(INDEX(c_Region,MATCH($C1283,c_ID,0)),"غير معرّف")</f>
        <v>الغربية</v>
      </c>
      <c r="F1283" s="81" t="s">
        <v>166</v>
      </c>
      <c r="G1283" s="83" t="str">
        <f aca="false">IFERROR(INDEX(p_Name,MATCH($F1283,p_ID,0)),"غير معرّف")</f>
        <v>سماعات لاسلكية</v>
      </c>
      <c r="H1283" s="83" t="str">
        <f aca="false">IFERROR(INDEX(p_Cat,MATCH($F1283,p_ID,0)),"غير معرّف")</f>
        <v>إلكترونيات</v>
      </c>
      <c r="I1283" s="81" t="s">
        <v>455</v>
      </c>
      <c r="J1283" s="81" t="s">
        <v>93</v>
      </c>
      <c r="K1283" s="81" t="n">
        <v>1</v>
      </c>
      <c r="L1283" s="84" t="n">
        <f aca="false">IFERROR(INDEX(p_Price,MATCH($F1283,p_ID,0)),0)</f>
        <v>450</v>
      </c>
      <c r="M1283" s="85" t="n">
        <v>0</v>
      </c>
      <c r="N1283" s="81" t="s">
        <v>644</v>
      </c>
      <c r="O1283" s="84" t="n">
        <f aca="false">IF($N1283="مرتجع",0,K1283*L1283*(1-M1283))</f>
        <v>450</v>
      </c>
      <c r="P1283" s="84" t="n">
        <f aca="false">IF($N1283="مرتجع",0,K1283*IFERROR(INDEX(p_Cost,MATCH($F1283,p_ID,0)),0))</f>
        <v>260</v>
      </c>
      <c r="Q1283" s="84" t="n">
        <f aca="false">O1283-P1283</f>
        <v>190</v>
      </c>
      <c r="R1283" s="86" t="n">
        <f aca="false">DATE(YEAR(B1283),MONTH(B1283),1)</f>
        <v>46235</v>
      </c>
      <c r="S1283" s="83" t="str">
        <f aca="false">YEAR(B1283)&amp;"-Q"&amp;ROUNDUP(MONTH(B1283)/3,0)</f>
        <v>2026-Q3</v>
      </c>
      <c r="T1283" s="87" t="n">
        <f aca="false">IF(O1283&gt;0,Q1283/O1283,"")</f>
        <v>0.422222222222222</v>
      </c>
      <c r="U1283" s="84" t="n">
        <f aca="false">IF(O1283&gt;0,O1283,"")</f>
        <v>450</v>
      </c>
    </row>
    <row r="1284" customFormat="false" ht="15" hidden="false" customHeight="false" outlineLevel="0" collapsed="false">
      <c r="A1284" s="81" t="s">
        <v>1927</v>
      </c>
      <c r="B1284" s="82" t="n">
        <v>46238</v>
      </c>
      <c r="C1284" s="81" t="s">
        <v>333</v>
      </c>
      <c r="D1284" s="83" t="str">
        <f aca="false">IFERROR(INDEX(c_Name,MATCH($C1284,c_ID,0)),"غير معرّف")</f>
        <v>جود الحربي</v>
      </c>
      <c r="E1284" s="83" t="str">
        <f aca="false">IFERROR(INDEX(c_Region,MATCH($C1284,c_ID,0)),"غير معرّف")</f>
        <v>الوسطى</v>
      </c>
      <c r="F1284" s="81" t="s">
        <v>182</v>
      </c>
      <c r="G1284" s="83" t="str">
        <f aca="false">IFERROR(INDEX(p_Name,MATCH($F1284,p_ID,0)),"غير معرّف")</f>
        <v>طقم أوزان</v>
      </c>
      <c r="H1284" s="83" t="str">
        <f aca="false">IFERROR(INDEX(p_Cat,MATCH($F1284,p_ID,0)),"غير معرّف")</f>
        <v>رياضة</v>
      </c>
      <c r="I1284" s="81" t="s">
        <v>446</v>
      </c>
      <c r="J1284" s="81" t="s">
        <v>91</v>
      </c>
      <c r="K1284" s="81" t="n">
        <v>1</v>
      </c>
      <c r="L1284" s="84" t="n">
        <f aca="false">IFERROR(INDEX(p_Price,MATCH($F1284,p_ID,0)),0)</f>
        <v>380</v>
      </c>
      <c r="M1284" s="85" t="n">
        <v>0</v>
      </c>
      <c r="N1284" s="81" t="s">
        <v>644</v>
      </c>
      <c r="O1284" s="84" t="n">
        <f aca="false">IF($N1284="مرتجع",0,K1284*L1284*(1-M1284))</f>
        <v>380</v>
      </c>
      <c r="P1284" s="84" t="n">
        <f aca="false">IF($N1284="مرتجع",0,K1284*IFERROR(INDEX(p_Cost,MATCH($F1284,p_ID,0)),0))</f>
        <v>210</v>
      </c>
      <c r="Q1284" s="84" t="n">
        <f aca="false">O1284-P1284</f>
        <v>170</v>
      </c>
      <c r="R1284" s="86" t="n">
        <f aca="false">DATE(YEAR(B1284),MONTH(B1284),1)</f>
        <v>46235</v>
      </c>
      <c r="S1284" s="83" t="str">
        <f aca="false">YEAR(B1284)&amp;"-Q"&amp;ROUNDUP(MONTH(B1284)/3,0)</f>
        <v>2026-Q3</v>
      </c>
      <c r="T1284" s="87" t="n">
        <f aca="false">IF(O1284&gt;0,Q1284/O1284,"")</f>
        <v>0.447368421052632</v>
      </c>
      <c r="U1284" s="84" t="n">
        <f aca="false">IF(O1284&gt;0,O1284,"")</f>
        <v>380</v>
      </c>
    </row>
    <row r="1285" customFormat="false" ht="15" hidden="false" customHeight="false" outlineLevel="0" collapsed="false">
      <c r="A1285" s="81" t="s">
        <v>1928</v>
      </c>
      <c r="B1285" s="82" t="n">
        <v>46238</v>
      </c>
      <c r="C1285" s="81" t="s">
        <v>311</v>
      </c>
      <c r="D1285" s="83" t="str">
        <f aca="false">IFERROR(INDEX(c_Name,MATCH($C1285,c_ID,0)),"غير معرّف")</f>
        <v>لمى الحسيني</v>
      </c>
      <c r="E1285" s="83" t="str">
        <f aca="false">IFERROR(INDEX(c_Region,MATCH($C1285,c_ID,0)),"غير معرّف")</f>
        <v>الوسطى</v>
      </c>
      <c r="F1285" s="81" t="s">
        <v>171</v>
      </c>
      <c r="G1285" s="83" t="str">
        <f aca="false">IFERROR(INDEX(p_Name,MATCH($F1285,p_ID,0)),"غير معرّف")</f>
        <v>قلاية هوائية</v>
      </c>
      <c r="H1285" s="83" t="str">
        <f aca="false">IFERROR(INDEX(p_Cat,MATCH($F1285,p_ID,0)),"غير معرّف")</f>
        <v>أجهزة منزلية</v>
      </c>
      <c r="I1285" s="81" t="s">
        <v>443</v>
      </c>
      <c r="J1285" s="81" t="s">
        <v>91</v>
      </c>
      <c r="K1285" s="81" t="n">
        <v>1</v>
      </c>
      <c r="L1285" s="84" t="n">
        <f aca="false">IFERROR(INDEX(p_Price,MATCH($F1285,p_ID,0)),0)</f>
        <v>520</v>
      </c>
      <c r="M1285" s="85" t="n">
        <v>0.05</v>
      </c>
      <c r="N1285" s="81" t="s">
        <v>644</v>
      </c>
      <c r="O1285" s="84" t="n">
        <f aca="false">IF($N1285="مرتجع",0,K1285*L1285*(1-M1285))</f>
        <v>494</v>
      </c>
      <c r="P1285" s="84" t="n">
        <f aca="false">IF($N1285="مرتجع",0,K1285*IFERROR(INDEX(p_Cost,MATCH($F1285,p_ID,0)),0))</f>
        <v>300</v>
      </c>
      <c r="Q1285" s="84" t="n">
        <f aca="false">O1285-P1285</f>
        <v>194</v>
      </c>
      <c r="R1285" s="86" t="n">
        <f aca="false">DATE(YEAR(B1285),MONTH(B1285),1)</f>
        <v>46235</v>
      </c>
      <c r="S1285" s="83" t="str">
        <f aca="false">YEAR(B1285)&amp;"-Q"&amp;ROUNDUP(MONTH(B1285)/3,0)</f>
        <v>2026-Q3</v>
      </c>
      <c r="T1285" s="87" t="n">
        <f aca="false">IF(O1285&gt;0,Q1285/O1285,"")</f>
        <v>0.392712550607287</v>
      </c>
      <c r="U1285" s="84" t="n">
        <f aca="false">IF(O1285&gt;0,O1285,"")</f>
        <v>494</v>
      </c>
    </row>
    <row r="1286" customFormat="false" ht="15" hidden="false" customHeight="false" outlineLevel="0" collapsed="false">
      <c r="A1286" s="81" t="s">
        <v>1929</v>
      </c>
      <c r="B1286" s="82" t="n">
        <v>46239</v>
      </c>
      <c r="C1286" s="81" t="s">
        <v>393</v>
      </c>
      <c r="D1286" s="83" t="str">
        <f aca="false">IFERROR(INDEX(c_Name,MATCH($C1286,c_ID,0)),"غير معرّف")</f>
        <v>عبير التميمي</v>
      </c>
      <c r="E1286" s="83" t="str">
        <f aca="false">IFERROR(INDEX(c_Region,MATCH($C1286,c_ID,0)),"غير معرّف")</f>
        <v>الغربية</v>
      </c>
      <c r="F1286" s="81" t="s">
        <v>166</v>
      </c>
      <c r="G1286" s="83" t="str">
        <f aca="false">IFERROR(INDEX(p_Name,MATCH($F1286,p_ID,0)),"غير معرّف")</f>
        <v>سماعات لاسلكية</v>
      </c>
      <c r="H1286" s="83" t="str">
        <f aca="false">IFERROR(INDEX(p_Cat,MATCH($F1286,p_ID,0)),"غير معرّف")</f>
        <v>إلكترونيات</v>
      </c>
      <c r="I1286" s="81" t="s">
        <v>455</v>
      </c>
      <c r="J1286" s="81" t="s">
        <v>93</v>
      </c>
      <c r="K1286" s="81" t="n">
        <v>1</v>
      </c>
      <c r="L1286" s="84" t="n">
        <f aca="false">IFERROR(INDEX(p_Price,MATCH($F1286,p_ID,0)),0)</f>
        <v>450</v>
      </c>
      <c r="M1286" s="85" t="n">
        <v>0.2</v>
      </c>
      <c r="N1286" s="81" t="s">
        <v>644</v>
      </c>
      <c r="O1286" s="84" t="n">
        <f aca="false">IF($N1286="مرتجع",0,K1286*L1286*(1-M1286))</f>
        <v>360</v>
      </c>
      <c r="P1286" s="84" t="n">
        <f aca="false">IF($N1286="مرتجع",0,K1286*IFERROR(INDEX(p_Cost,MATCH($F1286,p_ID,0)),0))</f>
        <v>260</v>
      </c>
      <c r="Q1286" s="84" t="n">
        <f aca="false">O1286-P1286</f>
        <v>100</v>
      </c>
      <c r="R1286" s="86" t="n">
        <f aca="false">DATE(YEAR(B1286),MONTH(B1286),1)</f>
        <v>46235</v>
      </c>
      <c r="S1286" s="83" t="str">
        <f aca="false">YEAR(B1286)&amp;"-Q"&amp;ROUNDUP(MONTH(B1286)/3,0)</f>
        <v>2026-Q3</v>
      </c>
      <c r="T1286" s="87" t="n">
        <f aca="false">IF(O1286&gt;0,Q1286/O1286,"")</f>
        <v>0.277777777777778</v>
      </c>
      <c r="U1286" s="84" t="n">
        <f aca="false">IF(O1286&gt;0,O1286,"")</f>
        <v>360</v>
      </c>
    </row>
    <row r="1287" customFormat="false" ht="15" hidden="false" customHeight="false" outlineLevel="0" collapsed="false">
      <c r="A1287" s="81" t="s">
        <v>1930</v>
      </c>
      <c r="B1287" s="82" t="n">
        <v>46240</v>
      </c>
      <c r="C1287" s="81" t="s">
        <v>264</v>
      </c>
      <c r="D1287" s="83" t="str">
        <f aca="false">IFERROR(INDEX(c_Name,MATCH($C1287,c_ID,0)),"غير معرّف")</f>
        <v>عبدالله التميمي</v>
      </c>
      <c r="E1287" s="83" t="str">
        <f aca="false">IFERROR(INDEX(c_Region,MATCH($C1287,c_ID,0)),"غير معرّف")</f>
        <v>الوسطى</v>
      </c>
      <c r="F1287" s="81" t="s">
        <v>185</v>
      </c>
      <c r="G1287" s="83" t="str">
        <f aca="false">IFERROR(INDEX(p_Name,MATCH($F1287,p_ID,0)),"غير معرّف")</f>
        <v>ماكينة حلاقة</v>
      </c>
      <c r="H1287" s="83" t="str">
        <f aca="false">IFERROR(INDEX(p_Cat,MATCH($F1287,p_ID,0)),"غير معرّف")</f>
        <v>عناية شخصية</v>
      </c>
      <c r="I1287" s="81" t="s">
        <v>449</v>
      </c>
      <c r="J1287" s="81" t="s">
        <v>91</v>
      </c>
      <c r="K1287" s="81" t="n">
        <v>4</v>
      </c>
      <c r="L1287" s="84" t="n">
        <f aca="false">IFERROR(INDEX(p_Price,MATCH($F1287,p_ID,0)),0)</f>
        <v>340</v>
      </c>
      <c r="M1287" s="85" t="n">
        <v>0.05</v>
      </c>
      <c r="N1287" s="81" t="s">
        <v>644</v>
      </c>
      <c r="O1287" s="84" t="n">
        <f aca="false">IF($N1287="مرتجع",0,K1287*L1287*(1-M1287))</f>
        <v>1292</v>
      </c>
      <c r="P1287" s="84" t="n">
        <f aca="false">IF($N1287="مرتجع",0,K1287*IFERROR(INDEX(p_Cost,MATCH($F1287,p_ID,0)),0))</f>
        <v>680</v>
      </c>
      <c r="Q1287" s="84" t="n">
        <f aca="false">O1287-P1287</f>
        <v>612</v>
      </c>
      <c r="R1287" s="86" t="n">
        <f aca="false">DATE(YEAR(B1287),MONTH(B1287),1)</f>
        <v>46235</v>
      </c>
      <c r="S1287" s="83" t="str">
        <f aca="false">YEAR(B1287)&amp;"-Q"&amp;ROUNDUP(MONTH(B1287)/3,0)</f>
        <v>2026-Q3</v>
      </c>
      <c r="T1287" s="87" t="n">
        <f aca="false">IF(O1287&gt;0,Q1287/O1287,"")</f>
        <v>0.473684210526316</v>
      </c>
      <c r="U1287" s="84" t="n">
        <f aca="false">IF(O1287&gt;0,O1287,"")</f>
        <v>1292</v>
      </c>
    </row>
    <row r="1288" customFormat="false" ht="15" hidden="false" customHeight="false" outlineLevel="0" collapsed="false">
      <c r="A1288" s="81" t="s">
        <v>1931</v>
      </c>
      <c r="B1288" s="82" t="n">
        <v>46240</v>
      </c>
      <c r="C1288" s="81" t="s">
        <v>266</v>
      </c>
      <c r="D1288" s="83" t="str">
        <f aca="false">IFERROR(INDEX(c_Name,MATCH($C1288,c_ID,0)),"غير معرّف")</f>
        <v>ياسر الشهري</v>
      </c>
      <c r="E1288" s="83" t="str">
        <f aca="false">IFERROR(INDEX(c_Region,MATCH($C1288,c_ID,0)),"غير معرّف")</f>
        <v>الوسطى</v>
      </c>
      <c r="F1288" s="81" t="s">
        <v>166</v>
      </c>
      <c r="G1288" s="83" t="str">
        <f aca="false">IFERROR(INDEX(p_Name,MATCH($F1288,p_ID,0)),"غير معرّف")</f>
        <v>سماعات لاسلكية</v>
      </c>
      <c r="H1288" s="83" t="str">
        <f aca="false">IFERROR(INDEX(p_Cat,MATCH($F1288,p_ID,0)),"غير معرّف")</f>
        <v>إلكترونيات</v>
      </c>
      <c r="I1288" s="81" t="s">
        <v>449</v>
      </c>
      <c r="J1288" s="81" t="s">
        <v>93</v>
      </c>
      <c r="K1288" s="81" t="n">
        <v>2</v>
      </c>
      <c r="L1288" s="84" t="n">
        <f aca="false">IFERROR(INDEX(p_Price,MATCH($F1288,p_ID,0)),0)</f>
        <v>450</v>
      </c>
      <c r="M1288" s="85" t="n">
        <v>0.1</v>
      </c>
      <c r="N1288" s="81" t="s">
        <v>644</v>
      </c>
      <c r="O1288" s="84" t="n">
        <f aca="false">IF($N1288="مرتجع",0,K1288*L1288*(1-M1288))</f>
        <v>810</v>
      </c>
      <c r="P1288" s="84" t="n">
        <f aca="false">IF($N1288="مرتجع",0,K1288*IFERROR(INDEX(p_Cost,MATCH($F1288,p_ID,0)),0))</f>
        <v>520</v>
      </c>
      <c r="Q1288" s="84" t="n">
        <f aca="false">O1288-P1288</f>
        <v>290</v>
      </c>
      <c r="R1288" s="86" t="n">
        <f aca="false">DATE(YEAR(B1288),MONTH(B1288),1)</f>
        <v>46235</v>
      </c>
      <c r="S1288" s="83" t="str">
        <f aca="false">YEAR(B1288)&amp;"-Q"&amp;ROUNDUP(MONTH(B1288)/3,0)</f>
        <v>2026-Q3</v>
      </c>
      <c r="T1288" s="87" t="n">
        <f aca="false">IF(O1288&gt;0,Q1288/O1288,"")</f>
        <v>0.358024691358025</v>
      </c>
      <c r="U1288" s="84" t="n">
        <f aca="false">IF(O1288&gt;0,O1288,"")</f>
        <v>810</v>
      </c>
    </row>
    <row r="1289" customFormat="false" ht="15" hidden="false" customHeight="false" outlineLevel="0" collapsed="false">
      <c r="A1289" s="81" t="s">
        <v>1932</v>
      </c>
      <c r="B1289" s="82" t="n">
        <v>46240</v>
      </c>
      <c r="C1289" s="81" t="s">
        <v>405</v>
      </c>
      <c r="D1289" s="83" t="str">
        <f aca="false">IFERROR(INDEX(c_Name,MATCH($C1289,c_ID,0)),"غير معرّف")</f>
        <v>طارق التميمي</v>
      </c>
      <c r="E1289" s="83" t="str">
        <f aca="false">IFERROR(INDEX(c_Region,MATCH($C1289,c_ID,0)),"غير معرّف")</f>
        <v>الوسطى</v>
      </c>
      <c r="F1289" s="81" t="s">
        <v>171</v>
      </c>
      <c r="G1289" s="83" t="str">
        <f aca="false">IFERROR(INDEX(p_Name,MATCH($F1289,p_ID,0)),"غير معرّف")</f>
        <v>قلاية هوائية</v>
      </c>
      <c r="H1289" s="83" t="str">
        <f aca="false">IFERROR(INDEX(p_Cat,MATCH($F1289,p_ID,0)),"غير معرّف")</f>
        <v>أجهزة منزلية</v>
      </c>
      <c r="I1289" s="81" t="s">
        <v>449</v>
      </c>
      <c r="J1289" s="81" t="s">
        <v>93</v>
      </c>
      <c r="K1289" s="81" t="n">
        <v>3</v>
      </c>
      <c r="L1289" s="84" t="n">
        <f aca="false">IFERROR(INDEX(p_Price,MATCH($F1289,p_ID,0)),0)</f>
        <v>520</v>
      </c>
      <c r="M1289" s="85" t="n">
        <v>0.1</v>
      </c>
      <c r="N1289" s="81" t="s">
        <v>644</v>
      </c>
      <c r="O1289" s="84" t="n">
        <f aca="false">IF($N1289="مرتجع",0,K1289*L1289*(1-M1289))</f>
        <v>1404</v>
      </c>
      <c r="P1289" s="84" t="n">
        <f aca="false">IF($N1289="مرتجع",0,K1289*IFERROR(INDEX(p_Cost,MATCH($F1289,p_ID,0)),0))</f>
        <v>900</v>
      </c>
      <c r="Q1289" s="84" t="n">
        <f aca="false">O1289-P1289</f>
        <v>504</v>
      </c>
      <c r="R1289" s="86" t="n">
        <f aca="false">DATE(YEAR(B1289),MONTH(B1289),1)</f>
        <v>46235</v>
      </c>
      <c r="S1289" s="83" t="str">
        <f aca="false">YEAR(B1289)&amp;"-Q"&amp;ROUNDUP(MONTH(B1289)/3,0)</f>
        <v>2026-Q3</v>
      </c>
      <c r="T1289" s="87" t="n">
        <f aca="false">IF(O1289&gt;0,Q1289/O1289,"")</f>
        <v>0.358974358974359</v>
      </c>
      <c r="U1289" s="84" t="n">
        <f aca="false">IF(O1289&gt;0,O1289,"")</f>
        <v>1404</v>
      </c>
    </row>
    <row r="1290" customFormat="false" ht="15" hidden="false" customHeight="false" outlineLevel="0" collapsed="false">
      <c r="A1290" s="81" t="s">
        <v>1933</v>
      </c>
      <c r="B1290" s="82" t="n">
        <v>46240</v>
      </c>
      <c r="C1290" s="81" t="s">
        <v>367</v>
      </c>
      <c r="D1290" s="83" t="str">
        <f aca="false">IFERROR(INDEX(c_Name,MATCH($C1290,c_ID,0)),"غير معرّف")</f>
        <v>سارة الحربي</v>
      </c>
      <c r="E1290" s="83" t="str">
        <f aca="false">IFERROR(INDEX(c_Region,MATCH($C1290,c_ID,0)),"غير معرّف")</f>
        <v>الغربية</v>
      </c>
      <c r="F1290" s="81" t="s">
        <v>176</v>
      </c>
      <c r="G1290" s="83" t="str">
        <f aca="false">IFERROR(INDEX(p_Name,MATCH($F1290,p_ID,0)),"غير معرّف")</f>
        <v>طابعة ليزر</v>
      </c>
      <c r="H1290" s="83" t="str">
        <f aca="false">IFERROR(INDEX(p_Cat,MATCH($F1290,p_ID,0)),"غير معرّف")</f>
        <v>مستلزمات مكتبية</v>
      </c>
      <c r="I1290" s="81" t="s">
        <v>452</v>
      </c>
      <c r="J1290" s="81" t="s">
        <v>93</v>
      </c>
      <c r="K1290" s="81" t="n">
        <v>4</v>
      </c>
      <c r="L1290" s="84" t="n">
        <f aca="false">IFERROR(INDEX(p_Price,MATCH($F1290,p_ID,0)),0)</f>
        <v>1300</v>
      </c>
      <c r="M1290" s="85" t="n">
        <v>0</v>
      </c>
      <c r="N1290" s="81" t="s">
        <v>644</v>
      </c>
      <c r="O1290" s="84" t="n">
        <f aca="false">IF($N1290="مرتجع",0,K1290*L1290*(1-M1290))</f>
        <v>5200</v>
      </c>
      <c r="P1290" s="84" t="n">
        <f aca="false">IF($N1290="مرتجع",0,K1290*IFERROR(INDEX(p_Cost,MATCH($F1290,p_ID,0)),0))</f>
        <v>3800</v>
      </c>
      <c r="Q1290" s="84" t="n">
        <f aca="false">O1290-P1290</f>
        <v>1400</v>
      </c>
      <c r="R1290" s="86" t="n">
        <f aca="false">DATE(YEAR(B1290),MONTH(B1290),1)</f>
        <v>46235</v>
      </c>
      <c r="S1290" s="83" t="str">
        <f aca="false">YEAR(B1290)&amp;"-Q"&amp;ROUNDUP(MONTH(B1290)/3,0)</f>
        <v>2026-Q3</v>
      </c>
      <c r="T1290" s="87" t="n">
        <f aca="false">IF(O1290&gt;0,Q1290/O1290,"")</f>
        <v>0.269230769230769</v>
      </c>
      <c r="U1290" s="84" t="n">
        <f aca="false">IF(O1290&gt;0,O1290,"")</f>
        <v>5200</v>
      </c>
    </row>
    <row r="1291" customFormat="false" ht="15" hidden="false" customHeight="false" outlineLevel="0" collapsed="false">
      <c r="A1291" s="81" t="s">
        <v>1934</v>
      </c>
      <c r="B1291" s="82" t="n">
        <v>46241</v>
      </c>
      <c r="C1291" s="81" t="s">
        <v>311</v>
      </c>
      <c r="D1291" s="83" t="str">
        <f aca="false">IFERROR(INDEX(c_Name,MATCH($C1291,c_ID,0)),"غير معرّف")</f>
        <v>لمى الحسيني</v>
      </c>
      <c r="E1291" s="83" t="str">
        <f aca="false">IFERROR(INDEX(c_Region,MATCH($C1291,c_ID,0)),"غير معرّف")</f>
        <v>الوسطى</v>
      </c>
      <c r="F1291" s="81" t="s">
        <v>170</v>
      </c>
      <c r="G1291" s="83" t="str">
        <f aca="false">IFERROR(INDEX(p_Name,MATCH($F1291,p_ID,0)),"غير معرّف")</f>
        <v>مكيف نقال</v>
      </c>
      <c r="H1291" s="83" t="str">
        <f aca="false">IFERROR(INDEX(p_Cat,MATCH($F1291,p_ID,0)),"غير معرّف")</f>
        <v>أجهزة منزلية</v>
      </c>
      <c r="I1291" s="81" t="s">
        <v>443</v>
      </c>
      <c r="J1291" s="81" t="s">
        <v>93</v>
      </c>
      <c r="K1291" s="81" t="n">
        <v>1</v>
      </c>
      <c r="L1291" s="84" t="n">
        <f aca="false">IFERROR(INDEX(p_Price,MATCH($F1291,p_ID,0)),0)</f>
        <v>1900</v>
      </c>
      <c r="M1291" s="85" t="n">
        <v>0.05</v>
      </c>
      <c r="N1291" s="81" t="s">
        <v>644</v>
      </c>
      <c r="O1291" s="84" t="n">
        <f aca="false">IF($N1291="مرتجع",0,K1291*L1291*(1-M1291))</f>
        <v>1805</v>
      </c>
      <c r="P1291" s="84" t="n">
        <f aca="false">IF($N1291="مرتجع",0,K1291*IFERROR(INDEX(p_Cost,MATCH($F1291,p_ID,0)),0))</f>
        <v>1350</v>
      </c>
      <c r="Q1291" s="84" t="n">
        <f aca="false">O1291-P1291</f>
        <v>455</v>
      </c>
      <c r="R1291" s="86" t="n">
        <f aca="false">DATE(YEAR(B1291),MONTH(B1291),1)</f>
        <v>46235</v>
      </c>
      <c r="S1291" s="83" t="str">
        <f aca="false">YEAR(B1291)&amp;"-Q"&amp;ROUNDUP(MONTH(B1291)/3,0)</f>
        <v>2026-Q3</v>
      </c>
      <c r="T1291" s="87" t="n">
        <f aca="false">IF(O1291&gt;0,Q1291/O1291,"")</f>
        <v>0.25207756232687</v>
      </c>
      <c r="U1291" s="84" t="n">
        <f aca="false">IF(O1291&gt;0,O1291,"")</f>
        <v>1805</v>
      </c>
    </row>
    <row r="1292" customFormat="false" ht="15" hidden="false" customHeight="false" outlineLevel="0" collapsed="false">
      <c r="A1292" s="81" t="s">
        <v>1935</v>
      </c>
      <c r="B1292" s="82" t="n">
        <v>46241</v>
      </c>
      <c r="C1292" s="81" t="s">
        <v>363</v>
      </c>
      <c r="D1292" s="83" t="str">
        <f aca="false">IFERROR(INDEX(c_Name,MATCH($C1292,c_ID,0)),"غير معرّف")</f>
        <v>سلمان البلوي</v>
      </c>
      <c r="E1292" s="83" t="str">
        <f aca="false">IFERROR(INDEX(c_Region,MATCH($C1292,c_ID,0)),"غير معرّف")</f>
        <v>الوسطى</v>
      </c>
      <c r="F1292" s="81" t="s">
        <v>187</v>
      </c>
      <c r="G1292" s="83" t="str">
        <f aca="false">IFERROR(INDEX(p_Name,MATCH($F1292,p_ID,0)),"غير معرّف")</f>
        <v>جهاز تدليك</v>
      </c>
      <c r="H1292" s="83" t="str">
        <f aca="false">IFERROR(INDEX(p_Cat,MATCH($F1292,p_ID,0)),"غير معرّف")</f>
        <v>عناية شخصية</v>
      </c>
      <c r="I1292" s="81" t="s">
        <v>446</v>
      </c>
      <c r="J1292" s="81" t="s">
        <v>91</v>
      </c>
      <c r="K1292" s="81" t="n">
        <v>1</v>
      </c>
      <c r="L1292" s="84" t="n">
        <f aca="false">IFERROR(INDEX(p_Price,MATCH($F1292,p_ID,0)),0)</f>
        <v>600</v>
      </c>
      <c r="M1292" s="85" t="n">
        <v>0</v>
      </c>
      <c r="N1292" s="81" t="s">
        <v>644</v>
      </c>
      <c r="O1292" s="84" t="n">
        <f aca="false">IF($N1292="مرتجع",0,K1292*L1292*(1-M1292))</f>
        <v>600</v>
      </c>
      <c r="P1292" s="84" t="n">
        <f aca="false">IF($N1292="مرتجع",0,K1292*IFERROR(INDEX(p_Cost,MATCH($F1292,p_ID,0)),0))</f>
        <v>330</v>
      </c>
      <c r="Q1292" s="84" t="n">
        <f aca="false">O1292-P1292</f>
        <v>270</v>
      </c>
      <c r="R1292" s="86" t="n">
        <f aca="false">DATE(YEAR(B1292),MONTH(B1292),1)</f>
        <v>46235</v>
      </c>
      <c r="S1292" s="83" t="str">
        <f aca="false">YEAR(B1292)&amp;"-Q"&amp;ROUNDUP(MONTH(B1292)/3,0)</f>
        <v>2026-Q3</v>
      </c>
      <c r="T1292" s="87" t="n">
        <f aca="false">IF(O1292&gt;0,Q1292/O1292,"")</f>
        <v>0.45</v>
      </c>
      <c r="U1292" s="84" t="n">
        <f aca="false">IF(O1292&gt;0,O1292,"")</f>
        <v>600</v>
      </c>
    </row>
    <row r="1293" customFormat="false" ht="15" hidden="false" customHeight="false" outlineLevel="0" collapsed="false">
      <c r="A1293" s="81" t="s">
        <v>1936</v>
      </c>
      <c r="B1293" s="82" t="n">
        <v>46241</v>
      </c>
      <c r="C1293" s="81" t="s">
        <v>287</v>
      </c>
      <c r="D1293" s="83" t="str">
        <f aca="false">IFERROR(INDEX(c_Name,MATCH($C1293,c_ID,0)),"غير معرّف")</f>
        <v>محمد الشهري</v>
      </c>
      <c r="E1293" s="83" t="str">
        <f aca="false">IFERROR(INDEX(c_Region,MATCH($C1293,c_ID,0)),"غير معرّف")</f>
        <v>الغربية</v>
      </c>
      <c r="F1293" s="81" t="s">
        <v>169</v>
      </c>
      <c r="G1293" s="83" t="str">
        <f aca="false">IFERROR(INDEX(p_Name,MATCH($F1293,p_ID,0)),"غير معرّف")</f>
        <v>خلاط</v>
      </c>
      <c r="H1293" s="83" t="str">
        <f aca="false">IFERROR(INDEX(p_Cat,MATCH($F1293,p_ID,0)),"غير معرّف")</f>
        <v>أجهزة منزلية</v>
      </c>
      <c r="I1293" s="81" t="s">
        <v>458</v>
      </c>
      <c r="J1293" s="81" t="s">
        <v>95</v>
      </c>
      <c r="K1293" s="81" t="n">
        <v>4</v>
      </c>
      <c r="L1293" s="84" t="n">
        <f aca="false">IFERROR(INDEX(p_Price,MATCH($F1293,p_ID,0)),0)</f>
        <v>300</v>
      </c>
      <c r="M1293" s="85" t="n">
        <v>0.15</v>
      </c>
      <c r="N1293" s="81" t="s">
        <v>644</v>
      </c>
      <c r="O1293" s="84" t="n">
        <f aca="false">IF($N1293="مرتجع",0,K1293*L1293*(1-M1293))</f>
        <v>1020</v>
      </c>
      <c r="P1293" s="84" t="n">
        <f aca="false">IF($N1293="مرتجع",0,K1293*IFERROR(INDEX(p_Cost,MATCH($F1293,p_ID,0)),0))</f>
        <v>700</v>
      </c>
      <c r="Q1293" s="84" t="n">
        <f aca="false">O1293-P1293</f>
        <v>320</v>
      </c>
      <c r="R1293" s="86" t="n">
        <f aca="false">DATE(YEAR(B1293),MONTH(B1293),1)</f>
        <v>46235</v>
      </c>
      <c r="S1293" s="83" t="str">
        <f aca="false">YEAR(B1293)&amp;"-Q"&amp;ROUNDUP(MONTH(B1293)/3,0)</f>
        <v>2026-Q3</v>
      </c>
      <c r="T1293" s="87" t="n">
        <f aca="false">IF(O1293&gt;0,Q1293/O1293,"")</f>
        <v>0.313725490196078</v>
      </c>
      <c r="U1293" s="84" t="n">
        <f aca="false">IF(O1293&gt;0,O1293,"")</f>
        <v>1020</v>
      </c>
    </row>
    <row r="1294" customFormat="false" ht="15" hidden="false" customHeight="false" outlineLevel="0" collapsed="false">
      <c r="A1294" s="81" t="s">
        <v>1937</v>
      </c>
      <c r="B1294" s="82" t="n">
        <v>46241</v>
      </c>
      <c r="C1294" s="81" t="s">
        <v>339</v>
      </c>
      <c r="D1294" s="83" t="str">
        <f aca="false">IFERROR(INDEX(c_Name,MATCH($C1294,c_ID,0)),"غير معرّف")</f>
        <v>خالد السبيعي</v>
      </c>
      <c r="E1294" s="83" t="str">
        <f aca="false">IFERROR(INDEX(c_Region,MATCH($C1294,c_ID,0)),"غير معرّف")</f>
        <v>الجنوبية</v>
      </c>
      <c r="F1294" s="81" t="s">
        <v>175</v>
      </c>
      <c r="G1294" s="83" t="str">
        <f aca="false">IFERROR(INDEX(p_Name,MATCH($F1294,p_ID,0)),"غير معرّف")</f>
        <v>رف كتب</v>
      </c>
      <c r="H1294" s="83" t="str">
        <f aca="false">IFERROR(INDEX(p_Cat,MATCH($F1294,p_ID,0)),"غير معرّف")</f>
        <v>أثاث</v>
      </c>
      <c r="I1294" s="81" t="s">
        <v>465</v>
      </c>
      <c r="J1294" s="81" t="s">
        <v>91</v>
      </c>
      <c r="K1294" s="81" t="n">
        <v>21</v>
      </c>
      <c r="L1294" s="84" t="n">
        <f aca="false">IFERROR(INDEX(p_Price,MATCH($F1294,p_ID,0)),0)</f>
        <v>400</v>
      </c>
      <c r="M1294" s="85" t="n">
        <v>0</v>
      </c>
      <c r="N1294" s="81" t="s">
        <v>644</v>
      </c>
      <c r="O1294" s="84" t="n">
        <f aca="false">IF($N1294="مرتجع",0,K1294*L1294*(1-M1294))</f>
        <v>8400</v>
      </c>
      <c r="P1294" s="84" t="n">
        <f aca="false">IF($N1294="مرتجع",0,K1294*IFERROR(INDEX(p_Cost,MATCH($F1294,p_ID,0)),0))</f>
        <v>4620</v>
      </c>
      <c r="Q1294" s="84" t="n">
        <f aca="false">O1294-P1294</f>
        <v>3780</v>
      </c>
      <c r="R1294" s="86" t="n">
        <f aca="false">DATE(YEAR(B1294),MONTH(B1294),1)</f>
        <v>46235</v>
      </c>
      <c r="S1294" s="83" t="str">
        <f aca="false">YEAR(B1294)&amp;"-Q"&amp;ROUNDUP(MONTH(B1294)/3,0)</f>
        <v>2026-Q3</v>
      </c>
      <c r="T1294" s="87" t="n">
        <f aca="false">IF(O1294&gt;0,Q1294/O1294,"")</f>
        <v>0.45</v>
      </c>
      <c r="U1294" s="84" t="n">
        <f aca="false">IF(O1294&gt;0,O1294,"")</f>
        <v>8400</v>
      </c>
    </row>
    <row r="1295" customFormat="false" ht="15" hidden="false" customHeight="false" outlineLevel="0" collapsed="false">
      <c r="A1295" s="81" t="s">
        <v>1938</v>
      </c>
      <c r="B1295" s="82" t="n">
        <v>46241</v>
      </c>
      <c r="C1295" s="81" t="s">
        <v>418</v>
      </c>
      <c r="D1295" s="83" t="str">
        <f aca="false">IFERROR(INDEX(c_Name,MATCH($C1295,c_ID,0)),"غير معرّف")</f>
        <v>ياسر الزهراني</v>
      </c>
      <c r="E1295" s="83" t="str">
        <f aca="false">IFERROR(INDEX(c_Region,MATCH($C1295,c_ID,0)),"غير معرّف")</f>
        <v>الشرقية</v>
      </c>
      <c r="F1295" s="81" t="s">
        <v>175</v>
      </c>
      <c r="G1295" s="83" t="str">
        <f aca="false">IFERROR(INDEX(p_Name,MATCH($F1295,p_ID,0)),"غير معرّف")</f>
        <v>رف كتب</v>
      </c>
      <c r="H1295" s="83" t="str">
        <f aca="false">IFERROR(INDEX(p_Cat,MATCH($F1295,p_ID,0)),"غير معرّف")</f>
        <v>أثاث</v>
      </c>
      <c r="I1295" s="81" t="s">
        <v>463</v>
      </c>
      <c r="J1295" s="81" t="s">
        <v>93</v>
      </c>
      <c r="K1295" s="81" t="n">
        <v>3</v>
      </c>
      <c r="L1295" s="84" t="n">
        <f aca="false">IFERROR(INDEX(p_Price,MATCH($F1295,p_ID,0)),0)</f>
        <v>400</v>
      </c>
      <c r="M1295" s="85" t="n">
        <v>0</v>
      </c>
      <c r="N1295" s="81" t="s">
        <v>644</v>
      </c>
      <c r="O1295" s="84" t="n">
        <f aca="false">IF($N1295="مرتجع",0,K1295*L1295*(1-M1295))</f>
        <v>1200</v>
      </c>
      <c r="P1295" s="84" t="n">
        <f aca="false">IF($N1295="مرتجع",0,K1295*IFERROR(INDEX(p_Cost,MATCH($F1295,p_ID,0)),0))</f>
        <v>660</v>
      </c>
      <c r="Q1295" s="84" t="n">
        <f aca="false">O1295-P1295</f>
        <v>540</v>
      </c>
      <c r="R1295" s="86" t="n">
        <f aca="false">DATE(YEAR(B1295),MONTH(B1295),1)</f>
        <v>46235</v>
      </c>
      <c r="S1295" s="83" t="str">
        <f aca="false">YEAR(B1295)&amp;"-Q"&amp;ROUNDUP(MONTH(B1295)/3,0)</f>
        <v>2026-Q3</v>
      </c>
      <c r="T1295" s="87" t="n">
        <f aca="false">IF(O1295&gt;0,Q1295/O1295,"")</f>
        <v>0.45</v>
      </c>
      <c r="U1295" s="84" t="n">
        <f aca="false">IF(O1295&gt;0,O1295,"")</f>
        <v>1200</v>
      </c>
    </row>
    <row r="1296" customFormat="false" ht="15" hidden="false" customHeight="false" outlineLevel="0" collapsed="false">
      <c r="A1296" s="81" t="s">
        <v>1939</v>
      </c>
      <c r="B1296" s="82" t="n">
        <v>46242</v>
      </c>
      <c r="C1296" s="81" t="s">
        <v>373</v>
      </c>
      <c r="D1296" s="83" t="str">
        <f aca="false">IFERROR(INDEX(c_Name,MATCH($C1296,c_ID,0)),"غير معرّف")</f>
        <v>عبير البلوي</v>
      </c>
      <c r="E1296" s="83" t="str">
        <f aca="false">IFERROR(INDEX(c_Region,MATCH($C1296,c_ID,0)),"غير معرّف")</f>
        <v>الغربية</v>
      </c>
      <c r="F1296" s="81" t="s">
        <v>178</v>
      </c>
      <c r="G1296" s="83" t="str">
        <f aca="false">IFERROR(INDEX(p_Name,MATCH($F1296,p_ID,0)),"غير معرّف")</f>
        <v>حقيبة لابتوب</v>
      </c>
      <c r="H1296" s="83" t="str">
        <f aca="false">IFERROR(INDEX(p_Cat,MATCH($F1296,p_ID,0)),"غير معرّف")</f>
        <v>مستلزمات مكتبية</v>
      </c>
      <c r="I1296" s="81" t="s">
        <v>458</v>
      </c>
      <c r="J1296" s="81" t="s">
        <v>93</v>
      </c>
      <c r="K1296" s="81" t="n">
        <v>3</v>
      </c>
      <c r="L1296" s="84" t="n">
        <f aca="false">IFERROR(INDEX(p_Price,MATCH($F1296,p_ID,0)),0)</f>
        <v>260</v>
      </c>
      <c r="M1296" s="85" t="n">
        <v>0.1</v>
      </c>
      <c r="N1296" s="81" t="s">
        <v>644</v>
      </c>
      <c r="O1296" s="84" t="n">
        <f aca="false">IF($N1296="مرتجع",0,K1296*L1296*(1-M1296))</f>
        <v>702</v>
      </c>
      <c r="P1296" s="84" t="n">
        <f aca="false">IF($N1296="مرتجع",0,K1296*IFERROR(INDEX(p_Cost,MATCH($F1296,p_ID,0)),0))</f>
        <v>360</v>
      </c>
      <c r="Q1296" s="84" t="n">
        <f aca="false">O1296-P1296</f>
        <v>342</v>
      </c>
      <c r="R1296" s="86" t="n">
        <f aca="false">DATE(YEAR(B1296),MONTH(B1296),1)</f>
        <v>46235</v>
      </c>
      <c r="S1296" s="83" t="str">
        <f aca="false">YEAR(B1296)&amp;"-Q"&amp;ROUNDUP(MONTH(B1296)/3,0)</f>
        <v>2026-Q3</v>
      </c>
      <c r="T1296" s="87" t="n">
        <f aca="false">IF(O1296&gt;0,Q1296/O1296,"")</f>
        <v>0.487179487179487</v>
      </c>
      <c r="U1296" s="84" t="n">
        <f aca="false">IF(O1296&gt;0,O1296,"")</f>
        <v>702</v>
      </c>
    </row>
    <row r="1297" customFormat="false" ht="15" hidden="false" customHeight="false" outlineLevel="0" collapsed="false">
      <c r="A1297" s="81" t="s">
        <v>1940</v>
      </c>
      <c r="B1297" s="82" t="n">
        <v>46242</v>
      </c>
      <c r="C1297" s="81" t="s">
        <v>417</v>
      </c>
      <c r="D1297" s="83" t="str">
        <f aca="false">IFERROR(INDEX(c_Name,MATCH($C1297,c_ID,0)),"غير معرّف")</f>
        <v>هند الحسيني</v>
      </c>
      <c r="E1297" s="83" t="str">
        <f aca="false">IFERROR(INDEX(c_Region,MATCH($C1297,c_ID,0)),"غير معرّف")</f>
        <v>الوسطى</v>
      </c>
      <c r="F1297" s="81" t="s">
        <v>171</v>
      </c>
      <c r="G1297" s="83" t="str">
        <f aca="false">IFERROR(INDEX(p_Name,MATCH($F1297,p_ID,0)),"غير معرّف")</f>
        <v>قلاية هوائية</v>
      </c>
      <c r="H1297" s="83" t="str">
        <f aca="false">IFERROR(INDEX(p_Cat,MATCH($F1297,p_ID,0)),"غير معرّف")</f>
        <v>أجهزة منزلية</v>
      </c>
      <c r="I1297" s="81" t="s">
        <v>446</v>
      </c>
      <c r="J1297" s="81" t="s">
        <v>95</v>
      </c>
      <c r="K1297" s="81" t="n">
        <v>8</v>
      </c>
      <c r="L1297" s="84" t="n">
        <f aca="false">IFERROR(INDEX(p_Price,MATCH($F1297,p_ID,0)),0)</f>
        <v>520</v>
      </c>
      <c r="M1297" s="85" t="n">
        <v>0.15</v>
      </c>
      <c r="N1297" s="81" t="s">
        <v>644</v>
      </c>
      <c r="O1297" s="84" t="n">
        <f aca="false">IF($N1297="مرتجع",0,K1297*L1297*(1-M1297))</f>
        <v>3536</v>
      </c>
      <c r="P1297" s="84" t="n">
        <f aca="false">IF($N1297="مرتجع",0,K1297*IFERROR(INDEX(p_Cost,MATCH($F1297,p_ID,0)),0))</f>
        <v>2400</v>
      </c>
      <c r="Q1297" s="84" t="n">
        <f aca="false">O1297-P1297</f>
        <v>1136</v>
      </c>
      <c r="R1297" s="86" t="n">
        <f aca="false">DATE(YEAR(B1297),MONTH(B1297),1)</f>
        <v>46235</v>
      </c>
      <c r="S1297" s="83" t="str">
        <f aca="false">YEAR(B1297)&amp;"-Q"&amp;ROUNDUP(MONTH(B1297)/3,0)</f>
        <v>2026-Q3</v>
      </c>
      <c r="T1297" s="87" t="n">
        <f aca="false">IF(O1297&gt;0,Q1297/O1297,"")</f>
        <v>0.321266968325792</v>
      </c>
      <c r="U1297" s="84" t="n">
        <f aca="false">IF(O1297&gt;0,O1297,"")</f>
        <v>3536</v>
      </c>
    </row>
    <row r="1298" customFormat="false" ht="15" hidden="false" customHeight="false" outlineLevel="0" collapsed="false">
      <c r="A1298" s="81" t="s">
        <v>1941</v>
      </c>
      <c r="B1298" s="82" t="n">
        <v>46243</v>
      </c>
      <c r="C1298" s="81" t="s">
        <v>394</v>
      </c>
      <c r="D1298" s="83" t="str">
        <f aca="false">IFERROR(INDEX(c_Name,MATCH($C1298,c_ID,0)),"غير معرّف")</f>
        <v>طارق الغامدي</v>
      </c>
      <c r="E1298" s="83" t="str">
        <f aca="false">IFERROR(INDEX(c_Region,MATCH($C1298,c_ID,0)),"غير معرّف")</f>
        <v>الشرقية</v>
      </c>
      <c r="F1298" s="81" t="s">
        <v>177</v>
      </c>
      <c r="G1298" s="83" t="str">
        <f aca="false">IFERROR(INDEX(p_Name,MATCH($F1298,p_ID,0)),"غير معرّف")</f>
        <v>ورق A4 (صندوق)</v>
      </c>
      <c r="H1298" s="83" t="str">
        <f aca="false">IFERROR(INDEX(p_Cat,MATCH($F1298,p_ID,0)),"غير معرّف")</f>
        <v>مستلزمات مكتبية</v>
      </c>
      <c r="I1298" s="81" t="s">
        <v>463</v>
      </c>
      <c r="J1298" s="81" t="s">
        <v>93</v>
      </c>
      <c r="K1298" s="81" t="n">
        <v>1</v>
      </c>
      <c r="L1298" s="84" t="n">
        <f aca="false">IFERROR(INDEX(p_Price,MATCH($F1298,p_ID,0)),0)</f>
        <v>140</v>
      </c>
      <c r="M1298" s="85" t="n">
        <v>0.2</v>
      </c>
      <c r="N1298" s="81" t="s">
        <v>644</v>
      </c>
      <c r="O1298" s="84" t="n">
        <f aca="false">IF($N1298="مرتجع",0,K1298*L1298*(1-M1298))</f>
        <v>112</v>
      </c>
      <c r="P1298" s="84" t="n">
        <f aca="false">IF($N1298="مرتجع",0,K1298*IFERROR(INDEX(p_Cost,MATCH($F1298,p_ID,0)),0))</f>
        <v>95</v>
      </c>
      <c r="Q1298" s="84" t="n">
        <f aca="false">O1298-P1298</f>
        <v>17</v>
      </c>
      <c r="R1298" s="86" t="n">
        <f aca="false">DATE(YEAR(B1298),MONTH(B1298),1)</f>
        <v>46235</v>
      </c>
      <c r="S1298" s="83" t="str">
        <f aca="false">YEAR(B1298)&amp;"-Q"&amp;ROUNDUP(MONTH(B1298)/3,0)</f>
        <v>2026-Q3</v>
      </c>
      <c r="T1298" s="87" t="n">
        <f aca="false">IF(O1298&gt;0,Q1298/O1298,"")</f>
        <v>0.151785714285714</v>
      </c>
      <c r="U1298" s="84" t="n">
        <f aca="false">IF(O1298&gt;0,O1298,"")</f>
        <v>112</v>
      </c>
    </row>
    <row r="1299" customFormat="false" ht="15" hidden="false" customHeight="false" outlineLevel="0" collapsed="false">
      <c r="A1299" s="81" t="s">
        <v>1942</v>
      </c>
      <c r="B1299" s="82" t="n">
        <v>46243</v>
      </c>
      <c r="C1299" s="81" t="s">
        <v>287</v>
      </c>
      <c r="D1299" s="83" t="str">
        <f aca="false">IFERROR(INDEX(c_Name,MATCH($C1299,c_ID,0)),"غير معرّف")</f>
        <v>محمد الشهري</v>
      </c>
      <c r="E1299" s="83" t="str">
        <f aca="false">IFERROR(INDEX(c_Region,MATCH($C1299,c_ID,0)),"غير معرّف")</f>
        <v>الغربية</v>
      </c>
      <c r="F1299" s="81" t="s">
        <v>176</v>
      </c>
      <c r="G1299" s="83" t="str">
        <f aca="false">IFERROR(INDEX(p_Name,MATCH($F1299,p_ID,0)),"غير معرّف")</f>
        <v>طابعة ليزر</v>
      </c>
      <c r="H1299" s="83" t="str">
        <f aca="false">IFERROR(INDEX(p_Cat,MATCH($F1299,p_ID,0)),"غير معرّف")</f>
        <v>مستلزمات مكتبية</v>
      </c>
      <c r="I1299" s="81" t="s">
        <v>452</v>
      </c>
      <c r="J1299" s="81" t="s">
        <v>91</v>
      </c>
      <c r="K1299" s="81" t="n">
        <v>8</v>
      </c>
      <c r="L1299" s="84" t="n">
        <f aca="false">IFERROR(INDEX(p_Price,MATCH($F1299,p_ID,0)),0)</f>
        <v>1300</v>
      </c>
      <c r="M1299" s="85" t="n">
        <v>0.05</v>
      </c>
      <c r="N1299" s="81" t="s">
        <v>644</v>
      </c>
      <c r="O1299" s="84" t="n">
        <f aca="false">IF($N1299="مرتجع",0,K1299*L1299*(1-M1299))</f>
        <v>9880</v>
      </c>
      <c r="P1299" s="84" t="n">
        <f aca="false">IF($N1299="مرتجع",0,K1299*IFERROR(INDEX(p_Cost,MATCH($F1299,p_ID,0)),0))</f>
        <v>7600</v>
      </c>
      <c r="Q1299" s="84" t="n">
        <f aca="false">O1299-P1299</f>
        <v>2280</v>
      </c>
      <c r="R1299" s="86" t="n">
        <f aca="false">DATE(YEAR(B1299),MONTH(B1299),1)</f>
        <v>46235</v>
      </c>
      <c r="S1299" s="83" t="str">
        <f aca="false">YEAR(B1299)&amp;"-Q"&amp;ROUNDUP(MONTH(B1299)/3,0)</f>
        <v>2026-Q3</v>
      </c>
      <c r="T1299" s="87" t="n">
        <f aca="false">IF(O1299&gt;0,Q1299/O1299,"")</f>
        <v>0.230769230769231</v>
      </c>
      <c r="U1299" s="84" t="n">
        <f aca="false">IF(O1299&gt;0,O1299,"")</f>
        <v>9880</v>
      </c>
    </row>
    <row r="1300" customFormat="false" ht="15" hidden="false" customHeight="false" outlineLevel="0" collapsed="false">
      <c r="A1300" s="81" t="s">
        <v>1943</v>
      </c>
      <c r="B1300" s="82" t="n">
        <v>46243</v>
      </c>
      <c r="C1300" s="81" t="s">
        <v>342</v>
      </c>
      <c r="D1300" s="83" t="str">
        <f aca="false">IFERROR(INDEX(c_Name,MATCH($C1300,c_ID,0)),"غير معرّف")</f>
        <v>دانة الحربي</v>
      </c>
      <c r="E1300" s="83" t="str">
        <f aca="false">IFERROR(INDEX(c_Region,MATCH($C1300,c_ID,0)),"غير معرّف")</f>
        <v>الشرقية</v>
      </c>
      <c r="F1300" s="81" t="s">
        <v>179</v>
      </c>
      <c r="G1300" s="83" t="str">
        <f aca="false">IFERROR(INDEX(p_Name,MATCH($F1300,p_ID,0)),"غير معرّف")</f>
        <v>طقم أدوات مكتبية</v>
      </c>
      <c r="H1300" s="83" t="str">
        <f aca="false">IFERROR(INDEX(p_Cat,MATCH($F1300,p_ID,0)),"غير معرّف")</f>
        <v>مستلزمات مكتبية</v>
      </c>
      <c r="I1300" s="81" t="s">
        <v>463</v>
      </c>
      <c r="J1300" s="81" t="s">
        <v>93</v>
      </c>
      <c r="K1300" s="81" t="n">
        <v>1</v>
      </c>
      <c r="L1300" s="84" t="n">
        <f aca="false">IFERROR(INDEX(p_Price,MATCH($F1300,p_ID,0)),0)</f>
        <v>90</v>
      </c>
      <c r="M1300" s="85" t="n">
        <v>0.05</v>
      </c>
      <c r="N1300" s="81" t="s">
        <v>644</v>
      </c>
      <c r="O1300" s="84" t="n">
        <f aca="false">IF($N1300="مرتجع",0,K1300*L1300*(1-M1300))</f>
        <v>85.5</v>
      </c>
      <c r="P1300" s="84" t="n">
        <f aca="false">IF($N1300="مرتجع",0,K1300*IFERROR(INDEX(p_Cost,MATCH($F1300,p_ID,0)),0))</f>
        <v>45</v>
      </c>
      <c r="Q1300" s="84" t="n">
        <f aca="false">O1300-P1300</f>
        <v>40.5</v>
      </c>
      <c r="R1300" s="86" t="n">
        <f aca="false">DATE(YEAR(B1300),MONTH(B1300),1)</f>
        <v>46235</v>
      </c>
      <c r="S1300" s="83" t="str">
        <f aca="false">YEAR(B1300)&amp;"-Q"&amp;ROUNDUP(MONTH(B1300)/3,0)</f>
        <v>2026-Q3</v>
      </c>
      <c r="T1300" s="87" t="n">
        <f aca="false">IF(O1300&gt;0,Q1300/O1300,"")</f>
        <v>0.473684210526316</v>
      </c>
      <c r="U1300" s="84" t="n">
        <f aca="false">IF(O1300&gt;0,O1300,"")</f>
        <v>85.5</v>
      </c>
    </row>
    <row r="1301" customFormat="false" ht="15" hidden="false" customHeight="false" outlineLevel="0" collapsed="false">
      <c r="A1301" s="81" t="s">
        <v>1944</v>
      </c>
      <c r="B1301" s="82" t="n">
        <v>46244</v>
      </c>
      <c r="C1301" s="81" t="s">
        <v>233</v>
      </c>
      <c r="D1301" s="83" t="str">
        <f aca="false">IFERROR(INDEX(c_Name,MATCH($C1301,c_ID,0)),"غير معرّف")</f>
        <v>سلمان الخالدي</v>
      </c>
      <c r="E1301" s="83" t="str">
        <f aca="false">IFERROR(INDEX(c_Region,MATCH($C1301,c_ID,0)),"غير معرّف")</f>
        <v>الشرقية</v>
      </c>
      <c r="F1301" s="81" t="s">
        <v>166</v>
      </c>
      <c r="G1301" s="83" t="str">
        <f aca="false">IFERROR(INDEX(p_Name,MATCH($F1301,p_ID,0)),"غير معرّف")</f>
        <v>سماعات لاسلكية</v>
      </c>
      <c r="H1301" s="83" t="str">
        <f aca="false">IFERROR(INDEX(p_Cat,MATCH($F1301,p_ID,0)),"غير معرّف")</f>
        <v>إلكترونيات</v>
      </c>
      <c r="I1301" s="81" t="s">
        <v>461</v>
      </c>
      <c r="J1301" s="81" t="s">
        <v>91</v>
      </c>
      <c r="K1301" s="81" t="n">
        <v>1</v>
      </c>
      <c r="L1301" s="84" t="n">
        <f aca="false">IFERROR(INDEX(p_Price,MATCH($F1301,p_ID,0)),0)</f>
        <v>450</v>
      </c>
      <c r="M1301" s="85" t="n">
        <v>0.2</v>
      </c>
      <c r="N1301" s="81" t="s">
        <v>644</v>
      </c>
      <c r="O1301" s="84" t="n">
        <f aca="false">IF($N1301="مرتجع",0,K1301*L1301*(1-M1301))</f>
        <v>360</v>
      </c>
      <c r="P1301" s="84" t="n">
        <f aca="false">IF($N1301="مرتجع",0,K1301*IFERROR(INDEX(p_Cost,MATCH($F1301,p_ID,0)),0))</f>
        <v>260</v>
      </c>
      <c r="Q1301" s="84" t="n">
        <f aca="false">O1301-P1301</f>
        <v>100</v>
      </c>
      <c r="R1301" s="86" t="n">
        <f aca="false">DATE(YEAR(B1301),MONTH(B1301),1)</f>
        <v>46235</v>
      </c>
      <c r="S1301" s="83" t="str">
        <f aca="false">YEAR(B1301)&amp;"-Q"&amp;ROUNDUP(MONTH(B1301)/3,0)</f>
        <v>2026-Q3</v>
      </c>
      <c r="T1301" s="87" t="n">
        <f aca="false">IF(O1301&gt;0,Q1301/O1301,"")</f>
        <v>0.277777777777778</v>
      </c>
      <c r="U1301" s="84" t="n">
        <f aca="false">IF(O1301&gt;0,O1301,"")</f>
        <v>360</v>
      </c>
    </row>
    <row r="1302" customFormat="false" ht="15" hidden="false" customHeight="false" outlineLevel="0" collapsed="false">
      <c r="A1302" s="81" t="s">
        <v>1945</v>
      </c>
      <c r="B1302" s="82" t="n">
        <v>46244</v>
      </c>
      <c r="C1302" s="81" t="s">
        <v>404</v>
      </c>
      <c r="D1302" s="83" t="str">
        <f aca="false">IFERROR(INDEX(c_Name,MATCH($C1302,c_ID,0)),"غير معرّف")</f>
        <v>عبدالله الحسيني</v>
      </c>
      <c r="E1302" s="83" t="str">
        <f aca="false">IFERROR(INDEX(c_Region,MATCH($C1302,c_ID,0)),"غير معرّف")</f>
        <v>الشرقية</v>
      </c>
      <c r="F1302" s="81" t="s">
        <v>164</v>
      </c>
      <c r="G1302" s="83" t="str">
        <f aca="false">IFERROR(INDEX(p_Name,MATCH($F1302,p_ID,0)),"غير معرّف")</f>
        <v>هاتف ذكي</v>
      </c>
      <c r="H1302" s="83" t="str">
        <f aca="false">IFERROR(INDEX(p_Cat,MATCH($F1302,p_ID,0)),"غير معرّف")</f>
        <v>إلكترونيات</v>
      </c>
      <c r="I1302" s="81" t="s">
        <v>461</v>
      </c>
      <c r="J1302" s="81" t="s">
        <v>91</v>
      </c>
      <c r="K1302" s="81" t="n">
        <v>1</v>
      </c>
      <c r="L1302" s="84" t="n">
        <f aca="false">IFERROR(INDEX(p_Price,MATCH($F1302,p_ID,0)),0)</f>
        <v>2400</v>
      </c>
      <c r="M1302" s="85" t="n">
        <v>0</v>
      </c>
      <c r="N1302" s="81" t="s">
        <v>644</v>
      </c>
      <c r="O1302" s="84" t="n">
        <f aca="false">IF($N1302="مرتجع",0,K1302*L1302*(1-M1302))</f>
        <v>2400</v>
      </c>
      <c r="P1302" s="84" t="n">
        <f aca="false">IF($N1302="مرتجع",0,K1302*IFERROR(INDEX(p_Cost,MATCH($F1302,p_ID,0)),0))</f>
        <v>1750</v>
      </c>
      <c r="Q1302" s="84" t="n">
        <f aca="false">O1302-P1302</f>
        <v>650</v>
      </c>
      <c r="R1302" s="86" t="n">
        <f aca="false">DATE(YEAR(B1302),MONTH(B1302),1)</f>
        <v>46235</v>
      </c>
      <c r="S1302" s="83" t="str">
        <f aca="false">YEAR(B1302)&amp;"-Q"&amp;ROUNDUP(MONTH(B1302)/3,0)</f>
        <v>2026-Q3</v>
      </c>
      <c r="T1302" s="87" t="n">
        <f aca="false">IF(O1302&gt;0,Q1302/O1302,"")</f>
        <v>0.270833333333333</v>
      </c>
      <c r="U1302" s="84" t="n">
        <f aca="false">IF(O1302&gt;0,O1302,"")</f>
        <v>2400</v>
      </c>
    </row>
    <row r="1303" customFormat="false" ht="15" hidden="false" customHeight="false" outlineLevel="0" collapsed="false">
      <c r="A1303" s="81" t="s">
        <v>1946</v>
      </c>
      <c r="B1303" s="82" t="n">
        <v>46246</v>
      </c>
      <c r="C1303" s="81" t="s">
        <v>392</v>
      </c>
      <c r="D1303" s="83" t="str">
        <f aca="false">IFERROR(INDEX(c_Name,MATCH($C1303,c_ID,0)),"غير معرّف")</f>
        <v>ريم الزهراني</v>
      </c>
      <c r="E1303" s="83" t="str">
        <f aca="false">IFERROR(INDEX(c_Region,MATCH($C1303,c_ID,0)),"غير معرّف")</f>
        <v>الوسطى</v>
      </c>
      <c r="F1303" s="81" t="s">
        <v>169</v>
      </c>
      <c r="G1303" s="83" t="str">
        <f aca="false">IFERROR(INDEX(p_Name,MATCH($F1303,p_ID,0)),"غير معرّف")</f>
        <v>خلاط</v>
      </c>
      <c r="H1303" s="83" t="str">
        <f aca="false">IFERROR(INDEX(p_Cat,MATCH($F1303,p_ID,0)),"غير معرّف")</f>
        <v>أجهزة منزلية</v>
      </c>
      <c r="I1303" s="81" t="s">
        <v>449</v>
      </c>
      <c r="J1303" s="81" t="s">
        <v>91</v>
      </c>
      <c r="K1303" s="81" t="n">
        <v>1</v>
      </c>
      <c r="L1303" s="84" t="n">
        <f aca="false">IFERROR(INDEX(p_Price,MATCH($F1303,p_ID,0)),0)</f>
        <v>300</v>
      </c>
      <c r="M1303" s="85" t="n">
        <v>0</v>
      </c>
      <c r="N1303" s="81" t="s">
        <v>644</v>
      </c>
      <c r="O1303" s="84" t="n">
        <f aca="false">IF($N1303="مرتجع",0,K1303*L1303*(1-M1303))</f>
        <v>300</v>
      </c>
      <c r="P1303" s="84" t="n">
        <f aca="false">IF($N1303="مرتجع",0,K1303*IFERROR(INDEX(p_Cost,MATCH($F1303,p_ID,0)),0))</f>
        <v>175</v>
      </c>
      <c r="Q1303" s="84" t="n">
        <f aca="false">O1303-P1303</f>
        <v>125</v>
      </c>
      <c r="R1303" s="86" t="n">
        <f aca="false">DATE(YEAR(B1303),MONTH(B1303),1)</f>
        <v>46235</v>
      </c>
      <c r="S1303" s="83" t="str">
        <f aca="false">YEAR(B1303)&amp;"-Q"&amp;ROUNDUP(MONTH(B1303)/3,0)</f>
        <v>2026-Q3</v>
      </c>
      <c r="T1303" s="87" t="n">
        <f aca="false">IF(O1303&gt;0,Q1303/O1303,"")</f>
        <v>0.416666666666667</v>
      </c>
      <c r="U1303" s="84" t="n">
        <f aca="false">IF(O1303&gt;0,O1303,"")</f>
        <v>300</v>
      </c>
    </row>
    <row r="1304" customFormat="false" ht="15" hidden="false" customHeight="false" outlineLevel="0" collapsed="false">
      <c r="A1304" s="81" t="s">
        <v>1947</v>
      </c>
      <c r="B1304" s="82" t="n">
        <v>46246</v>
      </c>
      <c r="C1304" s="81" t="s">
        <v>364</v>
      </c>
      <c r="D1304" s="83" t="str">
        <f aca="false">IFERROR(INDEX(c_Name,MATCH($C1304,c_ID,0)),"غير معرّف")</f>
        <v>عبير الدوسري</v>
      </c>
      <c r="E1304" s="83" t="str">
        <f aca="false">IFERROR(INDEX(c_Region,MATCH($C1304,c_ID,0)),"غير معرّف")</f>
        <v>الشرقية</v>
      </c>
      <c r="F1304" s="81" t="s">
        <v>164</v>
      </c>
      <c r="G1304" s="83" t="str">
        <f aca="false">IFERROR(INDEX(p_Name,MATCH($F1304,p_ID,0)),"غير معرّف")</f>
        <v>هاتف ذكي</v>
      </c>
      <c r="H1304" s="83" t="str">
        <f aca="false">IFERROR(INDEX(p_Cat,MATCH($F1304,p_ID,0)),"غير معرّف")</f>
        <v>إلكترونيات</v>
      </c>
      <c r="I1304" s="81" t="s">
        <v>461</v>
      </c>
      <c r="J1304" s="81" t="s">
        <v>91</v>
      </c>
      <c r="K1304" s="81" t="n">
        <v>1</v>
      </c>
      <c r="L1304" s="84" t="n">
        <f aca="false">IFERROR(INDEX(p_Price,MATCH($F1304,p_ID,0)),0)</f>
        <v>2400</v>
      </c>
      <c r="M1304" s="85" t="n">
        <v>0</v>
      </c>
      <c r="N1304" s="81" t="s">
        <v>644</v>
      </c>
      <c r="O1304" s="84" t="n">
        <f aca="false">IF($N1304="مرتجع",0,K1304*L1304*(1-M1304))</f>
        <v>2400</v>
      </c>
      <c r="P1304" s="84" t="n">
        <f aca="false">IF($N1304="مرتجع",0,K1304*IFERROR(INDEX(p_Cost,MATCH($F1304,p_ID,0)),0))</f>
        <v>1750</v>
      </c>
      <c r="Q1304" s="84" t="n">
        <f aca="false">O1304-P1304</f>
        <v>650</v>
      </c>
      <c r="R1304" s="86" t="n">
        <f aca="false">DATE(YEAR(B1304),MONTH(B1304),1)</f>
        <v>46235</v>
      </c>
      <c r="S1304" s="83" t="str">
        <f aca="false">YEAR(B1304)&amp;"-Q"&amp;ROUNDUP(MONTH(B1304)/3,0)</f>
        <v>2026-Q3</v>
      </c>
      <c r="T1304" s="87" t="n">
        <f aca="false">IF(O1304&gt;0,Q1304/O1304,"")</f>
        <v>0.270833333333333</v>
      </c>
      <c r="U1304" s="84" t="n">
        <f aca="false">IF(O1304&gt;0,O1304,"")</f>
        <v>2400</v>
      </c>
    </row>
    <row r="1305" customFormat="false" ht="15" hidden="false" customHeight="false" outlineLevel="0" collapsed="false">
      <c r="A1305" s="81" t="s">
        <v>1948</v>
      </c>
      <c r="B1305" s="82" t="n">
        <v>46246</v>
      </c>
      <c r="C1305" s="81" t="s">
        <v>361</v>
      </c>
      <c r="D1305" s="83" t="str">
        <f aca="false">IFERROR(INDEX(c_Name,MATCH($C1305,c_ID,0)),"غير معرّف")</f>
        <v>دانة المطيري</v>
      </c>
      <c r="E1305" s="83" t="str">
        <f aca="false">IFERROR(INDEX(c_Region,MATCH($C1305,c_ID,0)),"غير معرّف")</f>
        <v>الشرقية</v>
      </c>
      <c r="F1305" s="81" t="s">
        <v>183</v>
      </c>
      <c r="G1305" s="83" t="str">
        <f aca="false">IFERROR(INDEX(p_Name,MATCH($F1305,p_ID,0)),"غير معرّف")</f>
        <v>سجادة يوغا</v>
      </c>
      <c r="H1305" s="83" t="str">
        <f aca="false">IFERROR(INDEX(p_Cat,MATCH($F1305,p_ID,0)),"غير معرّف")</f>
        <v>رياضة</v>
      </c>
      <c r="I1305" s="81" t="s">
        <v>463</v>
      </c>
      <c r="J1305" s="81" t="s">
        <v>93</v>
      </c>
      <c r="K1305" s="81" t="n">
        <v>2</v>
      </c>
      <c r="L1305" s="84" t="n">
        <f aca="false">IFERROR(INDEX(p_Price,MATCH($F1305,p_ID,0)),0)</f>
        <v>120</v>
      </c>
      <c r="M1305" s="85" t="n">
        <v>0.05</v>
      </c>
      <c r="N1305" s="81" t="s">
        <v>644</v>
      </c>
      <c r="O1305" s="84" t="n">
        <f aca="false">IF($N1305="مرتجع",0,K1305*L1305*(1-M1305))</f>
        <v>228</v>
      </c>
      <c r="P1305" s="84" t="n">
        <f aca="false">IF($N1305="مرتجع",0,K1305*IFERROR(INDEX(p_Cost,MATCH($F1305,p_ID,0)),0))</f>
        <v>100</v>
      </c>
      <c r="Q1305" s="84" t="n">
        <f aca="false">O1305-P1305</f>
        <v>128</v>
      </c>
      <c r="R1305" s="86" t="n">
        <f aca="false">DATE(YEAR(B1305),MONTH(B1305),1)</f>
        <v>46235</v>
      </c>
      <c r="S1305" s="83" t="str">
        <f aca="false">YEAR(B1305)&amp;"-Q"&amp;ROUNDUP(MONTH(B1305)/3,0)</f>
        <v>2026-Q3</v>
      </c>
      <c r="T1305" s="87" t="n">
        <f aca="false">IF(O1305&gt;0,Q1305/O1305,"")</f>
        <v>0.56140350877193</v>
      </c>
      <c r="U1305" s="84" t="n">
        <f aca="false">IF(O1305&gt;0,O1305,"")</f>
        <v>228</v>
      </c>
    </row>
    <row r="1306" customFormat="false" ht="15" hidden="false" customHeight="false" outlineLevel="0" collapsed="false">
      <c r="A1306" s="81" t="s">
        <v>1949</v>
      </c>
      <c r="B1306" s="82" t="n">
        <v>46247</v>
      </c>
      <c r="C1306" s="81" t="s">
        <v>404</v>
      </c>
      <c r="D1306" s="83" t="str">
        <f aca="false">IFERROR(INDEX(c_Name,MATCH($C1306,c_ID,0)),"غير معرّف")</f>
        <v>عبدالله الحسيني</v>
      </c>
      <c r="E1306" s="83" t="str">
        <f aca="false">IFERROR(INDEX(c_Region,MATCH($C1306,c_ID,0)),"غير معرّف")</f>
        <v>الشرقية</v>
      </c>
      <c r="F1306" s="81" t="s">
        <v>170</v>
      </c>
      <c r="G1306" s="83" t="str">
        <f aca="false">IFERROR(INDEX(p_Name,MATCH($F1306,p_ID,0)),"غير معرّف")</f>
        <v>مكيف نقال</v>
      </c>
      <c r="H1306" s="83" t="str">
        <f aca="false">IFERROR(INDEX(p_Cat,MATCH($F1306,p_ID,0)),"غير معرّف")</f>
        <v>أجهزة منزلية</v>
      </c>
      <c r="I1306" s="81" t="s">
        <v>463</v>
      </c>
      <c r="J1306" s="81" t="s">
        <v>91</v>
      </c>
      <c r="K1306" s="81" t="n">
        <v>1</v>
      </c>
      <c r="L1306" s="84" t="n">
        <f aca="false">IFERROR(INDEX(p_Price,MATCH($F1306,p_ID,0)),0)</f>
        <v>1900</v>
      </c>
      <c r="M1306" s="85" t="n">
        <v>0</v>
      </c>
      <c r="N1306" s="81" t="s">
        <v>644</v>
      </c>
      <c r="O1306" s="84" t="n">
        <f aca="false">IF($N1306="مرتجع",0,K1306*L1306*(1-M1306))</f>
        <v>1900</v>
      </c>
      <c r="P1306" s="84" t="n">
        <f aca="false">IF($N1306="مرتجع",0,K1306*IFERROR(INDEX(p_Cost,MATCH($F1306,p_ID,0)),0))</f>
        <v>1350</v>
      </c>
      <c r="Q1306" s="84" t="n">
        <f aca="false">O1306-P1306</f>
        <v>550</v>
      </c>
      <c r="R1306" s="86" t="n">
        <f aca="false">DATE(YEAR(B1306),MONTH(B1306),1)</f>
        <v>46235</v>
      </c>
      <c r="S1306" s="83" t="str">
        <f aca="false">YEAR(B1306)&amp;"-Q"&amp;ROUNDUP(MONTH(B1306)/3,0)</f>
        <v>2026-Q3</v>
      </c>
      <c r="T1306" s="87" t="n">
        <f aca="false">IF(O1306&gt;0,Q1306/O1306,"")</f>
        <v>0.289473684210526</v>
      </c>
      <c r="U1306" s="84" t="n">
        <f aca="false">IF(O1306&gt;0,O1306,"")</f>
        <v>1900</v>
      </c>
    </row>
    <row r="1307" customFormat="false" ht="15" hidden="false" customHeight="false" outlineLevel="0" collapsed="false">
      <c r="A1307" s="81" t="s">
        <v>1950</v>
      </c>
      <c r="B1307" s="82" t="n">
        <v>46247</v>
      </c>
      <c r="C1307" s="81" t="s">
        <v>233</v>
      </c>
      <c r="D1307" s="83" t="str">
        <f aca="false">IFERROR(INDEX(c_Name,MATCH($C1307,c_ID,0)),"غير معرّف")</f>
        <v>سلمان الخالدي</v>
      </c>
      <c r="E1307" s="83" t="str">
        <f aca="false">IFERROR(INDEX(c_Region,MATCH($C1307,c_ID,0)),"غير معرّف")</f>
        <v>الشرقية</v>
      </c>
      <c r="F1307" s="81" t="s">
        <v>165</v>
      </c>
      <c r="G1307" s="83" t="str">
        <f aca="false">IFERROR(INDEX(p_Name,MATCH($F1307,p_ID,0)),"غير معرّف")</f>
        <v>حاسوب محمول</v>
      </c>
      <c r="H1307" s="83" t="str">
        <f aca="false">IFERROR(INDEX(p_Cat,MATCH($F1307,p_ID,0)),"غير معرّف")</f>
        <v>إلكترونيات</v>
      </c>
      <c r="I1307" s="81" t="s">
        <v>461</v>
      </c>
      <c r="J1307" s="81" t="s">
        <v>93</v>
      </c>
      <c r="K1307" s="81" t="n">
        <v>1</v>
      </c>
      <c r="L1307" s="84" t="n">
        <f aca="false">IFERROR(INDEX(p_Price,MATCH($F1307,p_ID,0)),0)</f>
        <v>3800</v>
      </c>
      <c r="M1307" s="85" t="n">
        <v>0.2</v>
      </c>
      <c r="N1307" s="81" t="s">
        <v>644</v>
      </c>
      <c r="O1307" s="84" t="n">
        <f aca="false">IF($N1307="مرتجع",0,K1307*L1307*(1-M1307))</f>
        <v>3040</v>
      </c>
      <c r="P1307" s="84" t="n">
        <f aca="false">IF($N1307="مرتجع",0,K1307*IFERROR(INDEX(p_Cost,MATCH($F1307,p_ID,0)),0))</f>
        <v>2900</v>
      </c>
      <c r="Q1307" s="84" t="n">
        <f aca="false">O1307-P1307</f>
        <v>140</v>
      </c>
      <c r="R1307" s="86" t="n">
        <f aca="false">DATE(YEAR(B1307),MONTH(B1307),1)</f>
        <v>46235</v>
      </c>
      <c r="S1307" s="83" t="str">
        <f aca="false">YEAR(B1307)&amp;"-Q"&amp;ROUNDUP(MONTH(B1307)/3,0)</f>
        <v>2026-Q3</v>
      </c>
      <c r="T1307" s="87" t="n">
        <f aca="false">IF(O1307&gt;0,Q1307/O1307,"")</f>
        <v>0.0460526315789474</v>
      </c>
      <c r="U1307" s="84" t="n">
        <f aca="false">IF(O1307&gt;0,O1307,"")</f>
        <v>3040</v>
      </c>
    </row>
    <row r="1308" customFormat="false" ht="15" hidden="false" customHeight="false" outlineLevel="0" collapsed="false">
      <c r="A1308" s="81" t="s">
        <v>1951</v>
      </c>
      <c r="B1308" s="82" t="n">
        <v>46247</v>
      </c>
      <c r="C1308" s="81" t="s">
        <v>268</v>
      </c>
      <c r="D1308" s="83" t="str">
        <f aca="false">IFERROR(INDEX(c_Name,MATCH($C1308,c_ID,0)),"غير معرّف")</f>
        <v>جود التميمي</v>
      </c>
      <c r="E1308" s="83" t="str">
        <f aca="false">IFERROR(INDEX(c_Region,MATCH($C1308,c_ID,0)),"غير معرّف")</f>
        <v>الغربية</v>
      </c>
      <c r="F1308" s="81" t="s">
        <v>183</v>
      </c>
      <c r="G1308" s="83" t="str">
        <f aca="false">IFERROR(INDEX(p_Name,MATCH($F1308,p_ID,0)),"غير معرّف")</f>
        <v>سجادة يوغا</v>
      </c>
      <c r="H1308" s="83" t="str">
        <f aca="false">IFERROR(INDEX(p_Cat,MATCH($F1308,p_ID,0)),"غير معرّف")</f>
        <v>رياضة</v>
      </c>
      <c r="I1308" s="81" t="s">
        <v>452</v>
      </c>
      <c r="J1308" s="81" t="s">
        <v>93</v>
      </c>
      <c r="K1308" s="81" t="n">
        <v>1</v>
      </c>
      <c r="L1308" s="84" t="n">
        <f aca="false">IFERROR(INDEX(p_Price,MATCH($F1308,p_ID,0)),0)</f>
        <v>120</v>
      </c>
      <c r="M1308" s="85" t="n">
        <v>0</v>
      </c>
      <c r="N1308" s="81" t="s">
        <v>644</v>
      </c>
      <c r="O1308" s="84" t="n">
        <f aca="false">IF($N1308="مرتجع",0,K1308*L1308*(1-M1308))</f>
        <v>120</v>
      </c>
      <c r="P1308" s="84" t="n">
        <f aca="false">IF($N1308="مرتجع",0,K1308*IFERROR(INDEX(p_Cost,MATCH($F1308,p_ID,0)),0))</f>
        <v>50</v>
      </c>
      <c r="Q1308" s="84" t="n">
        <f aca="false">O1308-P1308</f>
        <v>70</v>
      </c>
      <c r="R1308" s="86" t="n">
        <f aca="false">DATE(YEAR(B1308),MONTH(B1308),1)</f>
        <v>46235</v>
      </c>
      <c r="S1308" s="83" t="str">
        <f aca="false">YEAR(B1308)&amp;"-Q"&amp;ROUNDUP(MONTH(B1308)/3,0)</f>
        <v>2026-Q3</v>
      </c>
      <c r="T1308" s="87" t="n">
        <f aca="false">IF(O1308&gt;0,Q1308/O1308,"")</f>
        <v>0.583333333333333</v>
      </c>
      <c r="U1308" s="84" t="n">
        <f aca="false">IF(O1308&gt;0,O1308,"")</f>
        <v>120</v>
      </c>
    </row>
    <row r="1309" customFormat="false" ht="15" hidden="false" customHeight="false" outlineLevel="0" collapsed="false">
      <c r="A1309" s="81" t="s">
        <v>1952</v>
      </c>
      <c r="B1309" s="82" t="n">
        <v>46248</v>
      </c>
      <c r="C1309" s="81" t="s">
        <v>234</v>
      </c>
      <c r="D1309" s="83" t="str">
        <f aca="false">IFERROR(INDEX(c_Name,MATCH($C1309,c_ID,0)),"غير معرّف")</f>
        <v>هند الخالدي</v>
      </c>
      <c r="E1309" s="83" t="str">
        <f aca="false">IFERROR(INDEX(c_Region,MATCH($C1309,c_ID,0)),"غير معرّف")</f>
        <v>الوسطى</v>
      </c>
      <c r="F1309" s="81" t="s">
        <v>164</v>
      </c>
      <c r="G1309" s="83" t="str">
        <f aca="false">IFERROR(INDEX(p_Name,MATCH($F1309,p_ID,0)),"غير معرّف")</f>
        <v>هاتف ذكي</v>
      </c>
      <c r="H1309" s="83" t="str">
        <f aca="false">IFERROR(INDEX(p_Cat,MATCH($F1309,p_ID,0)),"غير معرّف")</f>
        <v>إلكترونيات</v>
      </c>
      <c r="I1309" s="81" t="s">
        <v>443</v>
      </c>
      <c r="J1309" s="81" t="s">
        <v>93</v>
      </c>
      <c r="K1309" s="81" t="n">
        <v>1</v>
      </c>
      <c r="L1309" s="84" t="n">
        <f aca="false">IFERROR(INDEX(p_Price,MATCH($F1309,p_ID,0)),0)</f>
        <v>2400</v>
      </c>
      <c r="M1309" s="85" t="n">
        <v>0.1</v>
      </c>
      <c r="N1309" s="81" t="s">
        <v>644</v>
      </c>
      <c r="O1309" s="84" t="n">
        <f aca="false">IF($N1309="مرتجع",0,K1309*L1309*(1-M1309))</f>
        <v>2160</v>
      </c>
      <c r="P1309" s="84" t="n">
        <f aca="false">IF($N1309="مرتجع",0,K1309*IFERROR(INDEX(p_Cost,MATCH($F1309,p_ID,0)),0))</f>
        <v>1750</v>
      </c>
      <c r="Q1309" s="84" t="n">
        <f aca="false">O1309-P1309</f>
        <v>410</v>
      </c>
      <c r="R1309" s="86" t="n">
        <f aca="false">DATE(YEAR(B1309),MONTH(B1309),1)</f>
        <v>46235</v>
      </c>
      <c r="S1309" s="83" t="str">
        <f aca="false">YEAR(B1309)&amp;"-Q"&amp;ROUNDUP(MONTH(B1309)/3,0)</f>
        <v>2026-Q3</v>
      </c>
      <c r="T1309" s="87" t="n">
        <f aca="false">IF(O1309&gt;0,Q1309/O1309,"")</f>
        <v>0.189814814814815</v>
      </c>
      <c r="U1309" s="84" t="n">
        <f aca="false">IF(O1309&gt;0,O1309,"")</f>
        <v>2160</v>
      </c>
    </row>
    <row r="1310" customFormat="false" ht="15" hidden="false" customHeight="false" outlineLevel="0" collapsed="false">
      <c r="A1310" s="81" t="s">
        <v>1953</v>
      </c>
      <c r="B1310" s="82" t="n">
        <v>46248</v>
      </c>
      <c r="C1310" s="81" t="s">
        <v>392</v>
      </c>
      <c r="D1310" s="83" t="str">
        <f aca="false">IFERROR(INDEX(c_Name,MATCH($C1310,c_ID,0)),"غير معرّف")</f>
        <v>ريم الزهراني</v>
      </c>
      <c r="E1310" s="83" t="str">
        <f aca="false">IFERROR(INDEX(c_Region,MATCH($C1310,c_ID,0)),"غير معرّف")</f>
        <v>الوسطى</v>
      </c>
      <c r="F1310" s="81" t="s">
        <v>165</v>
      </c>
      <c r="G1310" s="83" t="str">
        <f aca="false">IFERROR(INDEX(p_Name,MATCH($F1310,p_ID,0)),"غير معرّف")</f>
        <v>حاسوب محمول</v>
      </c>
      <c r="H1310" s="83" t="str">
        <f aca="false">IFERROR(INDEX(p_Cat,MATCH($F1310,p_ID,0)),"غير معرّف")</f>
        <v>إلكترونيات</v>
      </c>
      <c r="I1310" s="81" t="s">
        <v>446</v>
      </c>
      <c r="J1310" s="81" t="s">
        <v>93</v>
      </c>
      <c r="K1310" s="81" t="n">
        <v>1</v>
      </c>
      <c r="L1310" s="84" t="n">
        <f aca="false">IFERROR(INDEX(p_Price,MATCH($F1310,p_ID,0)),0)</f>
        <v>3800</v>
      </c>
      <c r="M1310" s="85" t="n">
        <v>0.05</v>
      </c>
      <c r="N1310" s="81" t="s">
        <v>644</v>
      </c>
      <c r="O1310" s="84" t="n">
        <f aca="false">IF($N1310="مرتجع",0,K1310*L1310*(1-M1310))</f>
        <v>3610</v>
      </c>
      <c r="P1310" s="84" t="n">
        <f aca="false">IF($N1310="مرتجع",0,K1310*IFERROR(INDEX(p_Cost,MATCH($F1310,p_ID,0)),0))</f>
        <v>2900</v>
      </c>
      <c r="Q1310" s="84" t="n">
        <f aca="false">O1310-P1310</f>
        <v>710</v>
      </c>
      <c r="R1310" s="86" t="n">
        <f aca="false">DATE(YEAR(B1310),MONTH(B1310),1)</f>
        <v>46235</v>
      </c>
      <c r="S1310" s="83" t="str">
        <f aca="false">YEAR(B1310)&amp;"-Q"&amp;ROUNDUP(MONTH(B1310)/3,0)</f>
        <v>2026-Q3</v>
      </c>
      <c r="T1310" s="87" t="n">
        <f aca="false">IF(O1310&gt;0,Q1310/O1310,"")</f>
        <v>0.196675900277008</v>
      </c>
      <c r="U1310" s="84" t="n">
        <f aca="false">IF(O1310&gt;0,O1310,"")</f>
        <v>3610</v>
      </c>
    </row>
    <row r="1311" customFormat="false" ht="15" hidden="false" customHeight="false" outlineLevel="0" collapsed="false">
      <c r="A1311" s="81" t="s">
        <v>1954</v>
      </c>
      <c r="B1311" s="82" t="n">
        <v>46248</v>
      </c>
      <c r="C1311" s="81" t="s">
        <v>266</v>
      </c>
      <c r="D1311" s="83" t="str">
        <f aca="false">IFERROR(INDEX(c_Name,MATCH($C1311,c_ID,0)),"غير معرّف")</f>
        <v>ياسر الشهري</v>
      </c>
      <c r="E1311" s="83" t="str">
        <f aca="false">IFERROR(INDEX(c_Region,MATCH($C1311,c_ID,0)),"غير معرّف")</f>
        <v>الوسطى</v>
      </c>
      <c r="F1311" s="81" t="s">
        <v>186</v>
      </c>
      <c r="G1311" s="83" t="str">
        <f aca="false">IFERROR(INDEX(p_Name,MATCH($F1311,p_ID,0)),"غير معرّف")</f>
        <v>مجفف شعر</v>
      </c>
      <c r="H1311" s="83" t="str">
        <f aca="false">IFERROR(INDEX(p_Cat,MATCH($F1311,p_ID,0)),"غير معرّف")</f>
        <v>عناية شخصية</v>
      </c>
      <c r="I1311" s="81" t="s">
        <v>449</v>
      </c>
      <c r="J1311" s="81" t="s">
        <v>91</v>
      </c>
      <c r="K1311" s="81" t="n">
        <v>3</v>
      </c>
      <c r="L1311" s="84" t="n">
        <f aca="false">IFERROR(INDEX(p_Price,MATCH($F1311,p_ID,0)),0)</f>
        <v>280</v>
      </c>
      <c r="M1311" s="85" t="n">
        <v>0.2</v>
      </c>
      <c r="N1311" s="81" t="s">
        <v>644</v>
      </c>
      <c r="O1311" s="84" t="n">
        <f aca="false">IF($N1311="مرتجع",0,K1311*L1311*(1-M1311))</f>
        <v>672</v>
      </c>
      <c r="P1311" s="84" t="n">
        <f aca="false">IF($N1311="مرتجع",0,K1311*IFERROR(INDEX(p_Cost,MATCH($F1311,p_ID,0)),0))</f>
        <v>420</v>
      </c>
      <c r="Q1311" s="84" t="n">
        <f aca="false">O1311-P1311</f>
        <v>252</v>
      </c>
      <c r="R1311" s="86" t="n">
        <f aca="false">DATE(YEAR(B1311),MONTH(B1311),1)</f>
        <v>46235</v>
      </c>
      <c r="S1311" s="83" t="str">
        <f aca="false">YEAR(B1311)&amp;"-Q"&amp;ROUNDUP(MONTH(B1311)/3,0)</f>
        <v>2026-Q3</v>
      </c>
      <c r="T1311" s="87" t="n">
        <f aca="false">IF(O1311&gt;0,Q1311/O1311,"")</f>
        <v>0.375</v>
      </c>
      <c r="U1311" s="84" t="n">
        <f aca="false">IF(O1311&gt;0,O1311,"")</f>
        <v>672</v>
      </c>
    </row>
    <row r="1312" customFormat="false" ht="15" hidden="false" customHeight="false" outlineLevel="0" collapsed="false">
      <c r="A1312" s="81" t="s">
        <v>1955</v>
      </c>
      <c r="B1312" s="82" t="n">
        <v>46248</v>
      </c>
      <c r="C1312" s="81" t="s">
        <v>387</v>
      </c>
      <c r="D1312" s="83" t="str">
        <f aca="false">IFERROR(INDEX(c_Name,MATCH($C1312,c_ID,0)),"غير معرّف")</f>
        <v>لمى الشمري</v>
      </c>
      <c r="E1312" s="83" t="str">
        <f aca="false">IFERROR(INDEX(c_Region,MATCH($C1312,c_ID,0)),"غير معرّف")</f>
        <v>الوسطى</v>
      </c>
      <c r="F1312" s="81" t="s">
        <v>186</v>
      </c>
      <c r="G1312" s="83" t="str">
        <f aca="false">IFERROR(INDEX(p_Name,MATCH($F1312,p_ID,0)),"غير معرّف")</f>
        <v>مجفف شعر</v>
      </c>
      <c r="H1312" s="83" t="str">
        <f aca="false">IFERROR(INDEX(p_Cat,MATCH($F1312,p_ID,0)),"غير معرّف")</f>
        <v>عناية شخصية</v>
      </c>
      <c r="I1312" s="81" t="s">
        <v>446</v>
      </c>
      <c r="J1312" s="81" t="s">
        <v>91</v>
      </c>
      <c r="K1312" s="81" t="n">
        <v>1</v>
      </c>
      <c r="L1312" s="84" t="n">
        <f aca="false">IFERROR(INDEX(p_Price,MATCH($F1312,p_ID,0)),0)</f>
        <v>280</v>
      </c>
      <c r="M1312" s="85" t="n">
        <v>0</v>
      </c>
      <c r="N1312" s="81" t="s">
        <v>644</v>
      </c>
      <c r="O1312" s="84" t="n">
        <f aca="false">IF($N1312="مرتجع",0,K1312*L1312*(1-M1312))</f>
        <v>280</v>
      </c>
      <c r="P1312" s="84" t="n">
        <f aca="false">IF($N1312="مرتجع",0,K1312*IFERROR(INDEX(p_Cost,MATCH($F1312,p_ID,0)),0))</f>
        <v>140</v>
      </c>
      <c r="Q1312" s="84" t="n">
        <f aca="false">O1312-P1312</f>
        <v>140</v>
      </c>
      <c r="R1312" s="86" t="n">
        <f aca="false">DATE(YEAR(B1312),MONTH(B1312),1)</f>
        <v>46235</v>
      </c>
      <c r="S1312" s="83" t="str">
        <f aca="false">YEAR(B1312)&amp;"-Q"&amp;ROUNDUP(MONTH(B1312)/3,0)</f>
        <v>2026-Q3</v>
      </c>
      <c r="T1312" s="87" t="n">
        <f aca="false">IF(O1312&gt;0,Q1312/O1312,"")</f>
        <v>0.5</v>
      </c>
      <c r="U1312" s="84" t="n">
        <f aca="false">IF(O1312&gt;0,O1312,"")</f>
        <v>280</v>
      </c>
    </row>
    <row r="1313" customFormat="false" ht="15" hidden="false" customHeight="false" outlineLevel="0" collapsed="false">
      <c r="A1313" s="81" t="s">
        <v>1956</v>
      </c>
      <c r="B1313" s="82" t="n">
        <v>46248</v>
      </c>
      <c r="C1313" s="81" t="s">
        <v>380</v>
      </c>
      <c r="D1313" s="83" t="str">
        <f aca="false">IFERROR(INDEX(c_Name,MATCH($C1313,c_ID,0)),"غير معرّف")</f>
        <v>عبدالله الغامدي</v>
      </c>
      <c r="E1313" s="83" t="str">
        <f aca="false">IFERROR(INDEX(c_Region,MATCH($C1313,c_ID,0)),"غير معرّف")</f>
        <v>الوسطى</v>
      </c>
      <c r="F1313" s="81" t="s">
        <v>178</v>
      </c>
      <c r="G1313" s="83" t="str">
        <f aca="false">IFERROR(INDEX(p_Name,MATCH($F1313,p_ID,0)),"غير معرّف")</f>
        <v>حقيبة لابتوب</v>
      </c>
      <c r="H1313" s="83" t="str">
        <f aca="false">IFERROR(INDEX(p_Cat,MATCH($F1313,p_ID,0)),"غير معرّف")</f>
        <v>مستلزمات مكتبية</v>
      </c>
      <c r="I1313" s="81" t="s">
        <v>443</v>
      </c>
      <c r="J1313" s="81" t="s">
        <v>93</v>
      </c>
      <c r="K1313" s="81" t="n">
        <v>1</v>
      </c>
      <c r="L1313" s="84" t="n">
        <f aca="false">IFERROR(INDEX(p_Price,MATCH($F1313,p_ID,0)),0)</f>
        <v>260</v>
      </c>
      <c r="M1313" s="85" t="n">
        <v>0.05</v>
      </c>
      <c r="N1313" s="81" t="s">
        <v>644</v>
      </c>
      <c r="O1313" s="84" t="n">
        <f aca="false">IF($N1313="مرتجع",0,K1313*L1313*(1-M1313))</f>
        <v>247</v>
      </c>
      <c r="P1313" s="84" t="n">
        <f aca="false">IF($N1313="مرتجع",0,K1313*IFERROR(INDEX(p_Cost,MATCH($F1313,p_ID,0)),0))</f>
        <v>120</v>
      </c>
      <c r="Q1313" s="84" t="n">
        <f aca="false">O1313-P1313</f>
        <v>127</v>
      </c>
      <c r="R1313" s="86" t="n">
        <f aca="false">DATE(YEAR(B1313),MONTH(B1313),1)</f>
        <v>46235</v>
      </c>
      <c r="S1313" s="83" t="str">
        <f aca="false">YEAR(B1313)&amp;"-Q"&amp;ROUNDUP(MONTH(B1313)/3,0)</f>
        <v>2026-Q3</v>
      </c>
      <c r="T1313" s="87" t="n">
        <f aca="false">IF(O1313&gt;0,Q1313/O1313,"")</f>
        <v>0.51417004048583</v>
      </c>
      <c r="U1313" s="84" t="n">
        <f aca="false">IF(O1313&gt;0,O1313,"")</f>
        <v>247</v>
      </c>
    </row>
    <row r="1314" customFormat="false" ht="15" hidden="false" customHeight="false" outlineLevel="0" collapsed="false">
      <c r="A1314" s="81" t="s">
        <v>1957</v>
      </c>
      <c r="B1314" s="82" t="n">
        <v>46249</v>
      </c>
      <c r="C1314" s="81" t="s">
        <v>386</v>
      </c>
      <c r="D1314" s="83" t="str">
        <f aca="false">IFERROR(INDEX(c_Name,MATCH($C1314,c_ID,0)),"غير معرّف")</f>
        <v>نورة الشمري</v>
      </c>
      <c r="E1314" s="83" t="str">
        <f aca="false">IFERROR(INDEX(c_Region,MATCH($C1314,c_ID,0)),"غير معرّف")</f>
        <v>الغربية</v>
      </c>
      <c r="F1314" s="81" t="s">
        <v>166</v>
      </c>
      <c r="G1314" s="83" t="str">
        <f aca="false">IFERROR(INDEX(p_Name,MATCH($F1314,p_ID,0)),"غير معرّف")</f>
        <v>سماعات لاسلكية</v>
      </c>
      <c r="H1314" s="83" t="str">
        <f aca="false">IFERROR(INDEX(p_Cat,MATCH($F1314,p_ID,0)),"غير معرّف")</f>
        <v>إلكترونيات</v>
      </c>
      <c r="I1314" s="81" t="s">
        <v>455</v>
      </c>
      <c r="J1314" s="81" t="s">
        <v>93</v>
      </c>
      <c r="K1314" s="81" t="n">
        <v>2</v>
      </c>
      <c r="L1314" s="84" t="n">
        <f aca="false">IFERROR(INDEX(p_Price,MATCH($F1314,p_ID,0)),0)</f>
        <v>450</v>
      </c>
      <c r="M1314" s="85" t="n">
        <v>0</v>
      </c>
      <c r="N1314" s="81" t="s">
        <v>644</v>
      </c>
      <c r="O1314" s="84" t="n">
        <f aca="false">IF($N1314="مرتجع",0,K1314*L1314*(1-M1314))</f>
        <v>900</v>
      </c>
      <c r="P1314" s="84" t="n">
        <f aca="false">IF($N1314="مرتجع",0,K1314*IFERROR(INDEX(p_Cost,MATCH($F1314,p_ID,0)),0))</f>
        <v>520</v>
      </c>
      <c r="Q1314" s="84" t="n">
        <f aca="false">O1314-P1314</f>
        <v>380</v>
      </c>
      <c r="R1314" s="86" t="n">
        <f aca="false">DATE(YEAR(B1314),MONTH(B1314),1)</f>
        <v>46235</v>
      </c>
      <c r="S1314" s="83" t="str">
        <f aca="false">YEAR(B1314)&amp;"-Q"&amp;ROUNDUP(MONTH(B1314)/3,0)</f>
        <v>2026-Q3</v>
      </c>
      <c r="T1314" s="87" t="n">
        <f aca="false">IF(O1314&gt;0,Q1314/O1314,"")</f>
        <v>0.422222222222222</v>
      </c>
      <c r="U1314" s="84" t="n">
        <f aca="false">IF(O1314&gt;0,O1314,"")</f>
        <v>900</v>
      </c>
    </row>
    <row r="1315" customFormat="false" ht="15" hidden="false" customHeight="false" outlineLevel="0" collapsed="false">
      <c r="A1315" s="81" t="s">
        <v>1958</v>
      </c>
      <c r="B1315" s="82" t="n">
        <v>46249</v>
      </c>
      <c r="C1315" s="81" t="s">
        <v>364</v>
      </c>
      <c r="D1315" s="83" t="str">
        <f aca="false">IFERROR(INDEX(c_Name,MATCH($C1315,c_ID,0)),"غير معرّف")</f>
        <v>عبير الدوسري</v>
      </c>
      <c r="E1315" s="83" t="str">
        <f aca="false">IFERROR(INDEX(c_Region,MATCH($C1315,c_ID,0)),"غير معرّف")</f>
        <v>الشرقية</v>
      </c>
      <c r="F1315" s="81" t="s">
        <v>175</v>
      </c>
      <c r="G1315" s="83" t="str">
        <f aca="false">IFERROR(INDEX(p_Name,MATCH($F1315,p_ID,0)),"غير معرّف")</f>
        <v>رف كتب</v>
      </c>
      <c r="H1315" s="83" t="str">
        <f aca="false">IFERROR(INDEX(p_Cat,MATCH($F1315,p_ID,0)),"غير معرّف")</f>
        <v>أثاث</v>
      </c>
      <c r="I1315" s="81" t="s">
        <v>463</v>
      </c>
      <c r="J1315" s="81" t="s">
        <v>93</v>
      </c>
      <c r="K1315" s="81" t="n">
        <v>3</v>
      </c>
      <c r="L1315" s="84" t="n">
        <f aca="false">IFERROR(INDEX(p_Price,MATCH($F1315,p_ID,0)),0)</f>
        <v>400</v>
      </c>
      <c r="M1315" s="85" t="n">
        <v>0</v>
      </c>
      <c r="N1315" s="81" t="s">
        <v>644</v>
      </c>
      <c r="O1315" s="84" t="n">
        <f aca="false">IF($N1315="مرتجع",0,K1315*L1315*(1-M1315))</f>
        <v>1200</v>
      </c>
      <c r="P1315" s="84" t="n">
        <f aca="false">IF($N1315="مرتجع",0,K1315*IFERROR(INDEX(p_Cost,MATCH($F1315,p_ID,0)),0))</f>
        <v>660</v>
      </c>
      <c r="Q1315" s="84" t="n">
        <f aca="false">O1315-P1315</f>
        <v>540</v>
      </c>
      <c r="R1315" s="86" t="n">
        <f aca="false">DATE(YEAR(B1315),MONTH(B1315),1)</f>
        <v>46235</v>
      </c>
      <c r="S1315" s="83" t="str">
        <f aca="false">YEAR(B1315)&amp;"-Q"&amp;ROUNDUP(MONTH(B1315)/3,0)</f>
        <v>2026-Q3</v>
      </c>
      <c r="T1315" s="87" t="n">
        <f aca="false">IF(O1315&gt;0,Q1315/O1315,"")</f>
        <v>0.45</v>
      </c>
      <c r="U1315" s="84" t="n">
        <f aca="false">IF(O1315&gt;0,O1315,"")</f>
        <v>1200</v>
      </c>
    </row>
    <row r="1316" customFormat="false" ht="15" hidden="false" customHeight="false" outlineLevel="0" collapsed="false">
      <c r="A1316" s="81" t="s">
        <v>1959</v>
      </c>
      <c r="B1316" s="82" t="n">
        <v>46249</v>
      </c>
      <c r="C1316" s="81" t="s">
        <v>408</v>
      </c>
      <c r="D1316" s="83" t="str">
        <f aca="false">IFERROR(INDEX(c_Name,MATCH($C1316,c_ID,0)),"غير معرّف")</f>
        <v>فهد الغامدي</v>
      </c>
      <c r="E1316" s="83" t="str">
        <f aca="false">IFERROR(INDEX(c_Region,MATCH($C1316,c_ID,0)),"غير معرّف")</f>
        <v>الغربية</v>
      </c>
      <c r="F1316" s="81" t="s">
        <v>184</v>
      </c>
      <c r="G1316" s="83" t="str">
        <f aca="false">IFERROR(INDEX(p_Name,MATCH($F1316,p_ID,0)),"غير معرّف")</f>
        <v>عطر فاخر</v>
      </c>
      <c r="H1316" s="83" t="str">
        <f aca="false">IFERROR(INDEX(p_Cat,MATCH($F1316,p_ID,0)),"غير معرّف")</f>
        <v>عناية شخصية</v>
      </c>
      <c r="I1316" s="81" t="s">
        <v>458</v>
      </c>
      <c r="J1316" s="81" t="s">
        <v>91</v>
      </c>
      <c r="K1316" s="81" t="n">
        <v>1</v>
      </c>
      <c r="L1316" s="84" t="n">
        <f aca="false">IFERROR(INDEX(p_Price,MATCH($F1316,p_ID,0)),0)</f>
        <v>520</v>
      </c>
      <c r="M1316" s="85" t="n">
        <v>0.05</v>
      </c>
      <c r="N1316" s="81" t="s">
        <v>644</v>
      </c>
      <c r="O1316" s="84" t="n">
        <f aca="false">IF($N1316="مرتجع",0,K1316*L1316*(1-M1316))</f>
        <v>494</v>
      </c>
      <c r="P1316" s="84" t="n">
        <f aca="false">IF($N1316="مرتجع",0,K1316*IFERROR(INDEX(p_Cost,MATCH($F1316,p_ID,0)),0))</f>
        <v>210</v>
      </c>
      <c r="Q1316" s="84" t="n">
        <f aca="false">O1316-P1316</f>
        <v>284</v>
      </c>
      <c r="R1316" s="86" t="n">
        <f aca="false">DATE(YEAR(B1316),MONTH(B1316),1)</f>
        <v>46235</v>
      </c>
      <c r="S1316" s="83" t="str">
        <f aca="false">YEAR(B1316)&amp;"-Q"&amp;ROUNDUP(MONTH(B1316)/3,0)</f>
        <v>2026-Q3</v>
      </c>
      <c r="T1316" s="87" t="n">
        <f aca="false">IF(O1316&gt;0,Q1316/O1316,"")</f>
        <v>0.574898785425101</v>
      </c>
      <c r="U1316" s="84" t="n">
        <f aca="false">IF(O1316&gt;0,O1316,"")</f>
        <v>494</v>
      </c>
    </row>
    <row r="1317" customFormat="false" ht="15" hidden="false" customHeight="false" outlineLevel="0" collapsed="false">
      <c r="A1317" s="81" t="s">
        <v>1960</v>
      </c>
      <c r="B1317" s="82" t="n">
        <v>46249</v>
      </c>
      <c r="C1317" s="81" t="s">
        <v>360</v>
      </c>
      <c r="D1317" s="83" t="str">
        <f aca="false">IFERROR(INDEX(c_Name,MATCH($C1317,c_ID,0)),"غير معرّف")</f>
        <v>ليلى العتيبي</v>
      </c>
      <c r="E1317" s="83" t="str">
        <f aca="false">IFERROR(INDEX(c_Region,MATCH($C1317,c_ID,0)),"غير معرّف")</f>
        <v>الغربية</v>
      </c>
      <c r="F1317" s="81" t="s">
        <v>166</v>
      </c>
      <c r="G1317" s="83" t="str">
        <f aca="false">IFERROR(INDEX(p_Name,MATCH($F1317,p_ID,0)),"غير معرّف")</f>
        <v>سماعات لاسلكية</v>
      </c>
      <c r="H1317" s="83" t="str">
        <f aca="false">IFERROR(INDEX(p_Cat,MATCH($F1317,p_ID,0)),"غير معرّف")</f>
        <v>إلكترونيات</v>
      </c>
      <c r="I1317" s="81" t="s">
        <v>455</v>
      </c>
      <c r="J1317" s="81" t="s">
        <v>93</v>
      </c>
      <c r="K1317" s="81" t="n">
        <v>1</v>
      </c>
      <c r="L1317" s="84" t="n">
        <f aca="false">IFERROR(INDEX(p_Price,MATCH($F1317,p_ID,0)),0)</f>
        <v>450</v>
      </c>
      <c r="M1317" s="85" t="n">
        <v>0.15</v>
      </c>
      <c r="N1317" s="81" t="s">
        <v>644</v>
      </c>
      <c r="O1317" s="84" t="n">
        <f aca="false">IF($N1317="مرتجع",0,K1317*L1317*(1-M1317))</f>
        <v>382.5</v>
      </c>
      <c r="P1317" s="84" t="n">
        <f aca="false">IF($N1317="مرتجع",0,K1317*IFERROR(INDEX(p_Cost,MATCH($F1317,p_ID,0)),0))</f>
        <v>260</v>
      </c>
      <c r="Q1317" s="84" t="n">
        <f aca="false">O1317-P1317</f>
        <v>122.5</v>
      </c>
      <c r="R1317" s="86" t="n">
        <f aca="false">DATE(YEAR(B1317),MONTH(B1317),1)</f>
        <v>46235</v>
      </c>
      <c r="S1317" s="83" t="str">
        <f aca="false">YEAR(B1317)&amp;"-Q"&amp;ROUNDUP(MONTH(B1317)/3,0)</f>
        <v>2026-Q3</v>
      </c>
      <c r="T1317" s="87" t="n">
        <f aca="false">IF(O1317&gt;0,Q1317/O1317,"")</f>
        <v>0.320261437908497</v>
      </c>
      <c r="U1317" s="84" t="n">
        <f aca="false">IF(O1317&gt;0,O1317,"")</f>
        <v>382.5</v>
      </c>
    </row>
    <row r="1318" customFormat="false" ht="15" hidden="false" customHeight="false" outlineLevel="0" collapsed="false">
      <c r="A1318" s="81" t="s">
        <v>1961</v>
      </c>
      <c r="B1318" s="82" t="n">
        <v>46249</v>
      </c>
      <c r="C1318" s="81" t="s">
        <v>254</v>
      </c>
      <c r="D1318" s="83" t="str">
        <f aca="false">IFERROR(INDEX(c_Name,MATCH($C1318,c_ID,0)),"غير معرّف")</f>
        <v>عبدالله العتيبي</v>
      </c>
      <c r="E1318" s="83" t="str">
        <f aca="false">IFERROR(INDEX(c_Region,MATCH($C1318,c_ID,0)),"غير معرّف")</f>
        <v>الغربية</v>
      </c>
      <c r="F1318" s="81" t="s">
        <v>184</v>
      </c>
      <c r="G1318" s="83" t="str">
        <f aca="false">IFERROR(INDEX(p_Name,MATCH($F1318,p_ID,0)),"غير معرّف")</f>
        <v>عطر فاخر</v>
      </c>
      <c r="H1318" s="83" t="str">
        <f aca="false">IFERROR(INDEX(p_Cat,MATCH($F1318,p_ID,0)),"غير معرّف")</f>
        <v>عناية شخصية</v>
      </c>
      <c r="I1318" s="81" t="s">
        <v>458</v>
      </c>
      <c r="J1318" s="81" t="s">
        <v>93</v>
      </c>
      <c r="K1318" s="81" t="n">
        <v>4</v>
      </c>
      <c r="L1318" s="84" t="n">
        <f aca="false">IFERROR(INDEX(p_Price,MATCH($F1318,p_ID,0)),0)</f>
        <v>520</v>
      </c>
      <c r="M1318" s="85" t="n">
        <v>0.1</v>
      </c>
      <c r="N1318" s="81" t="s">
        <v>650</v>
      </c>
      <c r="O1318" s="84" t="n">
        <f aca="false">IF($N1318="مرتجع",0,K1318*L1318*(1-M1318))</f>
        <v>0</v>
      </c>
      <c r="P1318" s="84" t="n">
        <f aca="false">IF($N1318="مرتجع",0,K1318*IFERROR(INDEX(p_Cost,MATCH($F1318,p_ID,0)),0))</f>
        <v>0</v>
      </c>
      <c r="Q1318" s="84" t="n">
        <f aca="false">O1318-P1318</f>
        <v>0</v>
      </c>
      <c r="R1318" s="86" t="n">
        <f aca="false">DATE(YEAR(B1318),MONTH(B1318),1)</f>
        <v>46235</v>
      </c>
      <c r="S1318" s="83" t="str">
        <f aca="false">YEAR(B1318)&amp;"-Q"&amp;ROUNDUP(MONTH(B1318)/3,0)</f>
        <v>2026-Q3</v>
      </c>
      <c r="T1318" s="87" t="str">
        <f aca="false">IF(O1318&gt;0,Q1318/O1318,"")</f>
        <v/>
      </c>
      <c r="U1318" s="84" t="str">
        <f aca="false">IF(O1318&gt;0,O1318,"")</f>
        <v/>
      </c>
    </row>
    <row r="1319" customFormat="false" ht="15" hidden="false" customHeight="false" outlineLevel="0" collapsed="false">
      <c r="A1319" s="81" t="s">
        <v>1962</v>
      </c>
      <c r="B1319" s="82" t="n">
        <v>46250</v>
      </c>
      <c r="C1319" s="81" t="s">
        <v>291</v>
      </c>
      <c r="D1319" s="83" t="str">
        <f aca="false">IFERROR(INDEX(c_Name,MATCH($C1319,c_ID,0)),"غير معرّف")</f>
        <v>ياسر الشمري</v>
      </c>
      <c r="E1319" s="83" t="str">
        <f aca="false">IFERROR(INDEX(c_Region,MATCH($C1319,c_ID,0)),"غير معرّف")</f>
        <v>الوسطى</v>
      </c>
      <c r="F1319" s="81" t="s">
        <v>183</v>
      </c>
      <c r="G1319" s="83" t="str">
        <f aca="false">IFERROR(INDEX(p_Name,MATCH($F1319,p_ID,0)),"غير معرّف")</f>
        <v>سجادة يوغا</v>
      </c>
      <c r="H1319" s="83" t="str">
        <f aca="false">IFERROR(INDEX(p_Cat,MATCH($F1319,p_ID,0)),"غير معرّف")</f>
        <v>رياضة</v>
      </c>
      <c r="I1319" s="81" t="s">
        <v>443</v>
      </c>
      <c r="J1319" s="81" t="s">
        <v>93</v>
      </c>
      <c r="K1319" s="81" t="n">
        <v>4</v>
      </c>
      <c r="L1319" s="84" t="n">
        <f aca="false">IFERROR(INDEX(p_Price,MATCH($F1319,p_ID,0)),0)</f>
        <v>120</v>
      </c>
      <c r="M1319" s="85" t="n">
        <v>0.2</v>
      </c>
      <c r="N1319" s="81" t="s">
        <v>644</v>
      </c>
      <c r="O1319" s="84" t="n">
        <f aca="false">IF($N1319="مرتجع",0,K1319*L1319*(1-M1319))</f>
        <v>384</v>
      </c>
      <c r="P1319" s="84" t="n">
        <f aca="false">IF($N1319="مرتجع",0,K1319*IFERROR(INDEX(p_Cost,MATCH($F1319,p_ID,0)),0))</f>
        <v>200</v>
      </c>
      <c r="Q1319" s="84" t="n">
        <f aca="false">O1319-P1319</f>
        <v>184</v>
      </c>
      <c r="R1319" s="86" t="n">
        <f aca="false">DATE(YEAR(B1319),MONTH(B1319),1)</f>
        <v>46235</v>
      </c>
      <c r="S1319" s="83" t="str">
        <f aca="false">YEAR(B1319)&amp;"-Q"&amp;ROUNDUP(MONTH(B1319)/3,0)</f>
        <v>2026-Q3</v>
      </c>
      <c r="T1319" s="87" t="n">
        <f aca="false">IF(O1319&gt;0,Q1319/O1319,"")</f>
        <v>0.479166666666667</v>
      </c>
      <c r="U1319" s="84" t="n">
        <f aca="false">IF(O1319&gt;0,O1319,"")</f>
        <v>384</v>
      </c>
    </row>
    <row r="1320" customFormat="false" ht="15" hidden="false" customHeight="false" outlineLevel="0" collapsed="false">
      <c r="A1320" s="81" t="s">
        <v>1963</v>
      </c>
      <c r="B1320" s="82" t="n">
        <v>46250</v>
      </c>
      <c r="C1320" s="81" t="s">
        <v>403</v>
      </c>
      <c r="D1320" s="83" t="str">
        <f aca="false">IFERROR(INDEX(c_Name,MATCH($C1320,c_ID,0)),"غير معرّف")</f>
        <v>ياسر المطيري</v>
      </c>
      <c r="E1320" s="83" t="str">
        <f aca="false">IFERROR(INDEX(c_Region,MATCH($C1320,c_ID,0)),"غير معرّف")</f>
        <v>الجنوبية</v>
      </c>
      <c r="F1320" s="81" t="s">
        <v>168</v>
      </c>
      <c r="G1320" s="83" t="str">
        <f aca="false">IFERROR(INDEX(p_Name,MATCH($F1320,p_ID,0)),"غير معرّف")</f>
        <v>مكنسة كهربائية</v>
      </c>
      <c r="H1320" s="83" t="str">
        <f aca="false">IFERROR(INDEX(p_Cat,MATCH($F1320,p_ID,0)),"غير معرّف")</f>
        <v>أجهزة منزلية</v>
      </c>
      <c r="I1320" s="81" t="s">
        <v>467</v>
      </c>
      <c r="J1320" s="81" t="s">
        <v>91</v>
      </c>
      <c r="K1320" s="81" t="n">
        <v>2</v>
      </c>
      <c r="L1320" s="84" t="n">
        <f aca="false">IFERROR(INDEX(p_Price,MATCH($F1320,p_ID,0)),0)</f>
        <v>650</v>
      </c>
      <c r="M1320" s="85" t="n">
        <v>0.15</v>
      </c>
      <c r="N1320" s="81" t="s">
        <v>644</v>
      </c>
      <c r="O1320" s="84" t="n">
        <f aca="false">IF($N1320="مرتجع",0,K1320*L1320*(1-M1320))</f>
        <v>1105</v>
      </c>
      <c r="P1320" s="84" t="n">
        <f aca="false">IF($N1320="مرتجع",0,K1320*IFERROR(INDEX(p_Cost,MATCH($F1320,p_ID,0)),0))</f>
        <v>840</v>
      </c>
      <c r="Q1320" s="84" t="n">
        <f aca="false">O1320-P1320</f>
        <v>265</v>
      </c>
      <c r="R1320" s="86" t="n">
        <f aca="false">DATE(YEAR(B1320),MONTH(B1320),1)</f>
        <v>46235</v>
      </c>
      <c r="S1320" s="83" t="str">
        <f aca="false">YEAR(B1320)&amp;"-Q"&amp;ROUNDUP(MONTH(B1320)/3,0)</f>
        <v>2026-Q3</v>
      </c>
      <c r="T1320" s="87" t="n">
        <f aca="false">IF(O1320&gt;0,Q1320/O1320,"")</f>
        <v>0.239819004524887</v>
      </c>
      <c r="U1320" s="84" t="n">
        <f aca="false">IF(O1320&gt;0,O1320,"")</f>
        <v>1105</v>
      </c>
    </row>
    <row r="1321" customFormat="false" ht="15" hidden="false" customHeight="false" outlineLevel="0" collapsed="false">
      <c r="A1321" s="81" t="s">
        <v>1964</v>
      </c>
      <c r="B1321" s="82" t="n">
        <v>46250</v>
      </c>
      <c r="C1321" s="81" t="s">
        <v>361</v>
      </c>
      <c r="D1321" s="83" t="str">
        <f aca="false">IFERROR(INDEX(c_Name,MATCH($C1321,c_ID,0)),"غير معرّف")</f>
        <v>دانة المطيري</v>
      </c>
      <c r="E1321" s="83" t="str">
        <f aca="false">IFERROR(INDEX(c_Region,MATCH($C1321,c_ID,0)),"غير معرّف")</f>
        <v>الشرقية</v>
      </c>
      <c r="F1321" s="81" t="s">
        <v>173</v>
      </c>
      <c r="G1321" s="83" t="str">
        <f aca="false">IFERROR(INDEX(p_Name,MATCH($F1321,p_ID,0)),"غير معرّف")</f>
        <v>كرسي مريح</v>
      </c>
      <c r="H1321" s="83" t="str">
        <f aca="false">IFERROR(INDEX(p_Cat,MATCH($F1321,p_ID,0)),"غير معرّف")</f>
        <v>أثاث</v>
      </c>
      <c r="I1321" s="81" t="s">
        <v>461</v>
      </c>
      <c r="J1321" s="81" t="s">
        <v>91</v>
      </c>
      <c r="K1321" s="81" t="n">
        <v>1</v>
      </c>
      <c r="L1321" s="84" t="n">
        <f aca="false">IFERROR(INDEX(p_Price,MATCH($F1321,p_ID,0)),0)</f>
        <v>850</v>
      </c>
      <c r="M1321" s="85" t="n">
        <v>0</v>
      </c>
      <c r="N1321" s="81" t="s">
        <v>644</v>
      </c>
      <c r="O1321" s="84" t="n">
        <f aca="false">IF($N1321="مرتجع",0,K1321*L1321*(1-M1321))</f>
        <v>850</v>
      </c>
      <c r="P1321" s="84" t="n">
        <f aca="false">IF($N1321="مرتجع",0,K1321*IFERROR(INDEX(p_Cost,MATCH($F1321,p_ID,0)),0))</f>
        <v>480</v>
      </c>
      <c r="Q1321" s="84" t="n">
        <f aca="false">O1321-P1321</f>
        <v>370</v>
      </c>
      <c r="R1321" s="86" t="n">
        <f aca="false">DATE(YEAR(B1321),MONTH(B1321),1)</f>
        <v>46235</v>
      </c>
      <c r="S1321" s="83" t="str">
        <f aca="false">YEAR(B1321)&amp;"-Q"&amp;ROUNDUP(MONTH(B1321)/3,0)</f>
        <v>2026-Q3</v>
      </c>
      <c r="T1321" s="87" t="n">
        <f aca="false">IF(O1321&gt;0,Q1321/O1321,"")</f>
        <v>0.435294117647059</v>
      </c>
      <c r="U1321" s="84" t="n">
        <f aca="false">IF(O1321&gt;0,O1321,"")</f>
        <v>850</v>
      </c>
    </row>
    <row r="1322" customFormat="false" ht="15" hidden="false" customHeight="false" outlineLevel="0" collapsed="false">
      <c r="A1322" s="81" t="s">
        <v>1965</v>
      </c>
      <c r="B1322" s="82" t="n">
        <v>46250</v>
      </c>
      <c r="C1322" s="81" t="s">
        <v>299</v>
      </c>
      <c r="D1322" s="83" t="str">
        <f aca="false">IFERROR(INDEX(c_Name,MATCH($C1322,c_ID,0)),"غير معرّف")</f>
        <v>جود الخالدي</v>
      </c>
      <c r="E1322" s="83" t="str">
        <f aca="false">IFERROR(INDEX(c_Region,MATCH($C1322,c_ID,0)),"غير معرّف")</f>
        <v>الوسطى</v>
      </c>
      <c r="F1322" s="81" t="s">
        <v>171</v>
      </c>
      <c r="G1322" s="83" t="str">
        <f aca="false">IFERROR(INDEX(p_Name,MATCH($F1322,p_ID,0)),"غير معرّف")</f>
        <v>قلاية هوائية</v>
      </c>
      <c r="H1322" s="83" t="str">
        <f aca="false">IFERROR(INDEX(p_Cat,MATCH($F1322,p_ID,0)),"غير معرّف")</f>
        <v>أجهزة منزلية</v>
      </c>
      <c r="I1322" s="81" t="s">
        <v>449</v>
      </c>
      <c r="J1322" s="81" t="s">
        <v>91</v>
      </c>
      <c r="K1322" s="81" t="n">
        <v>1</v>
      </c>
      <c r="L1322" s="84" t="n">
        <f aca="false">IFERROR(INDEX(p_Price,MATCH($F1322,p_ID,0)),0)</f>
        <v>520</v>
      </c>
      <c r="M1322" s="85" t="n">
        <v>0</v>
      </c>
      <c r="N1322" s="81" t="s">
        <v>644</v>
      </c>
      <c r="O1322" s="84" t="n">
        <f aca="false">IF($N1322="مرتجع",0,K1322*L1322*(1-M1322))</f>
        <v>520</v>
      </c>
      <c r="P1322" s="84" t="n">
        <f aca="false">IF($N1322="مرتجع",0,K1322*IFERROR(INDEX(p_Cost,MATCH($F1322,p_ID,0)),0))</f>
        <v>300</v>
      </c>
      <c r="Q1322" s="84" t="n">
        <f aca="false">O1322-P1322</f>
        <v>220</v>
      </c>
      <c r="R1322" s="86" t="n">
        <f aca="false">DATE(YEAR(B1322),MONTH(B1322),1)</f>
        <v>46235</v>
      </c>
      <c r="S1322" s="83" t="str">
        <f aca="false">YEAR(B1322)&amp;"-Q"&amp;ROUNDUP(MONTH(B1322)/3,0)</f>
        <v>2026-Q3</v>
      </c>
      <c r="T1322" s="87" t="n">
        <f aca="false">IF(O1322&gt;0,Q1322/O1322,"")</f>
        <v>0.423076923076923</v>
      </c>
      <c r="U1322" s="84" t="n">
        <f aca="false">IF(O1322&gt;0,O1322,"")</f>
        <v>520</v>
      </c>
    </row>
    <row r="1323" customFormat="false" ht="15" hidden="false" customHeight="false" outlineLevel="0" collapsed="false">
      <c r="A1323" s="81" t="s">
        <v>1966</v>
      </c>
      <c r="B1323" s="82" t="n">
        <v>46250</v>
      </c>
      <c r="C1323" s="81" t="s">
        <v>387</v>
      </c>
      <c r="D1323" s="83" t="str">
        <f aca="false">IFERROR(INDEX(c_Name,MATCH($C1323,c_ID,0)),"غير معرّف")</f>
        <v>لمى الشمري</v>
      </c>
      <c r="E1323" s="83" t="str">
        <f aca="false">IFERROR(INDEX(c_Region,MATCH($C1323,c_ID,0)),"غير معرّف")</f>
        <v>الوسطى</v>
      </c>
      <c r="F1323" s="81" t="s">
        <v>185</v>
      </c>
      <c r="G1323" s="83" t="str">
        <f aca="false">IFERROR(INDEX(p_Name,MATCH($F1323,p_ID,0)),"غير معرّف")</f>
        <v>ماكينة حلاقة</v>
      </c>
      <c r="H1323" s="83" t="str">
        <f aca="false">IFERROR(INDEX(p_Cat,MATCH($F1323,p_ID,0)),"غير معرّف")</f>
        <v>عناية شخصية</v>
      </c>
      <c r="I1323" s="81" t="s">
        <v>443</v>
      </c>
      <c r="J1323" s="81" t="s">
        <v>91</v>
      </c>
      <c r="K1323" s="81" t="n">
        <v>1</v>
      </c>
      <c r="L1323" s="84" t="n">
        <f aca="false">IFERROR(INDEX(p_Price,MATCH($F1323,p_ID,0)),0)</f>
        <v>340</v>
      </c>
      <c r="M1323" s="85" t="n">
        <v>0.1</v>
      </c>
      <c r="N1323" s="81" t="s">
        <v>644</v>
      </c>
      <c r="O1323" s="84" t="n">
        <f aca="false">IF($N1323="مرتجع",0,K1323*L1323*(1-M1323))</f>
        <v>306</v>
      </c>
      <c r="P1323" s="84" t="n">
        <f aca="false">IF($N1323="مرتجع",0,K1323*IFERROR(INDEX(p_Cost,MATCH($F1323,p_ID,0)),0))</f>
        <v>170</v>
      </c>
      <c r="Q1323" s="84" t="n">
        <f aca="false">O1323-P1323</f>
        <v>136</v>
      </c>
      <c r="R1323" s="86" t="n">
        <f aca="false">DATE(YEAR(B1323),MONTH(B1323),1)</f>
        <v>46235</v>
      </c>
      <c r="S1323" s="83" t="str">
        <f aca="false">YEAR(B1323)&amp;"-Q"&amp;ROUNDUP(MONTH(B1323)/3,0)</f>
        <v>2026-Q3</v>
      </c>
      <c r="T1323" s="87" t="n">
        <f aca="false">IF(O1323&gt;0,Q1323/O1323,"")</f>
        <v>0.444444444444444</v>
      </c>
      <c r="U1323" s="84" t="n">
        <f aca="false">IF(O1323&gt;0,O1323,"")</f>
        <v>306</v>
      </c>
    </row>
    <row r="1324" customFormat="false" ht="15" hidden="false" customHeight="false" outlineLevel="0" collapsed="false">
      <c r="A1324" s="81" t="s">
        <v>1967</v>
      </c>
      <c r="B1324" s="82" t="n">
        <v>46250</v>
      </c>
      <c r="C1324" s="81" t="s">
        <v>374</v>
      </c>
      <c r="D1324" s="83" t="str">
        <f aca="false">IFERROR(INDEX(c_Name,MATCH($C1324,c_ID,0)),"غير معرّف")</f>
        <v>منى التميمي</v>
      </c>
      <c r="E1324" s="83" t="str">
        <f aca="false">IFERROR(INDEX(c_Region,MATCH($C1324,c_ID,0)),"غير معرّف")</f>
        <v>الوسطى</v>
      </c>
      <c r="F1324" s="81" t="s">
        <v>187</v>
      </c>
      <c r="G1324" s="83" t="str">
        <f aca="false">IFERROR(INDEX(p_Name,MATCH($F1324,p_ID,0)),"غير معرّف")</f>
        <v>جهاز تدليك</v>
      </c>
      <c r="H1324" s="83" t="str">
        <f aca="false">IFERROR(INDEX(p_Cat,MATCH($F1324,p_ID,0)),"غير معرّف")</f>
        <v>عناية شخصية</v>
      </c>
      <c r="I1324" s="81" t="s">
        <v>446</v>
      </c>
      <c r="J1324" s="81" t="s">
        <v>91</v>
      </c>
      <c r="K1324" s="81" t="n">
        <v>5</v>
      </c>
      <c r="L1324" s="84" t="n">
        <f aca="false">IFERROR(INDEX(p_Price,MATCH($F1324,p_ID,0)),0)</f>
        <v>600</v>
      </c>
      <c r="M1324" s="85" t="n">
        <v>0.1</v>
      </c>
      <c r="N1324" s="81" t="s">
        <v>644</v>
      </c>
      <c r="O1324" s="84" t="n">
        <f aca="false">IF($N1324="مرتجع",0,K1324*L1324*(1-M1324))</f>
        <v>2700</v>
      </c>
      <c r="P1324" s="84" t="n">
        <f aca="false">IF($N1324="مرتجع",0,K1324*IFERROR(INDEX(p_Cost,MATCH($F1324,p_ID,0)),0))</f>
        <v>1650</v>
      </c>
      <c r="Q1324" s="84" t="n">
        <f aca="false">O1324-P1324</f>
        <v>1050</v>
      </c>
      <c r="R1324" s="86" t="n">
        <f aca="false">DATE(YEAR(B1324),MONTH(B1324),1)</f>
        <v>46235</v>
      </c>
      <c r="S1324" s="83" t="str">
        <f aca="false">YEAR(B1324)&amp;"-Q"&amp;ROUNDUP(MONTH(B1324)/3,0)</f>
        <v>2026-Q3</v>
      </c>
      <c r="T1324" s="87" t="n">
        <f aca="false">IF(O1324&gt;0,Q1324/O1324,"")</f>
        <v>0.388888888888889</v>
      </c>
      <c r="U1324" s="84" t="n">
        <f aca="false">IF(O1324&gt;0,O1324,"")</f>
        <v>2700</v>
      </c>
    </row>
    <row r="1325" customFormat="false" ht="15" hidden="false" customHeight="false" outlineLevel="0" collapsed="false">
      <c r="A1325" s="81" t="s">
        <v>1968</v>
      </c>
      <c r="B1325" s="82" t="n">
        <v>46250</v>
      </c>
      <c r="C1325" s="81" t="s">
        <v>430</v>
      </c>
      <c r="D1325" s="83" t="str">
        <f aca="false">IFERROR(INDEX(c_Name,MATCH($C1325,c_ID,0)),"غير معرّف")</f>
        <v>ليلى الحربي</v>
      </c>
      <c r="E1325" s="83" t="str">
        <f aca="false">IFERROR(INDEX(c_Region,MATCH($C1325,c_ID,0)),"غير معرّف")</f>
        <v>الجنوبية</v>
      </c>
      <c r="F1325" s="81" t="s">
        <v>175</v>
      </c>
      <c r="G1325" s="83" t="str">
        <f aca="false">IFERROR(INDEX(p_Name,MATCH($F1325,p_ID,0)),"غير معرّف")</f>
        <v>رف كتب</v>
      </c>
      <c r="H1325" s="83" t="str">
        <f aca="false">IFERROR(INDEX(p_Cat,MATCH($F1325,p_ID,0)),"غير معرّف")</f>
        <v>أثاث</v>
      </c>
      <c r="I1325" s="81" t="s">
        <v>465</v>
      </c>
      <c r="J1325" s="81" t="s">
        <v>95</v>
      </c>
      <c r="K1325" s="81" t="n">
        <v>7</v>
      </c>
      <c r="L1325" s="84" t="n">
        <f aca="false">IFERROR(INDEX(p_Price,MATCH($F1325,p_ID,0)),0)</f>
        <v>400</v>
      </c>
      <c r="M1325" s="85" t="n">
        <v>0.1</v>
      </c>
      <c r="N1325" s="81" t="s">
        <v>644</v>
      </c>
      <c r="O1325" s="84" t="n">
        <f aca="false">IF($N1325="مرتجع",0,K1325*L1325*(1-M1325))</f>
        <v>2520</v>
      </c>
      <c r="P1325" s="84" t="n">
        <f aca="false">IF($N1325="مرتجع",0,K1325*IFERROR(INDEX(p_Cost,MATCH($F1325,p_ID,0)),0))</f>
        <v>1540</v>
      </c>
      <c r="Q1325" s="84" t="n">
        <f aca="false">O1325-P1325</f>
        <v>980</v>
      </c>
      <c r="R1325" s="86" t="n">
        <f aca="false">DATE(YEAR(B1325),MONTH(B1325),1)</f>
        <v>46235</v>
      </c>
      <c r="S1325" s="83" t="str">
        <f aca="false">YEAR(B1325)&amp;"-Q"&amp;ROUNDUP(MONTH(B1325)/3,0)</f>
        <v>2026-Q3</v>
      </c>
      <c r="T1325" s="87" t="n">
        <f aca="false">IF(O1325&gt;0,Q1325/O1325,"")</f>
        <v>0.388888888888889</v>
      </c>
      <c r="U1325" s="84" t="n">
        <f aca="false">IF(O1325&gt;0,O1325,"")</f>
        <v>2520</v>
      </c>
    </row>
    <row r="1326" customFormat="false" ht="15" hidden="false" customHeight="false" outlineLevel="0" collapsed="false">
      <c r="A1326" s="81" t="s">
        <v>1969</v>
      </c>
      <c r="B1326" s="82" t="n">
        <v>46251</v>
      </c>
      <c r="C1326" s="81" t="s">
        <v>234</v>
      </c>
      <c r="D1326" s="83" t="str">
        <f aca="false">IFERROR(INDEX(c_Name,MATCH($C1326,c_ID,0)),"غير معرّف")</f>
        <v>هند الخالدي</v>
      </c>
      <c r="E1326" s="83" t="str">
        <f aca="false">IFERROR(INDEX(c_Region,MATCH($C1326,c_ID,0)),"غير معرّف")</f>
        <v>الوسطى</v>
      </c>
      <c r="F1326" s="81" t="s">
        <v>182</v>
      </c>
      <c r="G1326" s="83" t="str">
        <f aca="false">IFERROR(INDEX(p_Name,MATCH($F1326,p_ID,0)),"غير معرّف")</f>
        <v>طقم أوزان</v>
      </c>
      <c r="H1326" s="83" t="str">
        <f aca="false">IFERROR(INDEX(p_Cat,MATCH($F1326,p_ID,0)),"غير معرّف")</f>
        <v>رياضة</v>
      </c>
      <c r="I1326" s="81" t="s">
        <v>446</v>
      </c>
      <c r="J1326" s="81" t="s">
        <v>91</v>
      </c>
      <c r="K1326" s="81" t="n">
        <v>1</v>
      </c>
      <c r="L1326" s="84" t="n">
        <f aca="false">IFERROR(INDEX(p_Price,MATCH($F1326,p_ID,0)),0)</f>
        <v>380</v>
      </c>
      <c r="M1326" s="85" t="n">
        <v>0.05</v>
      </c>
      <c r="N1326" s="81" t="s">
        <v>644</v>
      </c>
      <c r="O1326" s="84" t="n">
        <f aca="false">IF($N1326="مرتجع",0,K1326*L1326*(1-M1326))</f>
        <v>361</v>
      </c>
      <c r="P1326" s="84" t="n">
        <f aca="false">IF($N1326="مرتجع",0,K1326*IFERROR(INDEX(p_Cost,MATCH($F1326,p_ID,0)),0))</f>
        <v>210</v>
      </c>
      <c r="Q1326" s="84" t="n">
        <f aca="false">O1326-P1326</f>
        <v>151</v>
      </c>
      <c r="R1326" s="86" t="n">
        <f aca="false">DATE(YEAR(B1326),MONTH(B1326),1)</f>
        <v>46235</v>
      </c>
      <c r="S1326" s="83" t="str">
        <f aca="false">YEAR(B1326)&amp;"-Q"&amp;ROUNDUP(MONTH(B1326)/3,0)</f>
        <v>2026-Q3</v>
      </c>
      <c r="T1326" s="87" t="n">
        <f aca="false">IF(O1326&gt;0,Q1326/O1326,"")</f>
        <v>0.418282548476454</v>
      </c>
      <c r="U1326" s="84" t="n">
        <f aca="false">IF(O1326&gt;0,O1326,"")</f>
        <v>361</v>
      </c>
    </row>
    <row r="1327" customFormat="false" ht="15" hidden="false" customHeight="false" outlineLevel="0" collapsed="false">
      <c r="A1327" s="81" t="s">
        <v>1970</v>
      </c>
      <c r="B1327" s="82" t="n">
        <v>46251</v>
      </c>
      <c r="C1327" s="81" t="s">
        <v>341</v>
      </c>
      <c r="D1327" s="83" t="str">
        <f aca="false">IFERROR(INDEX(c_Name,MATCH($C1327,c_ID,0)),"غير معرّف")</f>
        <v>منى الحسيني</v>
      </c>
      <c r="E1327" s="83" t="str">
        <f aca="false">IFERROR(INDEX(c_Region,MATCH($C1327,c_ID,0)),"غير معرّف")</f>
        <v>الجنوبية</v>
      </c>
      <c r="F1327" s="81" t="s">
        <v>184</v>
      </c>
      <c r="G1327" s="83" t="str">
        <f aca="false">IFERROR(INDEX(p_Name,MATCH($F1327,p_ID,0)),"غير معرّف")</f>
        <v>عطر فاخر</v>
      </c>
      <c r="H1327" s="83" t="str">
        <f aca="false">IFERROR(INDEX(p_Cat,MATCH($F1327,p_ID,0)),"غير معرّف")</f>
        <v>عناية شخصية</v>
      </c>
      <c r="I1327" s="81" t="s">
        <v>467</v>
      </c>
      <c r="J1327" s="81" t="s">
        <v>91</v>
      </c>
      <c r="K1327" s="81" t="n">
        <v>1</v>
      </c>
      <c r="L1327" s="84" t="n">
        <f aca="false">IFERROR(INDEX(p_Price,MATCH($F1327,p_ID,0)),0)</f>
        <v>520</v>
      </c>
      <c r="M1327" s="85" t="n">
        <v>0</v>
      </c>
      <c r="N1327" s="81" t="s">
        <v>644</v>
      </c>
      <c r="O1327" s="84" t="n">
        <f aca="false">IF($N1327="مرتجع",0,K1327*L1327*(1-M1327))</f>
        <v>520</v>
      </c>
      <c r="P1327" s="84" t="n">
        <f aca="false">IF($N1327="مرتجع",0,K1327*IFERROR(INDEX(p_Cost,MATCH($F1327,p_ID,0)),0))</f>
        <v>210</v>
      </c>
      <c r="Q1327" s="84" t="n">
        <f aca="false">O1327-P1327</f>
        <v>310</v>
      </c>
      <c r="R1327" s="86" t="n">
        <f aca="false">DATE(YEAR(B1327),MONTH(B1327),1)</f>
        <v>46235</v>
      </c>
      <c r="S1327" s="83" t="str">
        <f aca="false">YEAR(B1327)&amp;"-Q"&amp;ROUNDUP(MONTH(B1327)/3,0)</f>
        <v>2026-Q3</v>
      </c>
      <c r="T1327" s="87" t="n">
        <f aca="false">IF(O1327&gt;0,Q1327/O1327,"")</f>
        <v>0.596153846153846</v>
      </c>
      <c r="U1327" s="84" t="n">
        <f aca="false">IF(O1327&gt;0,O1327,"")</f>
        <v>520</v>
      </c>
    </row>
    <row r="1328" customFormat="false" ht="15" hidden="false" customHeight="false" outlineLevel="0" collapsed="false">
      <c r="A1328" s="81" t="s">
        <v>1971</v>
      </c>
      <c r="B1328" s="82" t="n">
        <v>46251</v>
      </c>
      <c r="C1328" s="81" t="s">
        <v>345</v>
      </c>
      <c r="D1328" s="83" t="str">
        <f aca="false">IFERROR(INDEX(c_Name,MATCH($C1328,c_ID,0)),"غير معرّف")</f>
        <v>عبدالله العنزي</v>
      </c>
      <c r="E1328" s="83" t="str">
        <f aca="false">IFERROR(INDEX(c_Region,MATCH($C1328,c_ID,0)),"غير معرّف")</f>
        <v>الغربية</v>
      </c>
      <c r="F1328" s="81" t="s">
        <v>167</v>
      </c>
      <c r="G1328" s="83" t="str">
        <f aca="false">IFERROR(INDEX(p_Name,MATCH($F1328,p_ID,0)),"غير معرّف")</f>
        <v>شاشة 27 بوصة</v>
      </c>
      <c r="H1328" s="83" t="str">
        <f aca="false">IFERROR(INDEX(p_Cat,MATCH($F1328,p_ID,0)),"غير معرّف")</f>
        <v>إلكترونيات</v>
      </c>
      <c r="I1328" s="81" t="s">
        <v>458</v>
      </c>
      <c r="J1328" s="81" t="s">
        <v>93</v>
      </c>
      <c r="K1328" s="81" t="n">
        <v>2</v>
      </c>
      <c r="L1328" s="84" t="n">
        <f aca="false">IFERROR(INDEX(p_Price,MATCH($F1328,p_ID,0)),0)</f>
        <v>1100</v>
      </c>
      <c r="M1328" s="85" t="n">
        <v>0</v>
      </c>
      <c r="N1328" s="81" t="s">
        <v>644</v>
      </c>
      <c r="O1328" s="84" t="n">
        <f aca="false">IF($N1328="مرتجع",0,K1328*L1328*(1-M1328))</f>
        <v>2200</v>
      </c>
      <c r="P1328" s="84" t="n">
        <f aca="false">IF($N1328="مرتجع",0,K1328*IFERROR(INDEX(p_Cost,MATCH($F1328,p_ID,0)),0))</f>
        <v>1560</v>
      </c>
      <c r="Q1328" s="84" t="n">
        <f aca="false">O1328-P1328</f>
        <v>640</v>
      </c>
      <c r="R1328" s="86" t="n">
        <f aca="false">DATE(YEAR(B1328),MONTH(B1328),1)</f>
        <v>46235</v>
      </c>
      <c r="S1328" s="83" t="str">
        <f aca="false">YEAR(B1328)&amp;"-Q"&amp;ROUNDUP(MONTH(B1328)/3,0)</f>
        <v>2026-Q3</v>
      </c>
      <c r="T1328" s="87" t="n">
        <f aca="false">IF(O1328&gt;0,Q1328/O1328,"")</f>
        <v>0.290909090909091</v>
      </c>
      <c r="U1328" s="84" t="n">
        <f aca="false">IF(O1328&gt;0,O1328,"")</f>
        <v>2200</v>
      </c>
    </row>
    <row r="1329" customFormat="false" ht="15" hidden="false" customHeight="false" outlineLevel="0" collapsed="false">
      <c r="A1329" s="81" t="s">
        <v>1972</v>
      </c>
      <c r="B1329" s="82" t="n">
        <v>46252</v>
      </c>
      <c r="C1329" s="81" t="s">
        <v>333</v>
      </c>
      <c r="D1329" s="83" t="str">
        <f aca="false">IFERROR(INDEX(c_Name,MATCH($C1329,c_ID,0)),"غير معرّف")</f>
        <v>جود الحربي</v>
      </c>
      <c r="E1329" s="83" t="str">
        <f aca="false">IFERROR(INDEX(c_Region,MATCH($C1329,c_ID,0)),"غير معرّف")</f>
        <v>الوسطى</v>
      </c>
      <c r="F1329" s="81" t="s">
        <v>169</v>
      </c>
      <c r="G1329" s="83" t="str">
        <f aca="false">IFERROR(INDEX(p_Name,MATCH($F1329,p_ID,0)),"غير معرّف")</f>
        <v>خلاط</v>
      </c>
      <c r="H1329" s="83" t="str">
        <f aca="false">IFERROR(INDEX(p_Cat,MATCH($F1329,p_ID,0)),"غير معرّف")</f>
        <v>أجهزة منزلية</v>
      </c>
      <c r="I1329" s="81" t="s">
        <v>449</v>
      </c>
      <c r="J1329" s="81" t="s">
        <v>93</v>
      </c>
      <c r="K1329" s="81" t="n">
        <v>4</v>
      </c>
      <c r="L1329" s="84" t="n">
        <f aca="false">IFERROR(INDEX(p_Price,MATCH($F1329,p_ID,0)),0)</f>
        <v>300</v>
      </c>
      <c r="M1329" s="85" t="n">
        <v>0</v>
      </c>
      <c r="N1329" s="81" t="s">
        <v>644</v>
      </c>
      <c r="O1329" s="84" t="n">
        <f aca="false">IF($N1329="مرتجع",0,K1329*L1329*(1-M1329))</f>
        <v>1200</v>
      </c>
      <c r="P1329" s="84" t="n">
        <f aca="false">IF($N1329="مرتجع",0,K1329*IFERROR(INDEX(p_Cost,MATCH($F1329,p_ID,0)),0))</f>
        <v>700</v>
      </c>
      <c r="Q1329" s="84" t="n">
        <f aca="false">O1329-P1329</f>
        <v>500</v>
      </c>
      <c r="R1329" s="86" t="n">
        <f aca="false">DATE(YEAR(B1329),MONTH(B1329),1)</f>
        <v>46235</v>
      </c>
      <c r="S1329" s="83" t="str">
        <f aca="false">YEAR(B1329)&amp;"-Q"&amp;ROUNDUP(MONTH(B1329)/3,0)</f>
        <v>2026-Q3</v>
      </c>
      <c r="T1329" s="87" t="n">
        <f aca="false">IF(O1329&gt;0,Q1329/O1329,"")</f>
        <v>0.416666666666667</v>
      </c>
      <c r="U1329" s="84" t="n">
        <f aca="false">IF(O1329&gt;0,O1329,"")</f>
        <v>1200</v>
      </c>
    </row>
    <row r="1330" customFormat="false" ht="15" hidden="false" customHeight="false" outlineLevel="0" collapsed="false">
      <c r="A1330" s="81" t="s">
        <v>1973</v>
      </c>
      <c r="B1330" s="82" t="n">
        <v>46252</v>
      </c>
      <c r="C1330" s="81" t="s">
        <v>291</v>
      </c>
      <c r="D1330" s="83" t="str">
        <f aca="false">IFERROR(INDEX(c_Name,MATCH($C1330,c_ID,0)),"غير معرّف")</f>
        <v>ياسر الشمري</v>
      </c>
      <c r="E1330" s="83" t="str">
        <f aca="false">IFERROR(INDEX(c_Region,MATCH($C1330,c_ID,0)),"غير معرّف")</f>
        <v>الوسطى</v>
      </c>
      <c r="F1330" s="81" t="s">
        <v>182</v>
      </c>
      <c r="G1330" s="83" t="str">
        <f aca="false">IFERROR(INDEX(p_Name,MATCH($F1330,p_ID,0)),"غير معرّف")</f>
        <v>طقم أوزان</v>
      </c>
      <c r="H1330" s="83" t="str">
        <f aca="false">IFERROR(INDEX(p_Cat,MATCH($F1330,p_ID,0)),"غير معرّف")</f>
        <v>رياضة</v>
      </c>
      <c r="I1330" s="81" t="s">
        <v>443</v>
      </c>
      <c r="J1330" s="81" t="s">
        <v>93</v>
      </c>
      <c r="K1330" s="81" t="n">
        <v>2</v>
      </c>
      <c r="L1330" s="84" t="n">
        <f aca="false">IFERROR(INDEX(p_Price,MATCH($F1330,p_ID,0)),0)</f>
        <v>380</v>
      </c>
      <c r="M1330" s="85" t="n">
        <v>0.05</v>
      </c>
      <c r="N1330" s="81" t="s">
        <v>650</v>
      </c>
      <c r="O1330" s="84" t="n">
        <f aca="false">IF($N1330="مرتجع",0,K1330*L1330*(1-M1330))</f>
        <v>0</v>
      </c>
      <c r="P1330" s="84" t="n">
        <f aca="false">IF($N1330="مرتجع",0,K1330*IFERROR(INDEX(p_Cost,MATCH($F1330,p_ID,0)),0))</f>
        <v>0</v>
      </c>
      <c r="Q1330" s="84" t="n">
        <f aca="false">O1330-P1330</f>
        <v>0</v>
      </c>
      <c r="R1330" s="86" t="n">
        <f aca="false">DATE(YEAR(B1330),MONTH(B1330),1)</f>
        <v>46235</v>
      </c>
      <c r="S1330" s="83" t="str">
        <f aca="false">YEAR(B1330)&amp;"-Q"&amp;ROUNDUP(MONTH(B1330)/3,0)</f>
        <v>2026-Q3</v>
      </c>
      <c r="T1330" s="87" t="str">
        <f aca="false">IF(O1330&gt;0,Q1330/O1330,"")</f>
        <v/>
      </c>
      <c r="U1330" s="84" t="str">
        <f aca="false">IF(O1330&gt;0,O1330,"")</f>
        <v/>
      </c>
    </row>
    <row r="1331" customFormat="false" ht="15" hidden="false" customHeight="false" outlineLevel="0" collapsed="false">
      <c r="A1331" s="81" t="s">
        <v>1974</v>
      </c>
      <c r="B1331" s="82" t="n">
        <v>46252</v>
      </c>
      <c r="C1331" s="81" t="s">
        <v>306</v>
      </c>
      <c r="D1331" s="83" t="str">
        <f aca="false">IFERROR(INDEX(c_Name,MATCH($C1331,c_ID,0)),"غير معرّف")</f>
        <v>أحمد العنزي</v>
      </c>
      <c r="E1331" s="83" t="str">
        <f aca="false">IFERROR(INDEX(c_Region,MATCH($C1331,c_ID,0)),"غير معرّف")</f>
        <v>الغربية</v>
      </c>
      <c r="F1331" s="81" t="s">
        <v>177</v>
      </c>
      <c r="G1331" s="83" t="str">
        <f aca="false">IFERROR(INDEX(p_Name,MATCH($F1331,p_ID,0)),"غير معرّف")</f>
        <v>ورق A4 (صندوق)</v>
      </c>
      <c r="H1331" s="83" t="str">
        <f aca="false">IFERROR(INDEX(p_Cat,MATCH($F1331,p_ID,0)),"غير معرّف")</f>
        <v>مستلزمات مكتبية</v>
      </c>
      <c r="I1331" s="81" t="s">
        <v>458</v>
      </c>
      <c r="J1331" s="81" t="s">
        <v>91</v>
      </c>
      <c r="K1331" s="81" t="n">
        <v>6</v>
      </c>
      <c r="L1331" s="84" t="n">
        <f aca="false">IFERROR(INDEX(p_Price,MATCH($F1331,p_ID,0)),0)</f>
        <v>140</v>
      </c>
      <c r="M1331" s="85" t="n">
        <v>0.05</v>
      </c>
      <c r="N1331" s="81" t="s">
        <v>644</v>
      </c>
      <c r="O1331" s="84" t="n">
        <f aca="false">IF($N1331="مرتجع",0,K1331*L1331*(1-M1331))</f>
        <v>798</v>
      </c>
      <c r="P1331" s="84" t="n">
        <f aca="false">IF($N1331="مرتجع",0,K1331*IFERROR(INDEX(p_Cost,MATCH($F1331,p_ID,0)),0))</f>
        <v>570</v>
      </c>
      <c r="Q1331" s="84" t="n">
        <f aca="false">O1331-P1331</f>
        <v>228</v>
      </c>
      <c r="R1331" s="86" t="n">
        <f aca="false">DATE(YEAR(B1331),MONTH(B1331),1)</f>
        <v>46235</v>
      </c>
      <c r="S1331" s="83" t="str">
        <f aca="false">YEAR(B1331)&amp;"-Q"&amp;ROUNDUP(MONTH(B1331)/3,0)</f>
        <v>2026-Q3</v>
      </c>
      <c r="T1331" s="87" t="n">
        <f aca="false">IF(O1331&gt;0,Q1331/O1331,"")</f>
        <v>0.285714285714286</v>
      </c>
      <c r="U1331" s="84" t="n">
        <f aca="false">IF(O1331&gt;0,O1331,"")</f>
        <v>798</v>
      </c>
    </row>
    <row r="1332" customFormat="false" ht="15" hidden="false" customHeight="false" outlineLevel="0" collapsed="false">
      <c r="A1332" s="81" t="s">
        <v>1975</v>
      </c>
      <c r="B1332" s="82" t="n">
        <v>46252</v>
      </c>
      <c r="C1332" s="81" t="s">
        <v>367</v>
      </c>
      <c r="D1332" s="83" t="str">
        <f aca="false">IFERROR(INDEX(c_Name,MATCH($C1332,c_ID,0)),"غير معرّف")</f>
        <v>سارة الحربي</v>
      </c>
      <c r="E1332" s="83" t="str">
        <f aca="false">IFERROR(INDEX(c_Region,MATCH($C1332,c_ID,0)),"غير معرّف")</f>
        <v>الغربية</v>
      </c>
      <c r="F1332" s="81" t="s">
        <v>183</v>
      </c>
      <c r="G1332" s="83" t="str">
        <f aca="false">IFERROR(INDEX(p_Name,MATCH($F1332,p_ID,0)),"غير معرّف")</f>
        <v>سجادة يوغا</v>
      </c>
      <c r="H1332" s="83" t="str">
        <f aca="false">IFERROR(INDEX(p_Cat,MATCH($F1332,p_ID,0)),"غير معرّف")</f>
        <v>رياضة</v>
      </c>
      <c r="I1332" s="81" t="s">
        <v>455</v>
      </c>
      <c r="J1332" s="81" t="s">
        <v>91</v>
      </c>
      <c r="K1332" s="81" t="n">
        <v>2</v>
      </c>
      <c r="L1332" s="84" t="n">
        <f aca="false">IFERROR(INDEX(p_Price,MATCH($F1332,p_ID,0)),0)</f>
        <v>120</v>
      </c>
      <c r="M1332" s="85" t="n">
        <v>0.05</v>
      </c>
      <c r="N1332" s="81" t="s">
        <v>644</v>
      </c>
      <c r="O1332" s="84" t="n">
        <f aca="false">IF($N1332="مرتجع",0,K1332*L1332*(1-M1332))</f>
        <v>228</v>
      </c>
      <c r="P1332" s="84" t="n">
        <f aca="false">IF($N1332="مرتجع",0,K1332*IFERROR(INDEX(p_Cost,MATCH($F1332,p_ID,0)),0))</f>
        <v>100</v>
      </c>
      <c r="Q1332" s="84" t="n">
        <f aca="false">O1332-P1332</f>
        <v>128</v>
      </c>
      <c r="R1332" s="86" t="n">
        <f aca="false">DATE(YEAR(B1332),MONTH(B1332),1)</f>
        <v>46235</v>
      </c>
      <c r="S1332" s="83" t="str">
        <f aca="false">YEAR(B1332)&amp;"-Q"&amp;ROUNDUP(MONTH(B1332)/3,0)</f>
        <v>2026-Q3</v>
      </c>
      <c r="T1332" s="87" t="n">
        <f aca="false">IF(O1332&gt;0,Q1332/O1332,"")</f>
        <v>0.56140350877193</v>
      </c>
      <c r="U1332" s="84" t="n">
        <f aca="false">IF(O1332&gt;0,O1332,"")</f>
        <v>228</v>
      </c>
    </row>
    <row r="1333" customFormat="false" ht="15" hidden="false" customHeight="false" outlineLevel="0" collapsed="false">
      <c r="A1333" s="81" t="s">
        <v>1976</v>
      </c>
      <c r="B1333" s="82" t="n">
        <v>46253</v>
      </c>
      <c r="C1333" s="81" t="s">
        <v>264</v>
      </c>
      <c r="D1333" s="83" t="str">
        <f aca="false">IFERROR(INDEX(c_Name,MATCH($C1333,c_ID,0)),"غير معرّف")</f>
        <v>عبدالله التميمي</v>
      </c>
      <c r="E1333" s="83" t="str">
        <f aca="false">IFERROR(INDEX(c_Region,MATCH($C1333,c_ID,0)),"غير معرّف")</f>
        <v>الوسطى</v>
      </c>
      <c r="F1333" s="81" t="s">
        <v>164</v>
      </c>
      <c r="G1333" s="83" t="str">
        <f aca="false">IFERROR(INDEX(p_Name,MATCH($F1333,p_ID,0)),"غير معرّف")</f>
        <v>هاتف ذكي</v>
      </c>
      <c r="H1333" s="83" t="str">
        <f aca="false">IFERROR(INDEX(p_Cat,MATCH($F1333,p_ID,0)),"غير معرّف")</f>
        <v>إلكترونيات</v>
      </c>
      <c r="I1333" s="81" t="s">
        <v>443</v>
      </c>
      <c r="J1333" s="81" t="s">
        <v>91</v>
      </c>
      <c r="K1333" s="81" t="n">
        <v>1</v>
      </c>
      <c r="L1333" s="84" t="n">
        <f aca="false">IFERROR(INDEX(p_Price,MATCH($F1333,p_ID,0)),0)</f>
        <v>2400</v>
      </c>
      <c r="M1333" s="85" t="n">
        <v>0</v>
      </c>
      <c r="N1333" s="81" t="s">
        <v>644</v>
      </c>
      <c r="O1333" s="84" t="n">
        <f aca="false">IF($N1333="مرتجع",0,K1333*L1333*(1-M1333))</f>
        <v>2400</v>
      </c>
      <c r="P1333" s="84" t="n">
        <f aca="false">IF($N1333="مرتجع",0,K1333*IFERROR(INDEX(p_Cost,MATCH($F1333,p_ID,0)),0))</f>
        <v>1750</v>
      </c>
      <c r="Q1333" s="84" t="n">
        <f aca="false">O1333-P1333</f>
        <v>650</v>
      </c>
      <c r="R1333" s="86" t="n">
        <f aca="false">DATE(YEAR(B1333),MONTH(B1333),1)</f>
        <v>46235</v>
      </c>
      <c r="S1333" s="83" t="str">
        <f aca="false">YEAR(B1333)&amp;"-Q"&amp;ROUNDUP(MONTH(B1333)/3,0)</f>
        <v>2026-Q3</v>
      </c>
      <c r="T1333" s="87" t="n">
        <f aca="false">IF(O1333&gt;0,Q1333/O1333,"")</f>
        <v>0.270833333333333</v>
      </c>
      <c r="U1333" s="84" t="n">
        <f aca="false">IF(O1333&gt;0,O1333,"")</f>
        <v>2400</v>
      </c>
    </row>
    <row r="1334" customFormat="false" ht="15" hidden="false" customHeight="false" outlineLevel="0" collapsed="false">
      <c r="A1334" s="81" t="s">
        <v>1977</v>
      </c>
      <c r="B1334" s="82" t="n">
        <v>46254</v>
      </c>
      <c r="C1334" s="81" t="s">
        <v>311</v>
      </c>
      <c r="D1334" s="83" t="str">
        <f aca="false">IFERROR(INDEX(c_Name,MATCH($C1334,c_ID,0)),"غير معرّف")</f>
        <v>لمى الحسيني</v>
      </c>
      <c r="E1334" s="83" t="str">
        <f aca="false">IFERROR(INDEX(c_Region,MATCH($C1334,c_ID,0)),"غير معرّف")</f>
        <v>الوسطى</v>
      </c>
      <c r="F1334" s="81" t="s">
        <v>177</v>
      </c>
      <c r="G1334" s="83" t="str">
        <f aca="false">IFERROR(INDEX(p_Name,MATCH($F1334,p_ID,0)),"غير معرّف")</f>
        <v>ورق A4 (صندوق)</v>
      </c>
      <c r="H1334" s="83" t="str">
        <f aca="false">IFERROR(INDEX(p_Cat,MATCH($F1334,p_ID,0)),"غير معرّف")</f>
        <v>مستلزمات مكتبية</v>
      </c>
      <c r="I1334" s="81" t="s">
        <v>443</v>
      </c>
      <c r="J1334" s="81" t="s">
        <v>93</v>
      </c>
      <c r="K1334" s="81" t="n">
        <v>2</v>
      </c>
      <c r="L1334" s="84" t="n">
        <f aca="false">IFERROR(INDEX(p_Price,MATCH($F1334,p_ID,0)),0)</f>
        <v>140</v>
      </c>
      <c r="M1334" s="85" t="n">
        <v>0.15</v>
      </c>
      <c r="N1334" s="81" t="s">
        <v>644</v>
      </c>
      <c r="O1334" s="84" t="n">
        <f aca="false">IF($N1334="مرتجع",0,K1334*L1334*(1-M1334))</f>
        <v>238</v>
      </c>
      <c r="P1334" s="84" t="n">
        <f aca="false">IF($N1334="مرتجع",0,K1334*IFERROR(INDEX(p_Cost,MATCH($F1334,p_ID,0)),0))</f>
        <v>190</v>
      </c>
      <c r="Q1334" s="84" t="n">
        <f aca="false">O1334-P1334</f>
        <v>48</v>
      </c>
      <c r="R1334" s="86" t="n">
        <f aca="false">DATE(YEAR(B1334),MONTH(B1334),1)</f>
        <v>46235</v>
      </c>
      <c r="S1334" s="83" t="str">
        <f aca="false">YEAR(B1334)&amp;"-Q"&amp;ROUNDUP(MONTH(B1334)/3,0)</f>
        <v>2026-Q3</v>
      </c>
      <c r="T1334" s="87" t="n">
        <f aca="false">IF(O1334&gt;0,Q1334/O1334,"")</f>
        <v>0.201680672268908</v>
      </c>
      <c r="U1334" s="84" t="n">
        <f aca="false">IF(O1334&gt;0,O1334,"")</f>
        <v>238</v>
      </c>
    </row>
    <row r="1335" customFormat="false" ht="15" hidden="false" customHeight="false" outlineLevel="0" collapsed="false">
      <c r="A1335" s="81" t="s">
        <v>1978</v>
      </c>
      <c r="B1335" s="82" t="n">
        <v>46254</v>
      </c>
      <c r="C1335" s="81" t="s">
        <v>291</v>
      </c>
      <c r="D1335" s="83" t="str">
        <f aca="false">IFERROR(INDEX(c_Name,MATCH($C1335,c_ID,0)),"غير معرّف")</f>
        <v>ياسر الشمري</v>
      </c>
      <c r="E1335" s="83" t="str">
        <f aca="false">IFERROR(INDEX(c_Region,MATCH($C1335,c_ID,0)),"غير معرّف")</f>
        <v>الوسطى</v>
      </c>
      <c r="F1335" s="81" t="s">
        <v>186</v>
      </c>
      <c r="G1335" s="83" t="str">
        <f aca="false">IFERROR(INDEX(p_Name,MATCH($F1335,p_ID,0)),"غير معرّف")</f>
        <v>مجفف شعر</v>
      </c>
      <c r="H1335" s="83" t="str">
        <f aca="false">IFERROR(INDEX(p_Cat,MATCH($F1335,p_ID,0)),"غير معرّف")</f>
        <v>عناية شخصية</v>
      </c>
      <c r="I1335" s="81" t="s">
        <v>443</v>
      </c>
      <c r="J1335" s="81" t="s">
        <v>91</v>
      </c>
      <c r="K1335" s="81" t="n">
        <v>2</v>
      </c>
      <c r="L1335" s="84" t="n">
        <f aca="false">IFERROR(INDEX(p_Price,MATCH($F1335,p_ID,0)),0)</f>
        <v>280</v>
      </c>
      <c r="M1335" s="85" t="n">
        <v>0</v>
      </c>
      <c r="N1335" s="81" t="s">
        <v>644</v>
      </c>
      <c r="O1335" s="84" t="n">
        <f aca="false">IF($N1335="مرتجع",0,K1335*L1335*(1-M1335))</f>
        <v>560</v>
      </c>
      <c r="P1335" s="84" t="n">
        <f aca="false">IF($N1335="مرتجع",0,K1335*IFERROR(INDEX(p_Cost,MATCH($F1335,p_ID,0)),0))</f>
        <v>280</v>
      </c>
      <c r="Q1335" s="84" t="n">
        <f aca="false">O1335-P1335</f>
        <v>280</v>
      </c>
      <c r="R1335" s="86" t="n">
        <f aca="false">DATE(YEAR(B1335),MONTH(B1335),1)</f>
        <v>46235</v>
      </c>
      <c r="S1335" s="83" t="str">
        <f aca="false">YEAR(B1335)&amp;"-Q"&amp;ROUNDUP(MONTH(B1335)/3,0)</f>
        <v>2026-Q3</v>
      </c>
      <c r="T1335" s="87" t="n">
        <f aca="false">IF(O1335&gt;0,Q1335/O1335,"")</f>
        <v>0.5</v>
      </c>
      <c r="U1335" s="84" t="n">
        <f aca="false">IF(O1335&gt;0,O1335,"")</f>
        <v>560</v>
      </c>
    </row>
    <row r="1336" customFormat="false" ht="15" hidden="false" customHeight="false" outlineLevel="0" collapsed="false">
      <c r="A1336" s="81" t="s">
        <v>1979</v>
      </c>
      <c r="B1336" s="82" t="n">
        <v>46254</v>
      </c>
      <c r="C1336" s="81" t="s">
        <v>246</v>
      </c>
      <c r="D1336" s="83" t="str">
        <f aca="false">IFERROR(INDEX(c_Name,MATCH($C1336,c_ID,0)),"غير معرّف")</f>
        <v>ياسر العتيبي</v>
      </c>
      <c r="E1336" s="83" t="str">
        <f aca="false">IFERROR(INDEX(c_Region,MATCH($C1336,c_ID,0)),"غير معرّف")</f>
        <v>الجنوبية</v>
      </c>
      <c r="F1336" s="81" t="s">
        <v>187</v>
      </c>
      <c r="G1336" s="83" t="str">
        <f aca="false">IFERROR(INDEX(p_Name,MATCH($F1336,p_ID,0)),"غير معرّف")</f>
        <v>جهاز تدليك</v>
      </c>
      <c r="H1336" s="83" t="str">
        <f aca="false">IFERROR(INDEX(p_Cat,MATCH($F1336,p_ID,0)),"غير معرّف")</f>
        <v>عناية شخصية</v>
      </c>
      <c r="I1336" s="81" t="s">
        <v>465</v>
      </c>
      <c r="J1336" s="81" t="s">
        <v>93</v>
      </c>
      <c r="K1336" s="81" t="n">
        <v>2</v>
      </c>
      <c r="L1336" s="84" t="n">
        <f aca="false">IFERROR(INDEX(p_Price,MATCH($F1336,p_ID,0)),0)</f>
        <v>600</v>
      </c>
      <c r="M1336" s="85" t="n">
        <v>0.1</v>
      </c>
      <c r="N1336" s="81" t="s">
        <v>644</v>
      </c>
      <c r="O1336" s="84" t="n">
        <f aca="false">IF($N1336="مرتجع",0,K1336*L1336*(1-M1336))</f>
        <v>1080</v>
      </c>
      <c r="P1336" s="84" t="n">
        <f aca="false">IF($N1336="مرتجع",0,K1336*IFERROR(INDEX(p_Cost,MATCH($F1336,p_ID,0)),0))</f>
        <v>660</v>
      </c>
      <c r="Q1336" s="84" t="n">
        <f aca="false">O1336-P1336</f>
        <v>420</v>
      </c>
      <c r="R1336" s="86" t="n">
        <f aca="false">DATE(YEAR(B1336),MONTH(B1336),1)</f>
        <v>46235</v>
      </c>
      <c r="S1336" s="83" t="str">
        <f aca="false">YEAR(B1336)&amp;"-Q"&amp;ROUNDUP(MONTH(B1336)/3,0)</f>
        <v>2026-Q3</v>
      </c>
      <c r="T1336" s="87" t="n">
        <f aca="false">IF(O1336&gt;0,Q1336/O1336,"")</f>
        <v>0.388888888888889</v>
      </c>
      <c r="U1336" s="84" t="n">
        <f aca="false">IF(O1336&gt;0,O1336,"")</f>
        <v>1080</v>
      </c>
    </row>
    <row r="1337" customFormat="false" ht="15" hidden="false" customHeight="false" outlineLevel="0" collapsed="false">
      <c r="A1337" s="81" t="s">
        <v>1980</v>
      </c>
      <c r="B1337" s="82" t="n">
        <v>46254</v>
      </c>
      <c r="C1337" s="81" t="s">
        <v>376</v>
      </c>
      <c r="D1337" s="83" t="str">
        <f aca="false">IFERROR(INDEX(c_Name,MATCH($C1337,c_ID,0)),"غير معرّف")</f>
        <v>لمى السبيعي</v>
      </c>
      <c r="E1337" s="83" t="str">
        <f aca="false">IFERROR(INDEX(c_Region,MATCH($C1337,c_ID,0)),"غير معرّف")</f>
        <v>الشرقية</v>
      </c>
      <c r="F1337" s="81" t="s">
        <v>178</v>
      </c>
      <c r="G1337" s="83" t="str">
        <f aca="false">IFERROR(INDEX(p_Name,MATCH($F1337,p_ID,0)),"غير معرّف")</f>
        <v>حقيبة لابتوب</v>
      </c>
      <c r="H1337" s="83" t="str">
        <f aca="false">IFERROR(INDEX(p_Cat,MATCH($F1337,p_ID,0)),"غير معرّف")</f>
        <v>مستلزمات مكتبية</v>
      </c>
      <c r="I1337" s="81" t="s">
        <v>463</v>
      </c>
      <c r="J1337" s="81" t="s">
        <v>93</v>
      </c>
      <c r="K1337" s="81" t="n">
        <v>1</v>
      </c>
      <c r="L1337" s="84" t="n">
        <f aca="false">IFERROR(INDEX(p_Price,MATCH($F1337,p_ID,0)),0)</f>
        <v>260</v>
      </c>
      <c r="M1337" s="85" t="n">
        <v>0.15</v>
      </c>
      <c r="N1337" s="81" t="s">
        <v>644</v>
      </c>
      <c r="O1337" s="84" t="n">
        <f aca="false">IF($N1337="مرتجع",0,K1337*L1337*(1-M1337))</f>
        <v>221</v>
      </c>
      <c r="P1337" s="84" t="n">
        <f aca="false">IF($N1337="مرتجع",0,K1337*IFERROR(INDEX(p_Cost,MATCH($F1337,p_ID,0)),0))</f>
        <v>120</v>
      </c>
      <c r="Q1337" s="84" t="n">
        <f aca="false">O1337-P1337</f>
        <v>101</v>
      </c>
      <c r="R1337" s="86" t="n">
        <f aca="false">DATE(YEAR(B1337),MONTH(B1337),1)</f>
        <v>46235</v>
      </c>
      <c r="S1337" s="83" t="str">
        <f aca="false">YEAR(B1337)&amp;"-Q"&amp;ROUNDUP(MONTH(B1337)/3,0)</f>
        <v>2026-Q3</v>
      </c>
      <c r="T1337" s="87" t="n">
        <f aca="false">IF(O1337&gt;0,Q1337/O1337,"")</f>
        <v>0.457013574660633</v>
      </c>
      <c r="U1337" s="84" t="n">
        <f aca="false">IF(O1337&gt;0,O1337,"")</f>
        <v>221</v>
      </c>
    </row>
    <row r="1338" customFormat="false" ht="15" hidden="false" customHeight="false" outlineLevel="0" collapsed="false">
      <c r="A1338" s="81" t="s">
        <v>1981</v>
      </c>
      <c r="B1338" s="82" t="n">
        <v>46255</v>
      </c>
      <c r="C1338" s="81" t="s">
        <v>404</v>
      </c>
      <c r="D1338" s="83" t="str">
        <f aca="false">IFERROR(INDEX(c_Name,MATCH($C1338,c_ID,0)),"غير معرّف")</f>
        <v>عبدالله الحسيني</v>
      </c>
      <c r="E1338" s="83" t="str">
        <f aca="false">IFERROR(INDEX(c_Region,MATCH($C1338,c_ID,0)),"غير معرّف")</f>
        <v>الشرقية</v>
      </c>
      <c r="F1338" s="81" t="s">
        <v>186</v>
      </c>
      <c r="G1338" s="83" t="str">
        <f aca="false">IFERROR(INDEX(p_Name,MATCH($F1338,p_ID,0)),"غير معرّف")</f>
        <v>مجفف شعر</v>
      </c>
      <c r="H1338" s="83" t="str">
        <f aca="false">IFERROR(INDEX(p_Cat,MATCH($F1338,p_ID,0)),"غير معرّف")</f>
        <v>عناية شخصية</v>
      </c>
      <c r="I1338" s="81" t="s">
        <v>463</v>
      </c>
      <c r="J1338" s="81" t="s">
        <v>93</v>
      </c>
      <c r="K1338" s="81" t="n">
        <v>1</v>
      </c>
      <c r="L1338" s="84" t="n">
        <f aca="false">IFERROR(INDEX(p_Price,MATCH($F1338,p_ID,0)),0)</f>
        <v>280</v>
      </c>
      <c r="M1338" s="85" t="n">
        <v>0</v>
      </c>
      <c r="N1338" s="81" t="s">
        <v>644</v>
      </c>
      <c r="O1338" s="84" t="n">
        <f aca="false">IF($N1338="مرتجع",0,K1338*L1338*(1-M1338))</f>
        <v>280</v>
      </c>
      <c r="P1338" s="84" t="n">
        <f aca="false">IF($N1338="مرتجع",0,K1338*IFERROR(INDEX(p_Cost,MATCH($F1338,p_ID,0)),0))</f>
        <v>140</v>
      </c>
      <c r="Q1338" s="84" t="n">
        <f aca="false">O1338-P1338</f>
        <v>140</v>
      </c>
      <c r="R1338" s="86" t="n">
        <f aca="false">DATE(YEAR(B1338),MONTH(B1338),1)</f>
        <v>46235</v>
      </c>
      <c r="S1338" s="83" t="str">
        <f aca="false">YEAR(B1338)&amp;"-Q"&amp;ROUNDUP(MONTH(B1338)/3,0)</f>
        <v>2026-Q3</v>
      </c>
      <c r="T1338" s="87" t="n">
        <f aca="false">IF(O1338&gt;0,Q1338/O1338,"")</f>
        <v>0.5</v>
      </c>
      <c r="U1338" s="84" t="n">
        <f aca="false">IF(O1338&gt;0,O1338,"")</f>
        <v>280</v>
      </c>
    </row>
    <row r="1339" customFormat="false" ht="15" hidden="false" customHeight="false" outlineLevel="0" collapsed="false">
      <c r="A1339" s="81" t="s">
        <v>1982</v>
      </c>
      <c r="B1339" s="82" t="n">
        <v>46255</v>
      </c>
      <c r="C1339" s="81" t="s">
        <v>363</v>
      </c>
      <c r="D1339" s="83" t="str">
        <f aca="false">IFERROR(INDEX(c_Name,MATCH($C1339,c_ID,0)),"غير معرّف")</f>
        <v>سلمان البلوي</v>
      </c>
      <c r="E1339" s="83" t="str">
        <f aca="false">IFERROR(INDEX(c_Region,MATCH($C1339,c_ID,0)),"غير معرّف")</f>
        <v>الوسطى</v>
      </c>
      <c r="F1339" s="81" t="s">
        <v>169</v>
      </c>
      <c r="G1339" s="83" t="str">
        <f aca="false">IFERROR(INDEX(p_Name,MATCH($F1339,p_ID,0)),"غير معرّف")</f>
        <v>خلاط</v>
      </c>
      <c r="H1339" s="83" t="str">
        <f aca="false">IFERROR(INDEX(p_Cat,MATCH($F1339,p_ID,0)),"غير معرّف")</f>
        <v>أجهزة منزلية</v>
      </c>
      <c r="I1339" s="81" t="s">
        <v>449</v>
      </c>
      <c r="J1339" s="81" t="s">
        <v>93</v>
      </c>
      <c r="K1339" s="81" t="n">
        <v>1</v>
      </c>
      <c r="L1339" s="84" t="n">
        <f aca="false">IFERROR(INDEX(p_Price,MATCH($F1339,p_ID,0)),0)</f>
        <v>300</v>
      </c>
      <c r="M1339" s="85" t="n">
        <v>0.05</v>
      </c>
      <c r="N1339" s="81" t="s">
        <v>644</v>
      </c>
      <c r="O1339" s="84" t="n">
        <f aca="false">IF($N1339="مرتجع",0,K1339*L1339*(1-M1339))</f>
        <v>285</v>
      </c>
      <c r="P1339" s="84" t="n">
        <f aca="false">IF($N1339="مرتجع",0,K1339*IFERROR(INDEX(p_Cost,MATCH($F1339,p_ID,0)),0))</f>
        <v>175</v>
      </c>
      <c r="Q1339" s="84" t="n">
        <f aca="false">O1339-P1339</f>
        <v>110</v>
      </c>
      <c r="R1339" s="86" t="n">
        <f aca="false">DATE(YEAR(B1339),MONTH(B1339),1)</f>
        <v>46235</v>
      </c>
      <c r="S1339" s="83" t="str">
        <f aca="false">YEAR(B1339)&amp;"-Q"&amp;ROUNDUP(MONTH(B1339)/3,0)</f>
        <v>2026-Q3</v>
      </c>
      <c r="T1339" s="87" t="n">
        <f aca="false">IF(O1339&gt;0,Q1339/O1339,"")</f>
        <v>0.385964912280702</v>
      </c>
      <c r="U1339" s="84" t="n">
        <f aca="false">IF(O1339&gt;0,O1339,"")</f>
        <v>285</v>
      </c>
    </row>
    <row r="1340" customFormat="false" ht="15" hidden="false" customHeight="false" outlineLevel="0" collapsed="false">
      <c r="A1340" s="81" t="s">
        <v>1983</v>
      </c>
      <c r="B1340" s="82" t="n">
        <v>46255</v>
      </c>
      <c r="C1340" s="81" t="s">
        <v>270</v>
      </c>
      <c r="D1340" s="83" t="str">
        <f aca="false">IFERROR(INDEX(c_Name,MATCH($C1340,c_ID,0)),"غير معرّف")</f>
        <v>ريم التميمي</v>
      </c>
      <c r="E1340" s="83" t="str">
        <f aca="false">IFERROR(INDEX(c_Region,MATCH($C1340,c_ID,0)),"غير معرّف")</f>
        <v>الشرقية</v>
      </c>
      <c r="F1340" s="81" t="s">
        <v>187</v>
      </c>
      <c r="G1340" s="83" t="str">
        <f aca="false">IFERROR(INDEX(p_Name,MATCH($F1340,p_ID,0)),"غير معرّف")</f>
        <v>جهاز تدليك</v>
      </c>
      <c r="H1340" s="83" t="str">
        <f aca="false">IFERROR(INDEX(p_Cat,MATCH($F1340,p_ID,0)),"غير معرّف")</f>
        <v>عناية شخصية</v>
      </c>
      <c r="I1340" s="81" t="s">
        <v>461</v>
      </c>
      <c r="J1340" s="81" t="s">
        <v>93</v>
      </c>
      <c r="K1340" s="81" t="n">
        <v>2</v>
      </c>
      <c r="L1340" s="84" t="n">
        <f aca="false">IFERROR(INDEX(p_Price,MATCH($F1340,p_ID,0)),0)</f>
        <v>600</v>
      </c>
      <c r="M1340" s="85" t="n">
        <v>0</v>
      </c>
      <c r="N1340" s="81" t="s">
        <v>644</v>
      </c>
      <c r="O1340" s="84" t="n">
        <f aca="false">IF($N1340="مرتجع",0,K1340*L1340*(1-M1340))</f>
        <v>1200</v>
      </c>
      <c r="P1340" s="84" t="n">
        <f aca="false">IF($N1340="مرتجع",0,K1340*IFERROR(INDEX(p_Cost,MATCH($F1340,p_ID,0)),0))</f>
        <v>660</v>
      </c>
      <c r="Q1340" s="84" t="n">
        <f aca="false">O1340-P1340</f>
        <v>540</v>
      </c>
      <c r="R1340" s="86" t="n">
        <f aca="false">DATE(YEAR(B1340),MONTH(B1340),1)</f>
        <v>46235</v>
      </c>
      <c r="S1340" s="83" t="str">
        <f aca="false">YEAR(B1340)&amp;"-Q"&amp;ROUNDUP(MONTH(B1340)/3,0)</f>
        <v>2026-Q3</v>
      </c>
      <c r="T1340" s="87" t="n">
        <f aca="false">IF(O1340&gt;0,Q1340/O1340,"")</f>
        <v>0.45</v>
      </c>
      <c r="U1340" s="84" t="n">
        <f aca="false">IF(O1340&gt;0,O1340,"")</f>
        <v>1200</v>
      </c>
    </row>
    <row r="1341" customFormat="false" ht="15" hidden="false" customHeight="false" outlineLevel="0" collapsed="false">
      <c r="A1341" s="81" t="s">
        <v>1984</v>
      </c>
      <c r="B1341" s="82" t="n">
        <v>46256</v>
      </c>
      <c r="C1341" s="81" t="s">
        <v>425</v>
      </c>
      <c r="D1341" s="83" t="str">
        <f aca="false">IFERROR(INDEX(c_Name,MATCH($C1341,c_ID,0)),"غير معرّف")</f>
        <v>عبدالله الشمري</v>
      </c>
      <c r="E1341" s="83" t="str">
        <f aca="false">IFERROR(INDEX(c_Region,MATCH($C1341,c_ID,0)),"غير معرّف")</f>
        <v>الجنوبية</v>
      </c>
      <c r="F1341" s="81" t="s">
        <v>186</v>
      </c>
      <c r="G1341" s="83" t="str">
        <f aca="false">IFERROR(INDEX(p_Name,MATCH($F1341,p_ID,0)),"غير معرّف")</f>
        <v>مجفف شعر</v>
      </c>
      <c r="H1341" s="83" t="str">
        <f aca="false">IFERROR(INDEX(p_Cat,MATCH($F1341,p_ID,0)),"غير معرّف")</f>
        <v>عناية شخصية</v>
      </c>
      <c r="I1341" s="81" t="s">
        <v>467</v>
      </c>
      <c r="J1341" s="81" t="s">
        <v>91</v>
      </c>
      <c r="K1341" s="81" t="n">
        <v>2</v>
      </c>
      <c r="L1341" s="84" t="n">
        <f aca="false">IFERROR(INDEX(p_Price,MATCH($F1341,p_ID,0)),0)</f>
        <v>280</v>
      </c>
      <c r="M1341" s="85" t="n">
        <v>0</v>
      </c>
      <c r="N1341" s="81" t="s">
        <v>650</v>
      </c>
      <c r="O1341" s="84" t="n">
        <f aca="false">IF($N1341="مرتجع",0,K1341*L1341*(1-M1341))</f>
        <v>0</v>
      </c>
      <c r="P1341" s="84" t="n">
        <f aca="false">IF($N1341="مرتجع",0,K1341*IFERROR(INDEX(p_Cost,MATCH($F1341,p_ID,0)),0))</f>
        <v>0</v>
      </c>
      <c r="Q1341" s="84" t="n">
        <f aca="false">O1341-P1341</f>
        <v>0</v>
      </c>
      <c r="R1341" s="86" t="n">
        <f aca="false">DATE(YEAR(B1341),MONTH(B1341),1)</f>
        <v>46235</v>
      </c>
      <c r="S1341" s="83" t="str">
        <f aca="false">YEAR(B1341)&amp;"-Q"&amp;ROUNDUP(MONTH(B1341)/3,0)</f>
        <v>2026-Q3</v>
      </c>
      <c r="T1341" s="87" t="str">
        <f aca="false">IF(O1341&gt;0,Q1341/O1341,"")</f>
        <v/>
      </c>
      <c r="U1341" s="84" t="str">
        <f aca="false">IF(O1341&gt;0,O1341,"")</f>
        <v/>
      </c>
    </row>
    <row r="1342" customFormat="false" ht="15" hidden="false" customHeight="false" outlineLevel="0" collapsed="false">
      <c r="A1342" s="81" t="s">
        <v>1985</v>
      </c>
      <c r="B1342" s="82" t="n">
        <v>46256</v>
      </c>
      <c r="C1342" s="81" t="s">
        <v>278</v>
      </c>
      <c r="D1342" s="83" t="str">
        <f aca="false">IFERROR(INDEX(c_Name,MATCH($C1342,c_ID,0)),"غير معرّف")</f>
        <v>طارق الشمري</v>
      </c>
      <c r="E1342" s="83" t="str">
        <f aca="false">IFERROR(INDEX(c_Region,MATCH($C1342,c_ID,0)),"غير معرّف")</f>
        <v>الجنوبية</v>
      </c>
      <c r="F1342" s="81" t="s">
        <v>176</v>
      </c>
      <c r="G1342" s="83" t="str">
        <f aca="false">IFERROR(INDEX(p_Name,MATCH($F1342,p_ID,0)),"غير معرّف")</f>
        <v>طابعة ليزر</v>
      </c>
      <c r="H1342" s="83" t="str">
        <f aca="false">IFERROR(INDEX(p_Cat,MATCH($F1342,p_ID,0)),"غير معرّف")</f>
        <v>مستلزمات مكتبية</v>
      </c>
      <c r="I1342" s="81" t="s">
        <v>467</v>
      </c>
      <c r="J1342" s="81" t="s">
        <v>91</v>
      </c>
      <c r="K1342" s="81" t="n">
        <v>21</v>
      </c>
      <c r="L1342" s="84" t="n">
        <f aca="false">IFERROR(INDEX(p_Price,MATCH($F1342,p_ID,0)),0)</f>
        <v>1300</v>
      </c>
      <c r="M1342" s="85" t="n">
        <v>0.05</v>
      </c>
      <c r="N1342" s="81" t="s">
        <v>644</v>
      </c>
      <c r="O1342" s="84" t="n">
        <f aca="false">IF($N1342="مرتجع",0,K1342*L1342*(1-M1342))</f>
        <v>25935</v>
      </c>
      <c r="P1342" s="84" t="n">
        <f aca="false">IF($N1342="مرتجع",0,K1342*IFERROR(INDEX(p_Cost,MATCH($F1342,p_ID,0)),0))</f>
        <v>19950</v>
      </c>
      <c r="Q1342" s="84" t="n">
        <f aca="false">O1342-P1342</f>
        <v>5985</v>
      </c>
      <c r="R1342" s="86" t="n">
        <f aca="false">DATE(YEAR(B1342),MONTH(B1342),1)</f>
        <v>46235</v>
      </c>
      <c r="S1342" s="83" t="str">
        <f aca="false">YEAR(B1342)&amp;"-Q"&amp;ROUNDUP(MONTH(B1342)/3,0)</f>
        <v>2026-Q3</v>
      </c>
      <c r="T1342" s="87" t="n">
        <f aca="false">IF(O1342&gt;0,Q1342/O1342,"")</f>
        <v>0.230769230769231</v>
      </c>
      <c r="U1342" s="84" t="n">
        <f aca="false">IF(O1342&gt;0,O1342,"")</f>
        <v>25935</v>
      </c>
    </row>
    <row r="1343" customFormat="false" ht="15" hidden="false" customHeight="false" outlineLevel="0" collapsed="false">
      <c r="A1343" s="81" t="s">
        <v>1986</v>
      </c>
      <c r="B1343" s="82" t="n">
        <v>46256</v>
      </c>
      <c r="C1343" s="81" t="s">
        <v>265</v>
      </c>
      <c r="D1343" s="83" t="str">
        <f aca="false">IFERROR(INDEX(c_Name,MATCH($C1343,c_ID,0)),"غير معرّف")</f>
        <v>منى العنزي</v>
      </c>
      <c r="E1343" s="83" t="str">
        <f aca="false">IFERROR(INDEX(c_Region,MATCH($C1343,c_ID,0)),"غير معرّف")</f>
        <v>الشرقية</v>
      </c>
      <c r="F1343" s="81" t="s">
        <v>173</v>
      </c>
      <c r="G1343" s="83" t="str">
        <f aca="false">IFERROR(INDEX(p_Name,MATCH($F1343,p_ID,0)),"غير معرّف")</f>
        <v>كرسي مريح</v>
      </c>
      <c r="H1343" s="83" t="str">
        <f aca="false">IFERROR(INDEX(p_Cat,MATCH($F1343,p_ID,0)),"غير معرّف")</f>
        <v>أثاث</v>
      </c>
      <c r="I1343" s="81" t="s">
        <v>463</v>
      </c>
      <c r="J1343" s="81" t="s">
        <v>91</v>
      </c>
      <c r="K1343" s="81" t="n">
        <v>8</v>
      </c>
      <c r="L1343" s="84" t="n">
        <f aca="false">IFERROR(INDEX(p_Price,MATCH($F1343,p_ID,0)),0)</f>
        <v>850</v>
      </c>
      <c r="M1343" s="85" t="n">
        <v>0.05</v>
      </c>
      <c r="N1343" s="81" t="s">
        <v>644</v>
      </c>
      <c r="O1343" s="84" t="n">
        <f aca="false">IF($N1343="مرتجع",0,K1343*L1343*(1-M1343))</f>
        <v>6460</v>
      </c>
      <c r="P1343" s="84" t="n">
        <f aca="false">IF($N1343="مرتجع",0,K1343*IFERROR(INDEX(p_Cost,MATCH($F1343,p_ID,0)),0))</f>
        <v>3840</v>
      </c>
      <c r="Q1343" s="84" t="n">
        <f aca="false">O1343-P1343</f>
        <v>2620</v>
      </c>
      <c r="R1343" s="86" t="n">
        <f aca="false">DATE(YEAR(B1343),MONTH(B1343),1)</f>
        <v>46235</v>
      </c>
      <c r="S1343" s="83" t="str">
        <f aca="false">YEAR(B1343)&amp;"-Q"&amp;ROUNDUP(MONTH(B1343)/3,0)</f>
        <v>2026-Q3</v>
      </c>
      <c r="T1343" s="87" t="n">
        <f aca="false">IF(O1343&gt;0,Q1343/O1343,"")</f>
        <v>0.405572755417957</v>
      </c>
      <c r="U1343" s="84" t="n">
        <f aca="false">IF(O1343&gt;0,O1343,"")</f>
        <v>6460</v>
      </c>
    </row>
    <row r="1344" customFormat="false" ht="15" hidden="false" customHeight="false" outlineLevel="0" collapsed="false">
      <c r="A1344" s="81" t="s">
        <v>1987</v>
      </c>
      <c r="B1344" s="82" t="n">
        <v>46257</v>
      </c>
      <c r="C1344" s="81" t="s">
        <v>300</v>
      </c>
      <c r="D1344" s="83" t="str">
        <f aca="false">IFERROR(INDEX(c_Name,MATCH($C1344,c_ID,0)),"غير معرّف")</f>
        <v>فهد التميمي</v>
      </c>
      <c r="E1344" s="83" t="str">
        <f aca="false">IFERROR(INDEX(c_Region,MATCH($C1344,c_ID,0)),"غير معرّف")</f>
        <v>الوسطى</v>
      </c>
      <c r="F1344" s="81" t="s">
        <v>167</v>
      </c>
      <c r="G1344" s="83" t="str">
        <f aca="false">IFERROR(INDEX(p_Name,MATCH($F1344,p_ID,0)),"غير معرّف")</f>
        <v>شاشة 27 بوصة</v>
      </c>
      <c r="H1344" s="83" t="str">
        <f aca="false">IFERROR(INDEX(p_Cat,MATCH($F1344,p_ID,0)),"غير معرّف")</f>
        <v>إلكترونيات</v>
      </c>
      <c r="I1344" s="81" t="s">
        <v>449</v>
      </c>
      <c r="J1344" s="81" t="s">
        <v>93</v>
      </c>
      <c r="K1344" s="81" t="n">
        <v>1</v>
      </c>
      <c r="L1344" s="84" t="n">
        <f aca="false">IFERROR(INDEX(p_Price,MATCH($F1344,p_ID,0)),0)</f>
        <v>1100</v>
      </c>
      <c r="M1344" s="85" t="n">
        <v>0</v>
      </c>
      <c r="N1344" s="81" t="s">
        <v>644</v>
      </c>
      <c r="O1344" s="84" t="n">
        <f aca="false">IF($N1344="مرتجع",0,K1344*L1344*(1-M1344))</f>
        <v>1100</v>
      </c>
      <c r="P1344" s="84" t="n">
        <f aca="false">IF($N1344="مرتجع",0,K1344*IFERROR(INDEX(p_Cost,MATCH($F1344,p_ID,0)),0))</f>
        <v>780</v>
      </c>
      <c r="Q1344" s="84" t="n">
        <f aca="false">O1344-P1344</f>
        <v>320</v>
      </c>
      <c r="R1344" s="86" t="n">
        <f aca="false">DATE(YEAR(B1344),MONTH(B1344),1)</f>
        <v>46235</v>
      </c>
      <c r="S1344" s="83" t="str">
        <f aca="false">YEAR(B1344)&amp;"-Q"&amp;ROUNDUP(MONTH(B1344)/3,0)</f>
        <v>2026-Q3</v>
      </c>
      <c r="T1344" s="87" t="n">
        <f aca="false">IF(O1344&gt;0,Q1344/O1344,"")</f>
        <v>0.290909090909091</v>
      </c>
      <c r="U1344" s="84" t="n">
        <f aca="false">IF(O1344&gt;0,O1344,"")</f>
        <v>1100</v>
      </c>
    </row>
    <row r="1345" customFormat="false" ht="15" hidden="false" customHeight="false" outlineLevel="0" collapsed="false">
      <c r="A1345" s="81" t="s">
        <v>1988</v>
      </c>
      <c r="B1345" s="82" t="n">
        <v>46258</v>
      </c>
      <c r="C1345" s="81" t="s">
        <v>365</v>
      </c>
      <c r="D1345" s="83" t="str">
        <f aca="false">IFERROR(INDEX(c_Name,MATCH($C1345,c_ID,0)),"غير معرّف")</f>
        <v>نورة الغامدي</v>
      </c>
      <c r="E1345" s="83" t="str">
        <f aca="false">IFERROR(INDEX(c_Region,MATCH($C1345,c_ID,0)),"غير معرّف")</f>
        <v>الوسطى</v>
      </c>
      <c r="F1345" s="81" t="s">
        <v>185</v>
      </c>
      <c r="G1345" s="83" t="str">
        <f aca="false">IFERROR(INDEX(p_Name,MATCH($F1345,p_ID,0)),"غير معرّف")</f>
        <v>ماكينة حلاقة</v>
      </c>
      <c r="H1345" s="83" t="str">
        <f aca="false">IFERROR(INDEX(p_Cat,MATCH($F1345,p_ID,0)),"غير معرّف")</f>
        <v>عناية شخصية</v>
      </c>
      <c r="I1345" s="81" t="s">
        <v>446</v>
      </c>
      <c r="J1345" s="81" t="s">
        <v>91</v>
      </c>
      <c r="K1345" s="81" t="n">
        <v>1</v>
      </c>
      <c r="L1345" s="84" t="n">
        <f aca="false">IFERROR(INDEX(p_Price,MATCH($F1345,p_ID,0)),0)</f>
        <v>340</v>
      </c>
      <c r="M1345" s="85" t="n">
        <v>0</v>
      </c>
      <c r="N1345" s="81" t="s">
        <v>644</v>
      </c>
      <c r="O1345" s="84" t="n">
        <f aca="false">IF($N1345="مرتجع",0,K1345*L1345*(1-M1345))</f>
        <v>340</v>
      </c>
      <c r="P1345" s="84" t="n">
        <f aca="false">IF($N1345="مرتجع",0,K1345*IFERROR(INDEX(p_Cost,MATCH($F1345,p_ID,0)),0))</f>
        <v>170</v>
      </c>
      <c r="Q1345" s="84" t="n">
        <f aca="false">O1345-P1345</f>
        <v>170</v>
      </c>
      <c r="R1345" s="86" t="n">
        <f aca="false">DATE(YEAR(B1345),MONTH(B1345),1)</f>
        <v>46235</v>
      </c>
      <c r="S1345" s="83" t="str">
        <f aca="false">YEAR(B1345)&amp;"-Q"&amp;ROUNDUP(MONTH(B1345)/3,0)</f>
        <v>2026-Q3</v>
      </c>
      <c r="T1345" s="87" t="n">
        <f aca="false">IF(O1345&gt;0,Q1345/O1345,"")</f>
        <v>0.5</v>
      </c>
      <c r="U1345" s="84" t="n">
        <f aca="false">IF(O1345&gt;0,O1345,"")</f>
        <v>340</v>
      </c>
    </row>
    <row r="1346" customFormat="false" ht="15" hidden="false" customHeight="false" outlineLevel="0" collapsed="false">
      <c r="A1346" s="81" t="s">
        <v>1989</v>
      </c>
      <c r="B1346" s="82" t="n">
        <v>46259</v>
      </c>
      <c r="C1346" s="81" t="s">
        <v>357</v>
      </c>
      <c r="D1346" s="83" t="str">
        <f aca="false">IFERROR(INDEX(c_Name,MATCH($C1346,c_ID,0)),"غير معرّف")</f>
        <v>منى الحربي</v>
      </c>
      <c r="E1346" s="83" t="str">
        <f aca="false">IFERROR(INDEX(c_Region,MATCH($C1346,c_ID,0)),"غير معرّف")</f>
        <v>الوسطى</v>
      </c>
      <c r="F1346" s="81" t="s">
        <v>184</v>
      </c>
      <c r="G1346" s="83" t="str">
        <f aca="false">IFERROR(INDEX(p_Name,MATCH($F1346,p_ID,0)),"غير معرّف")</f>
        <v>عطر فاخر</v>
      </c>
      <c r="H1346" s="83" t="str">
        <f aca="false">IFERROR(INDEX(p_Cat,MATCH($F1346,p_ID,0)),"غير معرّف")</f>
        <v>عناية شخصية</v>
      </c>
      <c r="I1346" s="81" t="s">
        <v>449</v>
      </c>
      <c r="J1346" s="81" t="s">
        <v>93</v>
      </c>
      <c r="K1346" s="81" t="n">
        <v>1</v>
      </c>
      <c r="L1346" s="84" t="n">
        <f aca="false">IFERROR(INDEX(p_Price,MATCH($F1346,p_ID,0)),0)</f>
        <v>520</v>
      </c>
      <c r="M1346" s="85" t="n">
        <v>0.1</v>
      </c>
      <c r="N1346" s="81" t="s">
        <v>644</v>
      </c>
      <c r="O1346" s="84" t="n">
        <f aca="false">IF($N1346="مرتجع",0,K1346*L1346*(1-M1346))</f>
        <v>468</v>
      </c>
      <c r="P1346" s="84" t="n">
        <f aca="false">IF($N1346="مرتجع",0,K1346*IFERROR(INDEX(p_Cost,MATCH($F1346,p_ID,0)),0))</f>
        <v>210</v>
      </c>
      <c r="Q1346" s="84" t="n">
        <f aca="false">O1346-P1346</f>
        <v>258</v>
      </c>
      <c r="R1346" s="86" t="n">
        <f aca="false">DATE(YEAR(B1346),MONTH(B1346),1)</f>
        <v>46235</v>
      </c>
      <c r="S1346" s="83" t="str">
        <f aca="false">YEAR(B1346)&amp;"-Q"&amp;ROUNDUP(MONTH(B1346)/3,0)</f>
        <v>2026-Q3</v>
      </c>
      <c r="T1346" s="87" t="n">
        <f aca="false">IF(O1346&gt;0,Q1346/O1346,"")</f>
        <v>0.551282051282051</v>
      </c>
      <c r="U1346" s="84" t="n">
        <f aca="false">IF(O1346&gt;0,O1346,"")</f>
        <v>468</v>
      </c>
    </row>
    <row r="1347" customFormat="false" ht="15" hidden="false" customHeight="false" outlineLevel="0" collapsed="false">
      <c r="A1347" s="81" t="s">
        <v>1990</v>
      </c>
      <c r="B1347" s="82" t="n">
        <v>46259</v>
      </c>
      <c r="C1347" s="81" t="s">
        <v>382</v>
      </c>
      <c r="D1347" s="83" t="str">
        <f aca="false">IFERROR(INDEX(c_Name,MATCH($C1347,c_ID,0)),"غير معرّف")</f>
        <v>دانة العتيبي</v>
      </c>
      <c r="E1347" s="83" t="str">
        <f aca="false">IFERROR(INDEX(c_Region,MATCH($C1347,c_ID,0)),"غير معرّف")</f>
        <v>الشرقية</v>
      </c>
      <c r="F1347" s="81" t="s">
        <v>177</v>
      </c>
      <c r="G1347" s="83" t="str">
        <f aca="false">IFERROR(INDEX(p_Name,MATCH($F1347,p_ID,0)),"غير معرّف")</f>
        <v>ورق A4 (صندوق)</v>
      </c>
      <c r="H1347" s="83" t="str">
        <f aca="false">IFERROR(INDEX(p_Cat,MATCH($F1347,p_ID,0)),"غير معرّف")</f>
        <v>مستلزمات مكتبية</v>
      </c>
      <c r="I1347" s="81" t="s">
        <v>463</v>
      </c>
      <c r="J1347" s="81" t="s">
        <v>95</v>
      </c>
      <c r="K1347" s="81" t="n">
        <v>23</v>
      </c>
      <c r="L1347" s="84" t="n">
        <f aca="false">IFERROR(INDEX(p_Price,MATCH($F1347,p_ID,0)),0)</f>
        <v>140</v>
      </c>
      <c r="M1347" s="85" t="n">
        <v>0</v>
      </c>
      <c r="N1347" s="81" t="s">
        <v>644</v>
      </c>
      <c r="O1347" s="84" t="n">
        <f aca="false">IF($N1347="مرتجع",0,K1347*L1347*(1-M1347))</f>
        <v>3220</v>
      </c>
      <c r="P1347" s="84" t="n">
        <f aca="false">IF($N1347="مرتجع",0,K1347*IFERROR(INDEX(p_Cost,MATCH($F1347,p_ID,0)),0))</f>
        <v>2185</v>
      </c>
      <c r="Q1347" s="84" t="n">
        <f aca="false">O1347-P1347</f>
        <v>1035</v>
      </c>
      <c r="R1347" s="86" t="n">
        <f aca="false">DATE(YEAR(B1347),MONTH(B1347),1)</f>
        <v>46235</v>
      </c>
      <c r="S1347" s="83" t="str">
        <f aca="false">YEAR(B1347)&amp;"-Q"&amp;ROUNDUP(MONTH(B1347)/3,0)</f>
        <v>2026-Q3</v>
      </c>
      <c r="T1347" s="87" t="n">
        <f aca="false">IF(O1347&gt;0,Q1347/O1347,"")</f>
        <v>0.321428571428571</v>
      </c>
      <c r="U1347" s="84" t="n">
        <f aca="false">IF(O1347&gt;0,O1347,"")</f>
        <v>3220</v>
      </c>
    </row>
    <row r="1348" customFormat="false" ht="15" hidden="false" customHeight="false" outlineLevel="0" collapsed="false">
      <c r="A1348" s="81" t="s">
        <v>1991</v>
      </c>
      <c r="B1348" s="82" t="n">
        <v>46259</v>
      </c>
      <c r="C1348" s="81" t="s">
        <v>252</v>
      </c>
      <c r="D1348" s="83" t="str">
        <f aca="false">IFERROR(INDEX(c_Name,MATCH($C1348,c_ID,0)),"غير معرّف")</f>
        <v>جود الغامدي</v>
      </c>
      <c r="E1348" s="83" t="str">
        <f aca="false">IFERROR(INDEX(c_Region,MATCH($C1348,c_ID,0)),"غير معرّف")</f>
        <v>الجنوبية</v>
      </c>
      <c r="F1348" s="81" t="s">
        <v>169</v>
      </c>
      <c r="G1348" s="83" t="str">
        <f aca="false">IFERROR(INDEX(p_Name,MATCH($F1348,p_ID,0)),"غير معرّف")</f>
        <v>خلاط</v>
      </c>
      <c r="H1348" s="83" t="str">
        <f aca="false">IFERROR(INDEX(p_Cat,MATCH($F1348,p_ID,0)),"غير معرّف")</f>
        <v>أجهزة منزلية</v>
      </c>
      <c r="I1348" s="81" t="s">
        <v>465</v>
      </c>
      <c r="J1348" s="81" t="s">
        <v>91</v>
      </c>
      <c r="K1348" s="81" t="n">
        <v>1</v>
      </c>
      <c r="L1348" s="84" t="n">
        <f aca="false">IFERROR(INDEX(p_Price,MATCH($F1348,p_ID,0)),0)</f>
        <v>300</v>
      </c>
      <c r="M1348" s="85" t="n">
        <v>0</v>
      </c>
      <c r="N1348" s="81" t="s">
        <v>644</v>
      </c>
      <c r="O1348" s="84" t="n">
        <f aca="false">IF($N1348="مرتجع",0,K1348*L1348*(1-M1348))</f>
        <v>300</v>
      </c>
      <c r="P1348" s="84" t="n">
        <f aca="false">IF($N1348="مرتجع",0,K1348*IFERROR(INDEX(p_Cost,MATCH($F1348,p_ID,0)),0))</f>
        <v>175</v>
      </c>
      <c r="Q1348" s="84" t="n">
        <f aca="false">O1348-P1348</f>
        <v>125</v>
      </c>
      <c r="R1348" s="86" t="n">
        <f aca="false">DATE(YEAR(B1348),MONTH(B1348),1)</f>
        <v>46235</v>
      </c>
      <c r="S1348" s="83" t="str">
        <f aca="false">YEAR(B1348)&amp;"-Q"&amp;ROUNDUP(MONTH(B1348)/3,0)</f>
        <v>2026-Q3</v>
      </c>
      <c r="T1348" s="87" t="n">
        <f aca="false">IF(O1348&gt;0,Q1348/O1348,"")</f>
        <v>0.416666666666667</v>
      </c>
      <c r="U1348" s="84" t="n">
        <f aca="false">IF(O1348&gt;0,O1348,"")</f>
        <v>300</v>
      </c>
    </row>
    <row r="1349" customFormat="false" ht="15" hidden="false" customHeight="false" outlineLevel="0" collapsed="false">
      <c r="A1349" s="81" t="s">
        <v>1992</v>
      </c>
      <c r="B1349" s="82" t="n">
        <v>46259</v>
      </c>
      <c r="C1349" s="81" t="s">
        <v>268</v>
      </c>
      <c r="D1349" s="83" t="str">
        <f aca="false">IFERROR(INDEX(c_Name,MATCH($C1349,c_ID,0)),"غير معرّف")</f>
        <v>جود التميمي</v>
      </c>
      <c r="E1349" s="83" t="str">
        <f aca="false">IFERROR(INDEX(c_Region,MATCH($C1349,c_ID,0)),"غير معرّف")</f>
        <v>الغربية</v>
      </c>
      <c r="F1349" s="81" t="s">
        <v>177</v>
      </c>
      <c r="G1349" s="83" t="str">
        <f aca="false">IFERROR(INDEX(p_Name,MATCH($F1349,p_ID,0)),"غير معرّف")</f>
        <v>ورق A4 (صندوق)</v>
      </c>
      <c r="H1349" s="83" t="str">
        <f aca="false">IFERROR(INDEX(p_Cat,MATCH($F1349,p_ID,0)),"غير معرّف")</f>
        <v>مستلزمات مكتبية</v>
      </c>
      <c r="I1349" s="81" t="s">
        <v>455</v>
      </c>
      <c r="J1349" s="81" t="s">
        <v>91</v>
      </c>
      <c r="K1349" s="81" t="n">
        <v>1</v>
      </c>
      <c r="L1349" s="84" t="n">
        <f aca="false">IFERROR(INDEX(p_Price,MATCH($F1349,p_ID,0)),0)</f>
        <v>140</v>
      </c>
      <c r="M1349" s="85" t="n">
        <v>0</v>
      </c>
      <c r="N1349" s="81" t="s">
        <v>644</v>
      </c>
      <c r="O1349" s="84" t="n">
        <f aca="false">IF($N1349="مرتجع",0,K1349*L1349*(1-M1349))</f>
        <v>140</v>
      </c>
      <c r="P1349" s="84" t="n">
        <f aca="false">IF($N1349="مرتجع",0,K1349*IFERROR(INDEX(p_Cost,MATCH($F1349,p_ID,0)),0))</f>
        <v>95</v>
      </c>
      <c r="Q1349" s="84" t="n">
        <f aca="false">O1349-P1349</f>
        <v>45</v>
      </c>
      <c r="R1349" s="86" t="n">
        <f aca="false">DATE(YEAR(B1349),MONTH(B1349),1)</f>
        <v>46235</v>
      </c>
      <c r="S1349" s="83" t="str">
        <f aca="false">YEAR(B1349)&amp;"-Q"&amp;ROUNDUP(MONTH(B1349)/3,0)</f>
        <v>2026-Q3</v>
      </c>
      <c r="T1349" s="87" t="n">
        <f aca="false">IF(O1349&gt;0,Q1349/O1349,"")</f>
        <v>0.321428571428571</v>
      </c>
      <c r="U1349" s="84" t="n">
        <f aca="false">IF(O1349&gt;0,O1349,"")</f>
        <v>140</v>
      </c>
    </row>
    <row r="1350" customFormat="false" ht="15" hidden="false" customHeight="false" outlineLevel="0" collapsed="false">
      <c r="A1350" s="81" t="s">
        <v>1993</v>
      </c>
      <c r="B1350" s="82" t="n">
        <v>46260</v>
      </c>
      <c r="C1350" s="81" t="s">
        <v>388</v>
      </c>
      <c r="D1350" s="83" t="str">
        <f aca="false">IFERROR(INDEX(c_Name,MATCH($C1350,c_ID,0)),"غير معرّف")</f>
        <v>منى الخالدي</v>
      </c>
      <c r="E1350" s="83" t="str">
        <f aca="false">IFERROR(INDEX(c_Region,MATCH($C1350,c_ID,0)),"غير معرّف")</f>
        <v>الجنوبية</v>
      </c>
      <c r="F1350" s="81" t="s">
        <v>183</v>
      </c>
      <c r="G1350" s="83" t="str">
        <f aca="false">IFERROR(INDEX(p_Name,MATCH($F1350,p_ID,0)),"غير معرّف")</f>
        <v>سجادة يوغا</v>
      </c>
      <c r="H1350" s="83" t="str">
        <f aca="false">IFERROR(INDEX(p_Cat,MATCH($F1350,p_ID,0)),"غير معرّف")</f>
        <v>رياضة</v>
      </c>
      <c r="I1350" s="81" t="s">
        <v>467</v>
      </c>
      <c r="J1350" s="81" t="s">
        <v>91</v>
      </c>
      <c r="K1350" s="81" t="n">
        <v>1</v>
      </c>
      <c r="L1350" s="84" t="n">
        <f aca="false">IFERROR(INDEX(p_Price,MATCH($F1350,p_ID,0)),0)</f>
        <v>120</v>
      </c>
      <c r="M1350" s="85" t="n">
        <v>0.2</v>
      </c>
      <c r="N1350" s="81" t="s">
        <v>650</v>
      </c>
      <c r="O1350" s="84" t="n">
        <f aca="false">IF($N1350="مرتجع",0,K1350*L1350*(1-M1350))</f>
        <v>0</v>
      </c>
      <c r="P1350" s="84" t="n">
        <f aca="false">IF($N1350="مرتجع",0,K1350*IFERROR(INDEX(p_Cost,MATCH($F1350,p_ID,0)),0))</f>
        <v>0</v>
      </c>
      <c r="Q1350" s="84" t="n">
        <f aca="false">O1350-P1350</f>
        <v>0</v>
      </c>
      <c r="R1350" s="86" t="n">
        <f aca="false">DATE(YEAR(B1350),MONTH(B1350),1)</f>
        <v>46235</v>
      </c>
      <c r="S1350" s="83" t="str">
        <f aca="false">YEAR(B1350)&amp;"-Q"&amp;ROUNDUP(MONTH(B1350)/3,0)</f>
        <v>2026-Q3</v>
      </c>
      <c r="T1350" s="87" t="str">
        <f aca="false">IF(O1350&gt;0,Q1350/O1350,"")</f>
        <v/>
      </c>
      <c r="U1350" s="84" t="str">
        <f aca="false">IF(O1350&gt;0,O1350,"")</f>
        <v/>
      </c>
    </row>
    <row r="1351" customFormat="false" ht="15" hidden="false" customHeight="false" outlineLevel="0" collapsed="false">
      <c r="A1351" s="81" t="s">
        <v>1994</v>
      </c>
      <c r="B1351" s="82" t="n">
        <v>46260</v>
      </c>
      <c r="C1351" s="81" t="s">
        <v>295</v>
      </c>
      <c r="D1351" s="83" t="str">
        <f aca="false">IFERROR(INDEX(c_Name,MATCH($C1351,c_ID,0)),"غير معرّف")</f>
        <v>عبير الزهراني</v>
      </c>
      <c r="E1351" s="83" t="str">
        <f aca="false">IFERROR(INDEX(c_Region,MATCH($C1351,c_ID,0)),"غير معرّف")</f>
        <v>الوسطى</v>
      </c>
      <c r="F1351" s="81" t="s">
        <v>174</v>
      </c>
      <c r="G1351" s="83" t="str">
        <f aca="false">IFERROR(INDEX(p_Name,MATCH($F1351,p_ID,0)),"غير معرّف")</f>
        <v>خزانة ملفات</v>
      </c>
      <c r="H1351" s="83" t="str">
        <f aca="false">IFERROR(INDEX(p_Cat,MATCH($F1351,p_ID,0)),"غير معرّف")</f>
        <v>أثاث</v>
      </c>
      <c r="I1351" s="81" t="s">
        <v>449</v>
      </c>
      <c r="J1351" s="81" t="s">
        <v>93</v>
      </c>
      <c r="K1351" s="81" t="n">
        <v>3</v>
      </c>
      <c r="L1351" s="84" t="n">
        <f aca="false">IFERROR(INDEX(p_Price,MATCH($F1351,p_ID,0)),0)</f>
        <v>700</v>
      </c>
      <c r="M1351" s="85" t="n">
        <v>0.2</v>
      </c>
      <c r="N1351" s="81" t="s">
        <v>644</v>
      </c>
      <c r="O1351" s="84" t="n">
        <f aca="false">IF($N1351="مرتجع",0,K1351*L1351*(1-M1351))</f>
        <v>1680</v>
      </c>
      <c r="P1351" s="84" t="n">
        <f aca="false">IF($N1351="مرتجع",0,K1351*IFERROR(INDEX(p_Cost,MATCH($F1351,p_ID,0)),0))</f>
        <v>1230</v>
      </c>
      <c r="Q1351" s="84" t="n">
        <f aca="false">O1351-P1351</f>
        <v>450</v>
      </c>
      <c r="R1351" s="86" t="n">
        <f aca="false">DATE(YEAR(B1351),MONTH(B1351),1)</f>
        <v>46235</v>
      </c>
      <c r="S1351" s="83" t="str">
        <f aca="false">YEAR(B1351)&amp;"-Q"&amp;ROUNDUP(MONTH(B1351)/3,0)</f>
        <v>2026-Q3</v>
      </c>
      <c r="T1351" s="87" t="n">
        <f aca="false">IF(O1351&gt;0,Q1351/O1351,"")</f>
        <v>0.267857142857143</v>
      </c>
      <c r="U1351" s="84" t="n">
        <f aca="false">IF(O1351&gt;0,O1351,"")</f>
        <v>1680</v>
      </c>
    </row>
    <row r="1352" customFormat="false" ht="15" hidden="false" customHeight="false" outlineLevel="0" collapsed="false">
      <c r="A1352" s="81" t="s">
        <v>1995</v>
      </c>
      <c r="B1352" s="82" t="n">
        <v>46260</v>
      </c>
      <c r="C1352" s="81" t="s">
        <v>280</v>
      </c>
      <c r="D1352" s="83" t="str">
        <f aca="false">IFERROR(INDEX(c_Name,MATCH($C1352,c_ID,0)),"غير معرّف")</f>
        <v>سلمان المطيري</v>
      </c>
      <c r="E1352" s="83" t="str">
        <f aca="false">IFERROR(INDEX(c_Region,MATCH($C1352,c_ID,0)),"غير معرّف")</f>
        <v>الشرقية</v>
      </c>
      <c r="F1352" s="81" t="s">
        <v>185</v>
      </c>
      <c r="G1352" s="83" t="str">
        <f aca="false">IFERROR(INDEX(p_Name,MATCH($F1352,p_ID,0)),"غير معرّف")</f>
        <v>ماكينة حلاقة</v>
      </c>
      <c r="H1352" s="83" t="str">
        <f aca="false">IFERROR(INDEX(p_Cat,MATCH($F1352,p_ID,0)),"غير معرّف")</f>
        <v>عناية شخصية</v>
      </c>
      <c r="I1352" s="81" t="s">
        <v>461</v>
      </c>
      <c r="J1352" s="81" t="s">
        <v>91</v>
      </c>
      <c r="K1352" s="81" t="n">
        <v>2</v>
      </c>
      <c r="L1352" s="84" t="n">
        <f aca="false">IFERROR(INDEX(p_Price,MATCH($F1352,p_ID,0)),0)</f>
        <v>340</v>
      </c>
      <c r="M1352" s="85" t="n">
        <v>0</v>
      </c>
      <c r="N1352" s="81" t="s">
        <v>644</v>
      </c>
      <c r="O1352" s="84" t="n">
        <f aca="false">IF($N1352="مرتجع",0,K1352*L1352*(1-M1352))</f>
        <v>680</v>
      </c>
      <c r="P1352" s="84" t="n">
        <f aca="false">IF($N1352="مرتجع",0,K1352*IFERROR(INDEX(p_Cost,MATCH($F1352,p_ID,0)),0))</f>
        <v>340</v>
      </c>
      <c r="Q1352" s="84" t="n">
        <f aca="false">O1352-P1352</f>
        <v>340</v>
      </c>
      <c r="R1352" s="86" t="n">
        <f aca="false">DATE(YEAR(B1352),MONTH(B1352),1)</f>
        <v>46235</v>
      </c>
      <c r="S1352" s="83" t="str">
        <f aca="false">YEAR(B1352)&amp;"-Q"&amp;ROUNDUP(MONTH(B1352)/3,0)</f>
        <v>2026-Q3</v>
      </c>
      <c r="T1352" s="87" t="n">
        <f aca="false">IF(O1352&gt;0,Q1352/O1352,"")</f>
        <v>0.5</v>
      </c>
      <c r="U1352" s="84" t="n">
        <f aca="false">IF(O1352&gt;0,O1352,"")</f>
        <v>680</v>
      </c>
    </row>
    <row r="1353" customFormat="false" ht="15" hidden="false" customHeight="false" outlineLevel="0" collapsed="false">
      <c r="A1353" s="81" t="s">
        <v>1996</v>
      </c>
      <c r="B1353" s="82" t="n">
        <v>46260</v>
      </c>
      <c r="C1353" s="81" t="s">
        <v>244</v>
      </c>
      <c r="D1353" s="83" t="str">
        <f aca="false">IFERROR(INDEX(c_Name,MATCH($C1353,c_ID,0)),"غير معرّف")</f>
        <v>طارق الشهري</v>
      </c>
      <c r="E1353" s="83" t="str">
        <f aca="false">IFERROR(INDEX(c_Region,MATCH($C1353,c_ID,0)),"غير معرّف")</f>
        <v>الوسطى</v>
      </c>
      <c r="F1353" s="81" t="s">
        <v>179</v>
      </c>
      <c r="G1353" s="83" t="str">
        <f aca="false">IFERROR(INDEX(p_Name,MATCH($F1353,p_ID,0)),"غير معرّف")</f>
        <v>طقم أدوات مكتبية</v>
      </c>
      <c r="H1353" s="83" t="str">
        <f aca="false">IFERROR(INDEX(p_Cat,MATCH($F1353,p_ID,0)),"غير معرّف")</f>
        <v>مستلزمات مكتبية</v>
      </c>
      <c r="I1353" s="81" t="s">
        <v>443</v>
      </c>
      <c r="J1353" s="81" t="s">
        <v>91</v>
      </c>
      <c r="K1353" s="81" t="n">
        <v>5</v>
      </c>
      <c r="L1353" s="84" t="n">
        <f aca="false">IFERROR(INDEX(p_Price,MATCH($F1353,p_ID,0)),0)</f>
        <v>90</v>
      </c>
      <c r="M1353" s="85" t="n">
        <v>0</v>
      </c>
      <c r="N1353" s="81" t="s">
        <v>644</v>
      </c>
      <c r="O1353" s="84" t="n">
        <f aca="false">IF($N1353="مرتجع",0,K1353*L1353*(1-M1353))</f>
        <v>450</v>
      </c>
      <c r="P1353" s="84" t="n">
        <f aca="false">IF($N1353="مرتجع",0,K1353*IFERROR(INDEX(p_Cost,MATCH($F1353,p_ID,0)),0))</f>
        <v>225</v>
      </c>
      <c r="Q1353" s="84" t="n">
        <f aca="false">O1353-P1353</f>
        <v>225</v>
      </c>
      <c r="R1353" s="86" t="n">
        <f aca="false">DATE(YEAR(B1353),MONTH(B1353),1)</f>
        <v>46235</v>
      </c>
      <c r="S1353" s="83" t="str">
        <f aca="false">YEAR(B1353)&amp;"-Q"&amp;ROUNDUP(MONTH(B1353)/3,0)</f>
        <v>2026-Q3</v>
      </c>
      <c r="T1353" s="87" t="n">
        <f aca="false">IF(O1353&gt;0,Q1353/O1353,"")</f>
        <v>0.5</v>
      </c>
      <c r="U1353" s="84" t="n">
        <f aca="false">IF(O1353&gt;0,O1353,"")</f>
        <v>450</v>
      </c>
    </row>
    <row r="1354" customFormat="false" ht="15" hidden="false" customHeight="false" outlineLevel="0" collapsed="false">
      <c r="A1354" s="81" t="s">
        <v>1997</v>
      </c>
      <c r="B1354" s="82" t="n">
        <v>46260</v>
      </c>
      <c r="C1354" s="81" t="s">
        <v>355</v>
      </c>
      <c r="D1354" s="83" t="str">
        <f aca="false">IFERROR(INDEX(c_Name,MATCH($C1354,c_ID,0)),"غير معرّف")</f>
        <v>جود القحطاني</v>
      </c>
      <c r="E1354" s="83" t="str">
        <f aca="false">IFERROR(INDEX(c_Region,MATCH($C1354,c_ID,0)),"غير معرّف")</f>
        <v>الجنوبية</v>
      </c>
      <c r="F1354" s="81" t="s">
        <v>172</v>
      </c>
      <c r="G1354" s="83" t="str">
        <f aca="false">IFERROR(INDEX(p_Name,MATCH($F1354,p_ID,0)),"غير معرّف")</f>
        <v>مكتب عمل</v>
      </c>
      <c r="H1354" s="83" t="str">
        <f aca="false">IFERROR(INDEX(p_Cat,MATCH($F1354,p_ID,0)),"غير معرّف")</f>
        <v>أثاث</v>
      </c>
      <c r="I1354" s="81" t="s">
        <v>467</v>
      </c>
      <c r="J1354" s="81" t="s">
        <v>91</v>
      </c>
      <c r="K1354" s="81" t="n">
        <v>2</v>
      </c>
      <c r="L1354" s="84" t="n">
        <f aca="false">IFERROR(INDEX(p_Price,MATCH($F1354,p_ID,0)),0)</f>
        <v>1200</v>
      </c>
      <c r="M1354" s="85" t="n">
        <v>0</v>
      </c>
      <c r="N1354" s="81" t="s">
        <v>644</v>
      </c>
      <c r="O1354" s="84" t="n">
        <f aca="false">IF($N1354="مرتجع",0,K1354*L1354*(1-M1354))</f>
        <v>2400</v>
      </c>
      <c r="P1354" s="84" t="n">
        <f aca="false">IF($N1354="مرتجع",0,K1354*IFERROR(INDEX(p_Cost,MATCH($F1354,p_ID,0)),0))</f>
        <v>1400</v>
      </c>
      <c r="Q1354" s="84" t="n">
        <f aca="false">O1354-P1354</f>
        <v>1000</v>
      </c>
      <c r="R1354" s="86" t="n">
        <f aca="false">DATE(YEAR(B1354),MONTH(B1354),1)</f>
        <v>46235</v>
      </c>
      <c r="S1354" s="83" t="str">
        <f aca="false">YEAR(B1354)&amp;"-Q"&amp;ROUNDUP(MONTH(B1354)/3,0)</f>
        <v>2026-Q3</v>
      </c>
      <c r="T1354" s="87" t="n">
        <f aca="false">IF(O1354&gt;0,Q1354/O1354,"")</f>
        <v>0.416666666666667</v>
      </c>
      <c r="U1354" s="84" t="n">
        <f aca="false">IF(O1354&gt;0,O1354,"")</f>
        <v>2400</v>
      </c>
    </row>
    <row r="1355" customFormat="false" ht="15" hidden="false" customHeight="false" outlineLevel="0" collapsed="false">
      <c r="A1355" s="81" t="s">
        <v>1998</v>
      </c>
      <c r="B1355" s="82" t="n">
        <v>46260</v>
      </c>
      <c r="C1355" s="81" t="s">
        <v>266</v>
      </c>
      <c r="D1355" s="83" t="str">
        <f aca="false">IFERROR(INDEX(c_Name,MATCH($C1355,c_ID,0)),"غير معرّف")</f>
        <v>ياسر الشهري</v>
      </c>
      <c r="E1355" s="83" t="str">
        <f aca="false">IFERROR(INDEX(c_Region,MATCH($C1355,c_ID,0)),"غير معرّف")</f>
        <v>الوسطى</v>
      </c>
      <c r="F1355" s="81" t="s">
        <v>177</v>
      </c>
      <c r="G1355" s="83" t="str">
        <f aca="false">IFERROR(INDEX(p_Name,MATCH($F1355,p_ID,0)),"غير معرّف")</f>
        <v>ورق A4 (صندوق)</v>
      </c>
      <c r="H1355" s="83" t="str">
        <f aca="false">IFERROR(INDEX(p_Cat,MATCH($F1355,p_ID,0)),"غير معرّف")</f>
        <v>مستلزمات مكتبية</v>
      </c>
      <c r="I1355" s="81" t="s">
        <v>449</v>
      </c>
      <c r="J1355" s="81" t="s">
        <v>91</v>
      </c>
      <c r="K1355" s="81" t="n">
        <v>2</v>
      </c>
      <c r="L1355" s="84" t="n">
        <f aca="false">IFERROR(INDEX(p_Price,MATCH($F1355,p_ID,0)),0)</f>
        <v>140</v>
      </c>
      <c r="M1355" s="85" t="n">
        <v>0.1</v>
      </c>
      <c r="N1355" s="81" t="s">
        <v>644</v>
      </c>
      <c r="O1355" s="84" t="n">
        <f aca="false">IF($N1355="مرتجع",0,K1355*L1355*(1-M1355))</f>
        <v>252</v>
      </c>
      <c r="P1355" s="84" t="n">
        <f aca="false">IF($N1355="مرتجع",0,K1355*IFERROR(INDEX(p_Cost,MATCH($F1355,p_ID,0)),0))</f>
        <v>190</v>
      </c>
      <c r="Q1355" s="84" t="n">
        <f aca="false">O1355-P1355</f>
        <v>62</v>
      </c>
      <c r="R1355" s="86" t="n">
        <f aca="false">DATE(YEAR(B1355),MONTH(B1355),1)</f>
        <v>46235</v>
      </c>
      <c r="S1355" s="83" t="str">
        <f aca="false">YEAR(B1355)&amp;"-Q"&amp;ROUNDUP(MONTH(B1355)/3,0)</f>
        <v>2026-Q3</v>
      </c>
      <c r="T1355" s="87" t="n">
        <f aca="false">IF(O1355&gt;0,Q1355/O1355,"")</f>
        <v>0.246031746031746</v>
      </c>
      <c r="U1355" s="84" t="n">
        <f aca="false">IF(O1355&gt;0,O1355,"")</f>
        <v>252</v>
      </c>
    </row>
    <row r="1356" customFormat="false" ht="15" hidden="false" customHeight="false" outlineLevel="0" collapsed="false">
      <c r="A1356" s="81" t="s">
        <v>1999</v>
      </c>
      <c r="B1356" s="82" t="n">
        <v>46261</v>
      </c>
      <c r="C1356" s="81" t="s">
        <v>291</v>
      </c>
      <c r="D1356" s="83" t="str">
        <f aca="false">IFERROR(INDEX(c_Name,MATCH($C1356,c_ID,0)),"غير معرّف")</f>
        <v>ياسر الشمري</v>
      </c>
      <c r="E1356" s="83" t="str">
        <f aca="false">IFERROR(INDEX(c_Region,MATCH($C1356,c_ID,0)),"غير معرّف")</f>
        <v>الوسطى</v>
      </c>
      <c r="F1356" s="81" t="s">
        <v>183</v>
      </c>
      <c r="G1356" s="83" t="str">
        <f aca="false">IFERROR(INDEX(p_Name,MATCH($F1356,p_ID,0)),"غير معرّف")</f>
        <v>سجادة يوغا</v>
      </c>
      <c r="H1356" s="83" t="str">
        <f aca="false">IFERROR(INDEX(p_Cat,MATCH($F1356,p_ID,0)),"غير معرّف")</f>
        <v>رياضة</v>
      </c>
      <c r="I1356" s="81" t="s">
        <v>443</v>
      </c>
      <c r="J1356" s="81" t="s">
        <v>91</v>
      </c>
      <c r="K1356" s="81" t="n">
        <v>1</v>
      </c>
      <c r="L1356" s="84" t="n">
        <f aca="false">IFERROR(INDEX(p_Price,MATCH($F1356,p_ID,0)),0)</f>
        <v>120</v>
      </c>
      <c r="M1356" s="85" t="n">
        <v>0</v>
      </c>
      <c r="N1356" s="81" t="s">
        <v>644</v>
      </c>
      <c r="O1356" s="84" t="n">
        <f aca="false">IF($N1356="مرتجع",0,K1356*L1356*(1-M1356))</f>
        <v>120</v>
      </c>
      <c r="P1356" s="84" t="n">
        <f aca="false">IF($N1356="مرتجع",0,K1356*IFERROR(INDEX(p_Cost,MATCH($F1356,p_ID,0)),0))</f>
        <v>50</v>
      </c>
      <c r="Q1356" s="84" t="n">
        <f aca="false">O1356-P1356</f>
        <v>70</v>
      </c>
      <c r="R1356" s="86" t="n">
        <f aca="false">DATE(YEAR(B1356),MONTH(B1356),1)</f>
        <v>46235</v>
      </c>
      <c r="S1356" s="83" t="str">
        <f aca="false">YEAR(B1356)&amp;"-Q"&amp;ROUNDUP(MONTH(B1356)/3,0)</f>
        <v>2026-Q3</v>
      </c>
      <c r="T1356" s="87" t="n">
        <f aca="false">IF(O1356&gt;0,Q1356/O1356,"")</f>
        <v>0.583333333333333</v>
      </c>
      <c r="U1356" s="84" t="n">
        <f aca="false">IF(O1356&gt;0,O1356,"")</f>
        <v>120</v>
      </c>
    </row>
    <row r="1357" customFormat="false" ht="15" hidden="false" customHeight="false" outlineLevel="0" collapsed="false">
      <c r="A1357" s="81" t="s">
        <v>2000</v>
      </c>
      <c r="B1357" s="82" t="n">
        <v>46261</v>
      </c>
      <c r="C1357" s="81" t="s">
        <v>333</v>
      </c>
      <c r="D1357" s="83" t="str">
        <f aca="false">IFERROR(INDEX(c_Name,MATCH($C1357,c_ID,0)),"غير معرّف")</f>
        <v>جود الحربي</v>
      </c>
      <c r="E1357" s="83" t="str">
        <f aca="false">IFERROR(INDEX(c_Region,MATCH($C1357,c_ID,0)),"غير معرّف")</f>
        <v>الوسطى</v>
      </c>
      <c r="F1357" s="81" t="s">
        <v>170</v>
      </c>
      <c r="G1357" s="83" t="str">
        <f aca="false">IFERROR(INDEX(p_Name,MATCH($F1357,p_ID,0)),"غير معرّف")</f>
        <v>مكيف نقال</v>
      </c>
      <c r="H1357" s="83" t="str">
        <f aca="false">IFERROR(INDEX(p_Cat,MATCH($F1357,p_ID,0)),"غير معرّف")</f>
        <v>أجهزة منزلية</v>
      </c>
      <c r="I1357" s="81" t="s">
        <v>446</v>
      </c>
      <c r="J1357" s="81" t="s">
        <v>91</v>
      </c>
      <c r="K1357" s="81" t="n">
        <v>1</v>
      </c>
      <c r="L1357" s="84" t="n">
        <f aca="false">IFERROR(INDEX(p_Price,MATCH($F1357,p_ID,0)),0)</f>
        <v>1900</v>
      </c>
      <c r="M1357" s="85" t="n">
        <v>0.05</v>
      </c>
      <c r="N1357" s="81" t="s">
        <v>644</v>
      </c>
      <c r="O1357" s="84" t="n">
        <f aca="false">IF($N1357="مرتجع",0,K1357*L1357*(1-M1357))</f>
        <v>1805</v>
      </c>
      <c r="P1357" s="84" t="n">
        <f aca="false">IF($N1357="مرتجع",0,K1357*IFERROR(INDEX(p_Cost,MATCH($F1357,p_ID,0)),0))</f>
        <v>1350</v>
      </c>
      <c r="Q1357" s="84" t="n">
        <f aca="false">O1357-P1357</f>
        <v>455</v>
      </c>
      <c r="R1357" s="86" t="n">
        <f aca="false">DATE(YEAR(B1357),MONTH(B1357),1)</f>
        <v>46235</v>
      </c>
      <c r="S1357" s="83" t="str">
        <f aca="false">YEAR(B1357)&amp;"-Q"&amp;ROUNDUP(MONTH(B1357)/3,0)</f>
        <v>2026-Q3</v>
      </c>
      <c r="T1357" s="87" t="n">
        <f aca="false">IF(O1357&gt;0,Q1357/O1357,"")</f>
        <v>0.25207756232687</v>
      </c>
      <c r="U1357" s="84" t="n">
        <f aca="false">IF(O1357&gt;0,O1357,"")</f>
        <v>1805</v>
      </c>
    </row>
    <row r="1358" customFormat="false" ht="15" hidden="false" customHeight="false" outlineLevel="0" collapsed="false">
      <c r="A1358" s="81" t="s">
        <v>2001</v>
      </c>
      <c r="B1358" s="82" t="n">
        <v>46261</v>
      </c>
      <c r="C1358" s="81" t="s">
        <v>403</v>
      </c>
      <c r="D1358" s="83" t="str">
        <f aca="false">IFERROR(INDEX(c_Name,MATCH($C1358,c_ID,0)),"غير معرّف")</f>
        <v>ياسر المطيري</v>
      </c>
      <c r="E1358" s="83" t="str">
        <f aca="false">IFERROR(INDEX(c_Region,MATCH($C1358,c_ID,0)),"غير معرّف")</f>
        <v>الجنوبية</v>
      </c>
      <c r="F1358" s="81" t="s">
        <v>172</v>
      </c>
      <c r="G1358" s="83" t="str">
        <f aca="false">IFERROR(INDEX(p_Name,MATCH($F1358,p_ID,0)),"غير معرّف")</f>
        <v>مكتب عمل</v>
      </c>
      <c r="H1358" s="83" t="str">
        <f aca="false">IFERROR(INDEX(p_Cat,MATCH($F1358,p_ID,0)),"غير معرّف")</f>
        <v>أثاث</v>
      </c>
      <c r="I1358" s="81" t="s">
        <v>467</v>
      </c>
      <c r="J1358" s="81" t="s">
        <v>91</v>
      </c>
      <c r="K1358" s="81" t="n">
        <v>1</v>
      </c>
      <c r="L1358" s="84" t="n">
        <f aca="false">IFERROR(INDEX(p_Price,MATCH($F1358,p_ID,0)),0)</f>
        <v>1200</v>
      </c>
      <c r="M1358" s="85" t="n">
        <v>0</v>
      </c>
      <c r="N1358" s="81" t="s">
        <v>644</v>
      </c>
      <c r="O1358" s="84" t="n">
        <f aca="false">IF($N1358="مرتجع",0,K1358*L1358*(1-M1358))</f>
        <v>1200</v>
      </c>
      <c r="P1358" s="84" t="n">
        <f aca="false">IF($N1358="مرتجع",0,K1358*IFERROR(INDEX(p_Cost,MATCH($F1358,p_ID,0)),0))</f>
        <v>700</v>
      </c>
      <c r="Q1358" s="84" t="n">
        <f aca="false">O1358-P1358</f>
        <v>500</v>
      </c>
      <c r="R1358" s="86" t="n">
        <f aca="false">DATE(YEAR(B1358),MONTH(B1358),1)</f>
        <v>46235</v>
      </c>
      <c r="S1358" s="83" t="str">
        <f aca="false">YEAR(B1358)&amp;"-Q"&amp;ROUNDUP(MONTH(B1358)/3,0)</f>
        <v>2026-Q3</v>
      </c>
      <c r="T1358" s="87" t="n">
        <f aca="false">IF(O1358&gt;0,Q1358/O1358,"")</f>
        <v>0.416666666666667</v>
      </c>
      <c r="U1358" s="84" t="n">
        <f aca="false">IF(O1358&gt;0,O1358,"")</f>
        <v>1200</v>
      </c>
    </row>
    <row r="1359" customFormat="false" ht="15" hidden="false" customHeight="false" outlineLevel="0" collapsed="false">
      <c r="A1359" s="81" t="s">
        <v>2002</v>
      </c>
      <c r="B1359" s="82" t="n">
        <v>46261</v>
      </c>
      <c r="C1359" s="81" t="s">
        <v>345</v>
      </c>
      <c r="D1359" s="83" t="str">
        <f aca="false">IFERROR(INDEX(c_Name,MATCH($C1359,c_ID,0)),"غير معرّف")</f>
        <v>عبدالله العنزي</v>
      </c>
      <c r="E1359" s="83" t="str">
        <f aca="false">IFERROR(INDEX(c_Region,MATCH($C1359,c_ID,0)),"غير معرّف")</f>
        <v>الغربية</v>
      </c>
      <c r="F1359" s="81" t="s">
        <v>184</v>
      </c>
      <c r="G1359" s="83" t="str">
        <f aca="false">IFERROR(INDEX(p_Name,MATCH($F1359,p_ID,0)),"غير معرّف")</f>
        <v>عطر فاخر</v>
      </c>
      <c r="H1359" s="83" t="str">
        <f aca="false">IFERROR(INDEX(p_Cat,MATCH($F1359,p_ID,0)),"غير معرّف")</f>
        <v>عناية شخصية</v>
      </c>
      <c r="I1359" s="81" t="s">
        <v>452</v>
      </c>
      <c r="J1359" s="81" t="s">
        <v>91</v>
      </c>
      <c r="K1359" s="81" t="n">
        <v>1</v>
      </c>
      <c r="L1359" s="84" t="n">
        <f aca="false">IFERROR(INDEX(p_Price,MATCH($F1359,p_ID,0)),0)</f>
        <v>520</v>
      </c>
      <c r="M1359" s="85" t="n">
        <v>0.1</v>
      </c>
      <c r="N1359" s="81" t="s">
        <v>644</v>
      </c>
      <c r="O1359" s="84" t="n">
        <f aca="false">IF($N1359="مرتجع",0,K1359*L1359*(1-M1359))</f>
        <v>468</v>
      </c>
      <c r="P1359" s="84" t="n">
        <f aca="false">IF($N1359="مرتجع",0,K1359*IFERROR(INDEX(p_Cost,MATCH($F1359,p_ID,0)),0))</f>
        <v>210</v>
      </c>
      <c r="Q1359" s="84" t="n">
        <f aca="false">O1359-P1359</f>
        <v>258</v>
      </c>
      <c r="R1359" s="86" t="n">
        <f aca="false">DATE(YEAR(B1359),MONTH(B1359),1)</f>
        <v>46235</v>
      </c>
      <c r="S1359" s="83" t="str">
        <f aca="false">YEAR(B1359)&amp;"-Q"&amp;ROUNDUP(MONTH(B1359)/3,0)</f>
        <v>2026-Q3</v>
      </c>
      <c r="T1359" s="87" t="n">
        <f aca="false">IF(O1359&gt;0,Q1359/O1359,"")</f>
        <v>0.551282051282051</v>
      </c>
      <c r="U1359" s="84" t="n">
        <f aca="false">IF(O1359&gt;0,O1359,"")</f>
        <v>468</v>
      </c>
    </row>
    <row r="1360" customFormat="false" ht="15" hidden="false" customHeight="false" outlineLevel="0" collapsed="false">
      <c r="A1360" s="81" t="s">
        <v>2003</v>
      </c>
      <c r="B1360" s="82" t="n">
        <v>46261</v>
      </c>
      <c r="C1360" s="81" t="s">
        <v>327</v>
      </c>
      <c r="D1360" s="83" t="str">
        <f aca="false">IFERROR(INDEX(c_Name,MATCH($C1360,c_ID,0)),"غير معرّف")</f>
        <v>ناصر التميمي</v>
      </c>
      <c r="E1360" s="83" t="str">
        <f aca="false">IFERROR(INDEX(c_Region,MATCH($C1360,c_ID,0)),"غير معرّف")</f>
        <v>الجنوبية</v>
      </c>
      <c r="F1360" s="81" t="s">
        <v>169</v>
      </c>
      <c r="G1360" s="83" t="str">
        <f aca="false">IFERROR(INDEX(p_Name,MATCH($F1360,p_ID,0)),"غير معرّف")</f>
        <v>خلاط</v>
      </c>
      <c r="H1360" s="83" t="str">
        <f aca="false">IFERROR(INDEX(p_Cat,MATCH($F1360,p_ID,0)),"غير معرّف")</f>
        <v>أجهزة منزلية</v>
      </c>
      <c r="I1360" s="81" t="s">
        <v>465</v>
      </c>
      <c r="J1360" s="81" t="s">
        <v>91</v>
      </c>
      <c r="K1360" s="81" t="n">
        <v>6</v>
      </c>
      <c r="L1360" s="84" t="n">
        <f aca="false">IFERROR(INDEX(p_Price,MATCH($F1360,p_ID,0)),0)</f>
        <v>300</v>
      </c>
      <c r="M1360" s="85" t="n">
        <v>0</v>
      </c>
      <c r="N1360" s="81" t="s">
        <v>644</v>
      </c>
      <c r="O1360" s="84" t="n">
        <f aca="false">IF($N1360="مرتجع",0,K1360*L1360*(1-M1360))</f>
        <v>1800</v>
      </c>
      <c r="P1360" s="84" t="n">
        <f aca="false">IF($N1360="مرتجع",0,K1360*IFERROR(INDEX(p_Cost,MATCH($F1360,p_ID,0)),0))</f>
        <v>1050</v>
      </c>
      <c r="Q1360" s="84" t="n">
        <f aca="false">O1360-P1360</f>
        <v>750</v>
      </c>
      <c r="R1360" s="86" t="n">
        <f aca="false">DATE(YEAR(B1360),MONTH(B1360),1)</f>
        <v>46235</v>
      </c>
      <c r="S1360" s="83" t="str">
        <f aca="false">YEAR(B1360)&amp;"-Q"&amp;ROUNDUP(MONTH(B1360)/3,0)</f>
        <v>2026-Q3</v>
      </c>
      <c r="T1360" s="87" t="n">
        <f aca="false">IF(O1360&gt;0,Q1360/O1360,"")</f>
        <v>0.416666666666667</v>
      </c>
      <c r="U1360" s="84" t="n">
        <f aca="false">IF(O1360&gt;0,O1360,"")</f>
        <v>1800</v>
      </c>
    </row>
    <row r="1361" customFormat="false" ht="15" hidden="false" customHeight="false" outlineLevel="0" collapsed="false">
      <c r="A1361" s="81" t="s">
        <v>2004</v>
      </c>
      <c r="B1361" s="82" t="n">
        <v>46262</v>
      </c>
      <c r="C1361" s="81" t="s">
        <v>345</v>
      </c>
      <c r="D1361" s="83" t="str">
        <f aca="false">IFERROR(INDEX(c_Name,MATCH($C1361,c_ID,0)),"غير معرّف")</f>
        <v>عبدالله العنزي</v>
      </c>
      <c r="E1361" s="83" t="str">
        <f aca="false">IFERROR(INDEX(c_Region,MATCH($C1361,c_ID,0)),"غير معرّف")</f>
        <v>الغربية</v>
      </c>
      <c r="F1361" s="81" t="s">
        <v>171</v>
      </c>
      <c r="G1361" s="83" t="str">
        <f aca="false">IFERROR(INDEX(p_Name,MATCH($F1361,p_ID,0)),"غير معرّف")</f>
        <v>قلاية هوائية</v>
      </c>
      <c r="H1361" s="83" t="str">
        <f aca="false">IFERROR(INDEX(p_Cat,MATCH($F1361,p_ID,0)),"غير معرّف")</f>
        <v>أجهزة منزلية</v>
      </c>
      <c r="I1361" s="81" t="s">
        <v>452</v>
      </c>
      <c r="J1361" s="81" t="s">
        <v>93</v>
      </c>
      <c r="K1361" s="81" t="n">
        <v>1</v>
      </c>
      <c r="L1361" s="84" t="n">
        <f aca="false">IFERROR(INDEX(p_Price,MATCH($F1361,p_ID,0)),0)</f>
        <v>520</v>
      </c>
      <c r="M1361" s="85" t="n">
        <v>0</v>
      </c>
      <c r="N1361" s="81" t="s">
        <v>650</v>
      </c>
      <c r="O1361" s="84" t="n">
        <f aca="false">IF($N1361="مرتجع",0,K1361*L1361*(1-M1361))</f>
        <v>0</v>
      </c>
      <c r="P1361" s="84" t="n">
        <f aca="false">IF($N1361="مرتجع",0,K1361*IFERROR(INDEX(p_Cost,MATCH($F1361,p_ID,0)),0))</f>
        <v>0</v>
      </c>
      <c r="Q1361" s="84" t="n">
        <f aca="false">O1361-P1361</f>
        <v>0</v>
      </c>
      <c r="R1361" s="86" t="n">
        <f aca="false">DATE(YEAR(B1361),MONTH(B1361),1)</f>
        <v>46235</v>
      </c>
      <c r="S1361" s="83" t="str">
        <f aca="false">YEAR(B1361)&amp;"-Q"&amp;ROUNDUP(MONTH(B1361)/3,0)</f>
        <v>2026-Q3</v>
      </c>
      <c r="T1361" s="87" t="str">
        <f aca="false">IF(O1361&gt;0,Q1361/O1361,"")</f>
        <v/>
      </c>
      <c r="U1361" s="84" t="str">
        <f aca="false">IF(O1361&gt;0,O1361,"")</f>
        <v/>
      </c>
    </row>
    <row r="1362" customFormat="false" ht="15" hidden="false" customHeight="false" outlineLevel="0" collapsed="false">
      <c r="A1362" s="81" t="s">
        <v>2005</v>
      </c>
      <c r="B1362" s="82" t="n">
        <v>46262</v>
      </c>
      <c r="C1362" s="81" t="s">
        <v>275</v>
      </c>
      <c r="D1362" s="83" t="str">
        <f aca="false">IFERROR(INDEX(c_Name,MATCH($C1362,c_ID,0)),"غير معرّف")</f>
        <v>طارق البلوي</v>
      </c>
      <c r="E1362" s="83" t="str">
        <f aca="false">IFERROR(INDEX(c_Region,MATCH($C1362,c_ID,0)),"غير معرّف")</f>
        <v>الشرقية</v>
      </c>
      <c r="F1362" s="81" t="s">
        <v>168</v>
      </c>
      <c r="G1362" s="83" t="str">
        <f aca="false">IFERROR(INDEX(p_Name,MATCH($F1362,p_ID,0)),"غير معرّف")</f>
        <v>مكنسة كهربائية</v>
      </c>
      <c r="H1362" s="83" t="str">
        <f aca="false">IFERROR(INDEX(p_Cat,MATCH($F1362,p_ID,0)),"غير معرّف")</f>
        <v>أجهزة منزلية</v>
      </c>
      <c r="I1362" s="81" t="s">
        <v>463</v>
      </c>
      <c r="J1362" s="81" t="s">
        <v>91</v>
      </c>
      <c r="K1362" s="81" t="n">
        <v>1</v>
      </c>
      <c r="L1362" s="84" t="n">
        <f aca="false">IFERROR(INDEX(p_Price,MATCH($F1362,p_ID,0)),0)</f>
        <v>650</v>
      </c>
      <c r="M1362" s="85" t="n">
        <v>0</v>
      </c>
      <c r="N1362" s="81" t="s">
        <v>644</v>
      </c>
      <c r="O1362" s="84" t="n">
        <f aca="false">IF($N1362="مرتجع",0,K1362*L1362*(1-M1362))</f>
        <v>650</v>
      </c>
      <c r="P1362" s="84" t="n">
        <f aca="false">IF($N1362="مرتجع",0,K1362*IFERROR(INDEX(p_Cost,MATCH($F1362,p_ID,0)),0))</f>
        <v>420</v>
      </c>
      <c r="Q1362" s="84" t="n">
        <f aca="false">O1362-P1362</f>
        <v>230</v>
      </c>
      <c r="R1362" s="86" t="n">
        <f aca="false">DATE(YEAR(B1362),MONTH(B1362),1)</f>
        <v>46235</v>
      </c>
      <c r="S1362" s="83" t="str">
        <f aca="false">YEAR(B1362)&amp;"-Q"&amp;ROUNDUP(MONTH(B1362)/3,0)</f>
        <v>2026-Q3</v>
      </c>
      <c r="T1362" s="87" t="n">
        <f aca="false">IF(O1362&gt;0,Q1362/O1362,"")</f>
        <v>0.353846153846154</v>
      </c>
      <c r="U1362" s="84" t="n">
        <f aca="false">IF(O1362&gt;0,O1362,"")</f>
        <v>650</v>
      </c>
    </row>
    <row r="1363" customFormat="false" ht="15" hidden="false" customHeight="false" outlineLevel="0" collapsed="false">
      <c r="A1363" s="81" t="s">
        <v>2006</v>
      </c>
      <c r="B1363" s="82" t="n">
        <v>46262</v>
      </c>
      <c r="C1363" s="81" t="s">
        <v>311</v>
      </c>
      <c r="D1363" s="83" t="str">
        <f aca="false">IFERROR(INDEX(c_Name,MATCH($C1363,c_ID,0)),"غير معرّف")</f>
        <v>لمى الحسيني</v>
      </c>
      <c r="E1363" s="83" t="str">
        <f aca="false">IFERROR(INDEX(c_Region,MATCH($C1363,c_ID,0)),"غير معرّف")</f>
        <v>الوسطى</v>
      </c>
      <c r="F1363" s="81" t="s">
        <v>168</v>
      </c>
      <c r="G1363" s="83" t="str">
        <f aca="false">IFERROR(INDEX(p_Name,MATCH($F1363,p_ID,0)),"غير معرّف")</f>
        <v>مكنسة كهربائية</v>
      </c>
      <c r="H1363" s="83" t="str">
        <f aca="false">IFERROR(INDEX(p_Cat,MATCH($F1363,p_ID,0)),"غير معرّف")</f>
        <v>أجهزة منزلية</v>
      </c>
      <c r="I1363" s="81" t="s">
        <v>446</v>
      </c>
      <c r="J1363" s="81" t="s">
        <v>91</v>
      </c>
      <c r="K1363" s="81" t="n">
        <v>1</v>
      </c>
      <c r="L1363" s="84" t="n">
        <f aca="false">IFERROR(INDEX(p_Price,MATCH($F1363,p_ID,0)),0)</f>
        <v>650</v>
      </c>
      <c r="M1363" s="85" t="n">
        <v>0</v>
      </c>
      <c r="N1363" s="81" t="s">
        <v>644</v>
      </c>
      <c r="O1363" s="84" t="n">
        <f aca="false">IF($N1363="مرتجع",0,K1363*L1363*(1-M1363))</f>
        <v>650</v>
      </c>
      <c r="P1363" s="84" t="n">
        <f aca="false">IF($N1363="مرتجع",0,K1363*IFERROR(INDEX(p_Cost,MATCH($F1363,p_ID,0)),0))</f>
        <v>420</v>
      </c>
      <c r="Q1363" s="84" t="n">
        <f aca="false">O1363-P1363</f>
        <v>230</v>
      </c>
      <c r="R1363" s="86" t="n">
        <f aca="false">DATE(YEAR(B1363),MONTH(B1363),1)</f>
        <v>46235</v>
      </c>
      <c r="S1363" s="83" t="str">
        <f aca="false">YEAR(B1363)&amp;"-Q"&amp;ROUNDUP(MONTH(B1363)/3,0)</f>
        <v>2026-Q3</v>
      </c>
      <c r="T1363" s="87" t="n">
        <f aca="false">IF(O1363&gt;0,Q1363/O1363,"")</f>
        <v>0.353846153846154</v>
      </c>
      <c r="U1363" s="84" t="n">
        <f aca="false">IF(O1363&gt;0,O1363,"")</f>
        <v>650</v>
      </c>
    </row>
    <row r="1364" customFormat="false" ht="15" hidden="false" customHeight="false" outlineLevel="0" collapsed="false">
      <c r="A1364" s="81" t="s">
        <v>2007</v>
      </c>
      <c r="B1364" s="82" t="n">
        <v>46262</v>
      </c>
      <c r="C1364" s="81" t="s">
        <v>423</v>
      </c>
      <c r="D1364" s="83" t="str">
        <f aca="false">IFERROR(INDEX(c_Name,MATCH($C1364,c_ID,0)),"غير معرّف")</f>
        <v>ناصر المطيري</v>
      </c>
      <c r="E1364" s="83" t="str">
        <f aca="false">IFERROR(INDEX(c_Region,MATCH($C1364,c_ID,0)),"غير معرّف")</f>
        <v>الغربية</v>
      </c>
      <c r="F1364" s="81" t="s">
        <v>186</v>
      </c>
      <c r="G1364" s="83" t="str">
        <f aca="false">IFERROR(INDEX(p_Name,MATCH($F1364,p_ID,0)),"غير معرّف")</f>
        <v>مجفف شعر</v>
      </c>
      <c r="H1364" s="83" t="str">
        <f aca="false">IFERROR(INDEX(p_Cat,MATCH($F1364,p_ID,0)),"غير معرّف")</f>
        <v>عناية شخصية</v>
      </c>
      <c r="I1364" s="81" t="s">
        <v>458</v>
      </c>
      <c r="J1364" s="81" t="s">
        <v>93</v>
      </c>
      <c r="K1364" s="81" t="n">
        <v>5</v>
      </c>
      <c r="L1364" s="84" t="n">
        <f aca="false">IFERROR(INDEX(p_Price,MATCH($F1364,p_ID,0)),0)</f>
        <v>280</v>
      </c>
      <c r="M1364" s="85" t="n">
        <v>0.1</v>
      </c>
      <c r="N1364" s="81" t="s">
        <v>644</v>
      </c>
      <c r="O1364" s="84" t="n">
        <f aca="false">IF($N1364="مرتجع",0,K1364*L1364*(1-M1364))</f>
        <v>1260</v>
      </c>
      <c r="P1364" s="84" t="n">
        <f aca="false">IF($N1364="مرتجع",0,K1364*IFERROR(INDEX(p_Cost,MATCH($F1364,p_ID,0)),0))</f>
        <v>700</v>
      </c>
      <c r="Q1364" s="84" t="n">
        <f aca="false">O1364-P1364</f>
        <v>560</v>
      </c>
      <c r="R1364" s="86" t="n">
        <f aca="false">DATE(YEAR(B1364),MONTH(B1364),1)</f>
        <v>46235</v>
      </c>
      <c r="S1364" s="83" t="str">
        <f aca="false">YEAR(B1364)&amp;"-Q"&amp;ROUNDUP(MONTH(B1364)/3,0)</f>
        <v>2026-Q3</v>
      </c>
      <c r="T1364" s="87" t="n">
        <f aca="false">IF(O1364&gt;0,Q1364/O1364,"")</f>
        <v>0.444444444444444</v>
      </c>
      <c r="U1364" s="84" t="n">
        <f aca="false">IF(O1364&gt;0,O1364,"")</f>
        <v>1260</v>
      </c>
    </row>
    <row r="1365" customFormat="false" ht="15" hidden="false" customHeight="false" outlineLevel="0" collapsed="false">
      <c r="A1365" s="81" t="s">
        <v>2008</v>
      </c>
      <c r="B1365" s="82" t="n">
        <v>46262</v>
      </c>
      <c r="C1365" s="81" t="s">
        <v>394</v>
      </c>
      <c r="D1365" s="83" t="str">
        <f aca="false">IFERROR(INDEX(c_Name,MATCH($C1365,c_ID,0)),"غير معرّف")</f>
        <v>طارق الغامدي</v>
      </c>
      <c r="E1365" s="83" t="str">
        <f aca="false">IFERROR(INDEX(c_Region,MATCH($C1365,c_ID,0)),"غير معرّف")</f>
        <v>الشرقية</v>
      </c>
      <c r="F1365" s="81" t="s">
        <v>166</v>
      </c>
      <c r="G1365" s="83" t="str">
        <f aca="false">IFERROR(INDEX(p_Name,MATCH($F1365,p_ID,0)),"غير معرّف")</f>
        <v>سماعات لاسلكية</v>
      </c>
      <c r="H1365" s="83" t="str">
        <f aca="false">IFERROR(INDEX(p_Cat,MATCH($F1365,p_ID,0)),"غير معرّف")</f>
        <v>إلكترونيات</v>
      </c>
      <c r="I1365" s="81" t="s">
        <v>463</v>
      </c>
      <c r="J1365" s="81" t="s">
        <v>91</v>
      </c>
      <c r="K1365" s="81" t="n">
        <v>1</v>
      </c>
      <c r="L1365" s="84" t="n">
        <f aca="false">IFERROR(INDEX(p_Price,MATCH($F1365,p_ID,0)),0)</f>
        <v>450</v>
      </c>
      <c r="M1365" s="85" t="n">
        <v>0.05</v>
      </c>
      <c r="N1365" s="81" t="s">
        <v>644</v>
      </c>
      <c r="O1365" s="84" t="n">
        <f aca="false">IF($N1365="مرتجع",0,K1365*L1365*(1-M1365))</f>
        <v>427.5</v>
      </c>
      <c r="P1365" s="84" t="n">
        <f aca="false">IF($N1365="مرتجع",0,K1365*IFERROR(INDEX(p_Cost,MATCH($F1365,p_ID,0)),0))</f>
        <v>260</v>
      </c>
      <c r="Q1365" s="84" t="n">
        <f aca="false">O1365-P1365</f>
        <v>167.5</v>
      </c>
      <c r="R1365" s="86" t="n">
        <f aca="false">DATE(YEAR(B1365),MONTH(B1365),1)</f>
        <v>46235</v>
      </c>
      <c r="S1365" s="83" t="str">
        <f aca="false">YEAR(B1365)&amp;"-Q"&amp;ROUNDUP(MONTH(B1365)/3,0)</f>
        <v>2026-Q3</v>
      </c>
      <c r="T1365" s="87" t="n">
        <f aca="false">IF(O1365&gt;0,Q1365/O1365,"")</f>
        <v>0.391812865497076</v>
      </c>
      <c r="U1365" s="84" t="n">
        <f aca="false">IF(O1365&gt;0,O1365,"")</f>
        <v>427.5</v>
      </c>
    </row>
    <row r="1366" customFormat="false" ht="15" hidden="false" customHeight="false" outlineLevel="0" collapsed="false">
      <c r="A1366" s="81" t="s">
        <v>2009</v>
      </c>
      <c r="B1366" s="82" t="n">
        <v>46263</v>
      </c>
      <c r="C1366" s="81" t="s">
        <v>312</v>
      </c>
      <c r="D1366" s="83" t="str">
        <f aca="false">IFERROR(INDEX(c_Name,MATCH($C1366,c_ID,0)),"غير معرّف")</f>
        <v>دانة الدوسري</v>
      </c>
      <c r="E1366" s="83" t="str">
        <f aca="false">IFERROR(INDEX(c_Region,MATCH($C1366,c_ID,0)),"غير معرّف")</f>
        <v>الشرقية</v>
      </c>
      <c r="F1366" s="81" t="s">
        <v>164</v>
      </c>
      <c r="G1366" s="83" t="str">
        <f aca="false">IFERROR(INDEX(p_Name,MATCH($F1366,p_ID,0)),"غير معرّف")</f>
        <v>هاتف ذكي</v>
      </c>
      <c r="H1366" s="83" t="str">
        <f aca="false">IFERROR(INDEX(p_Cat,MATCH($F1366,p_ID,0)),"غير معرّف")</f>
        <v>إلكترونيات</v>
      </c>
      <c r="I1366" s="81" t="s">
        <v>461</v>
      </c>
      <c r="J1366" s="81" t="s">
        <v>93</v>
      </c>
      <c r="K1366" s="81" t="n">
        <v>1</v>
      </c>
      <c r="L1366" s="84" t="n">
        <f aca="false">IFERROR(INDEX(p_Price,MATCH($F1366,p_ID,0)),0)</f>
        <v>2400</v>
      </c>
      <c r="M1366" s="85" t="n">
        <v>0</v>
      </c>
      <c r="N1366" s="81" t="s">
        <v>644</v>
      </c>
      <c r="O1366" s="84" t="n">
        <f aca="false">IF($N1366="مرتجع",0,K1366*L1366*(1-M1366))</f>
        <v>2400</v>
      </c>
      <c r="P1366" s="84" t="n">
        <f aca="false">IF($N1366="مرتجع",0,K1366*IFERROR(INDEX(p_Cost,MATCH($F1366,p_ID,0)),0))</f>
        <v>1750</v>
      </c>
      <c r="Q1366" s="84" t="n">
        <f aca="false">O1366-P1366</f>
        <v>650</v>
      </c>
      <c r="R1366" s="86" t="n">
        <f aca="false">DATE(YEAR(B1366),MONTH(B1366),1)</f>
        <v>46235</v>
      </c>
      <c r="S1366" s="83" t="str">
        <f aca="false">YEAR(B1366)&amp;"-Q"&amp;ROUNDUP(MONTH(B1366)/3,0)</f>
        <v>2026-Q3</v>
      </c>
      <c r="T1366" s="87" t="n">
        <f aca="false">IF(O1366&gt;0,Q1366/O1366,"")</f>
        <v>0.270833333333333</v>
      </c>
      <c r="U1366" s="84" t="n">
        <f aca="false">IF(O1366&gt;0,O1366,"")</f>
        <v>2400</v>
      </c>
    </row>
    <row r="1367" customFormat="false" ht="15" hidden="false" customHeight="false" outlineLevel="0" collapsed="false">
      <c r="A1367" s="81" t="s">
        <v>2010</v>
      </c>
      <c r="B1367" s="82" t="n">
        <v>46263</v>
      </c>
      <c r="C1367" s="81" t="s">
        <v>253</v>
      </c>
      <c r="D1367" s="83" t="str">
        <f aca="false">IFERROR(INDEX(c_Name,MATCH($C1367,c_ID,0)),"غير معرّف")</f>
        <v>هند القحطاني</v>
      </c>
      <c r="E1367" s="83" t="str">
        <f aca="false">IFERROR(INDEX(c_Region,MATCH($C1367,c_ID,0)),"غير معرّف")</f>
        <v>الشرقية</v>
      </c>
      <c r="F1367" s="81" t="s">
        <v>180</v>
      </c>
      <c r="G1367" s="83" t="str">
        <f aca="false">IFERROR(INDEX(p_Name,MATCH($F1367,p_ID,0)),"غير معرّف")</f>
        <v>جهاز مشي</v>
      </c>
      <c r="H1367" s="83" t="str">
        <f aca="false">IFERROR(INDEX(p_Cat,MATCH($F1367,p_ID,0)),"غير معرّف")</f>
        <v>رياضة</v>
      </c>
      <c r="I1367" s="81" t="s">
        <v>463</v>
      </c>
      <c r="J1367" s="81" t="s">
        <v>91</v>
      </c>
      <c r="K1367" s="81" t="n">
        <v>1</v>
      </c>
      <c r="L1367" s="84" t="n">
        <f aca="false">IFERROR(INDEX(p_Price,MATCH($F1367,p_ID,0)),0)</f>
        <v>3200</v>
      </c>
      <c r="M1367" s="85" t="n">
        <v>0.15</v>
      </c>
      <c r="N1367" s="81" t="s">
        <v>644</v>
      </c>
      <c r="O1367" s="84" t="n">
        <f aca="false">IF($N1367="مرتجع",0,K1367*L1367*(1-M1367))</f>
        <v>2720</v>
      </c>
      <c r="P1367" s="84" t="n">
        <f aca="false">IF($N1367="مرتجع",0,K1367*IFERROR(INDEX(p_Cost,MATCH($F1367,p_ID,0)),0))</f>
        <v>2200</v>
      </c>
      <c r="Q1367" s="84" t="n">
        <f aca="false">O1367-P1367</f>
        <v>520</v>
      </c>
      <c r="R1367" s="86" t="n">
        <f aca="false">DATE(YEAR(B1367),MONTH(B1367),1)</f>
        <v>46235</v>
      </c>
      <c r="S1367" s="83" t="str">
        <f aca="false">YEAR(B1367)&amp;"-Q"&amp;ROUNDUP(MONTH(B1367)/3,0)</f>
        <v>2026-Q3</v>
      </c>
      <c r="T1367" s="87" t="n">
        <f aca="false">IF(O1367&gt;0,Q1367/O1367,"")</f>
        <v>0.191176470588235</v>
      </c>
      <c r="U1367" s="84" t="n">
        <f aca="false">IF(O1367&gt;0,O1367,"")</f>
        <v>2720</v>
      </c>
    </row>
    <row r="1368" customFormat="false" ht="15" hidden="false" customHeight="false" outlineLevel="0" collapsed="false">
      <c r="A1368" s="81" t="s">
        <v>2011</v>
      </c>
      <c r="B1368" s="82" t="n">
        <v>46264</v>
      </c>
      <c r="C1368" s="81" t="s">
        <v>310</v>
      </c>
      <c r="D1368" s="83" t="str">
        <f aca="false">IFERROR(INDEX(c_Name,MATCH($C1368,c_ID,0)),"غير معرّف")</f>
        <v>طارق السبيعي</v>
      </c>
      <c r="E1368" s="83" t="str">
        <f aca="false">IFERROR(INDEX(c_Region,MATCH($C1368,c_ID,0)),"غير معرّف")</f>
        <v>الوسطى</v>
      </c>
      <c r="F1368" s="81" t="s">
        <v>166</v>
      </c>
      <c r="G1368" s="83" t="str">
        <f aca="false">IFERROR(INDEX(p_Name,MATCH($F1368,p_ID,0)),"غير معرّف")</f>
        <v>سماعات لاسلكية</v>
      </c>
      <c r="H1368" s="83" t="str">
        <f aca="false">IFERROR(INDEX(p_Cat,MATCH($F1368,p_ID,0)),"غير معرّف")</f>
        <v>إلكترونيات</v>
      </c>
      <c r="I1368" s="81" t="s">
        <v>443</v>
      </c>
      <c r="J1368" s="81" t="s">
        <v>91</v>
      </c>
      <c r="K1368" s="81" t="n">
        <v>2</v>
      </c>
      <c r="L1368" s="84" t="n">
        <f aca="false">IFERROR(INDEX(p_Price,MATCH($F1368,p_ID,0)),0)</f>
        <v>450</v>
      </c>
      <c r="M1368" s="85" t="n">
        <v>0</v>
      </c>
      <c r="N1368" s="81" t="s">
        <v>644</v>
      </c>
      <c r="O1368" s="84" t="n">
        <f aca="false">IF($N1368="مرتجع",0,K1368*L1368*(1-M1368))</f>
        <v>900</v>
      </c>
      <c r="P1368" s="84" t="n">
        <f aca="false">IF($N1368="مرتجع",0,K1368*IFERROR(INDEX(p_Cost,MATCH($F1368,p_ID,0)),0))</f>
        <v>520</v>
      </c>
      <c r="Q1368" s="84" t="n">
        <f aca="false">O1368-P1368</f>
        <v>380</v>
      </c>
      <c r="R1368" s="86" t="n">
        <f aca="false">DATE(YEAR(B1368),MONTH(B1368),1)</f>
        <v>46235</v>
      </c>
      <c r="S1368" s="83" t="str">
        <f aca="false">YEAR(B1368)&amp;"-Q"&amp;ROUNDUP(MONTH(B1368)/3,0)</f>
        <v>2026-Q3</v>
      </c>
      <c r="T1368" s="87" t="n">
        <f aca="false">IF(O1368&gt;0,Q1368/O1368,"")</f>
        <v>0.422222222222222</v>
      </c>
      <c r="U1368" s="84" t="n">
        <f aca="false">IF(O1368&gt;0,O1368,"")</f>
        <v>900</v>
      </c>
    </row>
    <row r="1369" customFormat="false" ht="15" hidden="false" customHeight="false" outlineLevel="0" collapsed="false">
      <c r="A1369" s="81" t="s">
        <v>2012</v>
      </c>
      <c r="B1369" s="82" t="n">
        <v>46264</v>
      </c>
      <c r="C1369" s="81" t="s">
        <v>283</v>
      </c>
      <c r="D1369" s="83" t="str">
        <f aca="false">IFERROR(INDEX(c_Name,MATCH($C1369,c_ID,0)),"غير معرّف")</f>
        <v>فهد السبيعي</v>
      </c>
      <c r="E1369" s="83" t="str">
        <f aca="false">IFERROR(INDEX(c_Region,MATCH($C1369,c_ID,0)),"غير معرّف")</f>
        <v>الغربية</v>
      </c>
      <c r="F1369" s="81" t="s">
        <v>166</v>
      </c>
      <c r="G1369" s="83" t="str">
        <f aca="false">IFERROR(INDEX(p_Name,MATCH($F1369,p_ID,0)),"غير معرّف")</f>
        <v>سماعات لاسلكية</v>
      </c>
      <c r="H1369" s="83" t="str">
        <f aca="false">IFERROR(INDEX(p_Cat,MATCH($F1369,p_ID,0)),"غير معرّف")</f>
        <v>إلكترونيات</v>
      </c>
      <c r="I1369" s="81" t="s">
        <v>455</v>
      </c>
      <c r="J1369" s="81" t="s">
        <v>91</v>
      </c>
      <c r="K1369" s="81" t="n">
        <v>1</v>
      </c>
      <c r="L1369" s="84" t="n">
        <f aca="false">IFERROR(INDEX(p_Price,MATCH($F1369,p_ID,0)),0)</f>
        <v>450</v>
      </c>
      <c r="M1369" s="85" t="n">
        <v>0</v>
      </c>
      <c r="N1369" s="81" t="s">
        <v>644</v>
      </c>
      <c r="O1369" s="84" t="n">
        <f aca="false">IF($N1369="مرتجع",0,K1369*L1369*(1-M1369))</f>
        <v>450</v>
      </c>
      <c r="P1369" s="84" t="n">
        <f aca="false">IF($N1369="مرتجع",0,K1369*IFERROR(INDEX(p_Cost,MATCH($F1369,p_ID,0)),0))</f>
        <v>260</v>
      </c>
      <c r="Q1369" s="84" t="n">
        <f aca="false">O1369-P1369</f>
        <v>190</v>
      </c>
      <c r="R1369" s="86" t="n">
        <f aca="false">DATE(YEAR(B1369),MONTH(B1369),1)</f>
        <v>46235</v>
      </c>
      <c r="S1369" s="83" t="str">
        <f aca="false">YEAR(B1369)&amp;"-Q"&amp;ROUNDUP(MONTH(B1369)/3,0)</f>
        <v>2026-Q3</v>
      </c>
      <c r="T1369" s="87" t="n">
        <f aca="false">IF(O1369&gt;0,Q1369/O1369,"")</f>
        <v>0.422222222222222</v>
      </c>
      <c r="U1369" s="84" t="n">
        <f aca="false">IF(O1369&gt;0,O1369,"")</f>
        <v>450</v>
      </c>
    </row>
    <row r="1370" customFormat="false" ht="15" hidden="false" customHeight="false" outlineLevel="0" collapsed="false">
      <c r="A1370" s="81" t="s">
        <v>2013</v>
      </c>
      <c r="B1370" s="82" t="n">
        <v>46264</v>
      </c>
      <c r="C1370" s="81" t="s">
        <v>369</v>
      </c>
      <c r="D1370" s="83" t="str">
        <f aca="false">IFERROR(INDEX(c_Name,MATCH($C1370,c_ID,0)),"غير معرّف")</f>
        <v>منى الغامدي</v>
      </c>
      <c r="E1370" s="83" t="str">
        <f aca="false">IFERROR(INDEX(c_Region,MATCH($C1370,c_ID,0)),"غير معرّف")</f>
        <v>الوسطى</v>
      </c>
      <c r="F1370" s="81" t="s">
        <v>179</v>
      </c>
      <c r="G1370" s="83" t="str">
        <f aca="false">IFERROR(INDEX(p_Name,MATCH($F1370,p_ID,0)),"غير معرّف")</f>
        <v>طقم أدوات مكتبية</v>
      </c>
      <c r="H1370" s="83" t="str">
        <f aca="false">IFERROR(INDEX(p_Cat,MATCH($F1370,p_ID,0)),"غير معرّف")</f>
        <v>مستلزمات مكتبية</v>
      </c>
      <c r="I1370" s="81" t="s">
        <v>446</v>
      </c>
      <c r="J1370" s="81" t="s">
        <v>95</v>
      </c>
      <c r="K1370" s="81" t="n">
        <v>6</v>
      </c>
      <c r="L1370" s="84" t="n">
        <f aca="false">IFERROR(INDEX(p_Price,MATCH($F1370,p_ID,0)),0)</f>
        <v>90</v>
      </c>
      <c r="M1370" s="85" t="n">
        <v>0.15</v>
      </c>
      <c r="N1370" s="81" t="s">
        <v>644</v>
      </c>
      <c r="O1370" s="84" t="n">
        <f aca="false">IF($N1370="مرتجع",0,K1370*L1370*(1-M1370))</f>
        <v>459</v>
      </c>
      <c r="P1370" s="84" t="n">
        <f aca="false">IF($N1370="مرتجع",0,K1370*IFERROR(INDEX(p_Cost,MATCH($F1370,p_ID,0)),0))</f>
        <v>270</v>
      </c>
      <c r="Q1370" s="84" t="n">
        <f aca="false">O1370-P1370</f>
        <v>189</v>
      </c>
      <c r="R1370" s="86" t="n">
        <f aca="false">DATE(YEAR(B1370),MONTH(B1370),1)</f>
        <v>46235</v>
      </c>
      <c r="S1370" s="83" t="str">
        <f aca="false">YEAR(B1370)&amp;"-Q"&amp;ROUNDUP(MONTH(B1370)/3,0)</f>
        <v>2026-Q3</v>
      </c>
      <c r="T1370" s="87" t="n">
        <f aca="false">IF(O1370&gt;0,Q1370/O1370,"")</f>
        <v>0.411764705882353</v>
      </c>
      <c r="U1370" s="84" t="n">
        <f aca="false">IF(O1370&gt;0,O1370,"")</f>
        <v>459</v>
      </c>
    </row>
    <row r="1371" customFormat="false" ht="15" hidden="false" customHeight="false" outlineLevel="0" collapsed="false">
      <c r="A1371" s="81" t="s">
        <v>2014</v>
      </c>
      <c r="B1371" s="82" t="n">
        <v>46264</v>
      </c>
      <c r="C1371" s="81" t="s">
        <v>312</v>
      </c>
      <c r="D1371" s="83" t="str">
        <f aca="false">IFERROR(INDEX(c_Name,MATCH($C1371,c_ID,0)),"غير معرّف")</f>
        <v>دانة الدوسري</v>
      </c>
      <c r="E1371" s="83" t="str">
        <f aca="false">IFERROR(INDEX(c_Region,MATCH($C1371,c_ID,0)),"غير معرّف")</f>
        <v>الشرقية</v>
      </c>
      <c r="F1371" s="81" t="s">
        <v>187</v>
      </c>
      <c r="G1371" s="83" t="str">
        <f aca="false">IFERROR(INDEX(p_Name,MATCH($F1371,p_ID,0)),"غير معرّف")</f>
        <v>جهاز تدليك</v>
      </c>
      <c r="H1371" s="83" t="str">
        <f aca="false">IFERROR(INDEX(p_Cat,MATCH($F1371,p_ID,0)),"غير معرّف")</f>
        <v>عناية شخصية</v>
      </c>
      <c r="I1371" s="81" t="s">
        <v>463</v>
      </c>
      <c r="J1371" s="81" t="s">
        <v>93</v>
      </c>
      <c r="K1371" s="81" t="n">
        <v>1</v>
      </c>
      <c r="L1371" s="84" t="n">
        <f aca="false">IFERROR(INDEX(p_Price,MATCH($F1371,p_ID,0)),0)</f>
        <v>600</v>
      </c>
      <c r="M1371" s="85" t="n">
        <v>0.1</v>
      </c>
      <c r="N1371" s="81" t="s">
        <v>644</v>
      </c>
      <c r="O1371" s="84" t="n">
        <f aca="false">IF($N1371="مرتجع",0,K1371*L1371*(1-M1371))</f>
        <v>540</v>
      </c>
      <c r="P1371" s="84" t="n">
        <f aca="false">IF($N1371="مرتجع",0,K1371*IFERROR(INDEX(p_Cost,MATCH($F1371,p_ID,0)),0))</f>
        <v>330</v>
      </c>
      <c r="Q1371" s="84" t="n">
        <f aca="false">O1371-P1371</f>
        <v>210</v>
      </c>
      <c r="R1371" s="86" t="n">
        <f aca="false">DATE(YEAR(B1371),MONTH(B1371),1)</f>
        <v>46235</v>
      </c>
      <c r="S1371" s="83" t="str">
        <f aca="false">YEAR(B1371)&amp;"-Q"&amp;ROUNDUP(MONTH(B1371)/3,0)</f>
        <v>2026-Q3</v>
      </c>
      <c r="T1371" s="87" t="n">
        <f aca="false">IF(O1371&gt;0,Q1371/O1371,"")</f>
        <v>0.388888888888889</v>
      </c>
      <c r="U1371" s="84" t="n">
        <f aca="false">IF(O1371&gt;0,O1371,"")</f>
        <v>540</v>
      </c>
    </row>
    <row r="1372" customFormat="false" ht="15" hidden="false" customHeight="false" outlineLevel="0" collapsed="false">
      <c r="A1372" s="81" t="s">
        <v>2015</v>
      </c>
      <c r="B1372" s="82" t="n">
        <v>46265</v>
      </c>
      <c r="C1372" s="81" t="s">
        <v>404</v>
      </c>
      <c r="D1372" s="83" t="str">
        <f aca="false">IFERROR(INDEX(c_Name,MATCH($C1372,c_ID,0)),"غير معرّف")</f>
        <v>عبدالله الحسيني</v>
      </c>
      <c r="E1372" s="83" t="str">
        <f aca="false">IFERROR(INDEX(c_Region,MATCH($C1372,c_ID,0)),"غير معرّف")</f>
        <v>الشرقية</v>
      </c>
      <c r="F1372" s="81" t="s">
        <v>185</v>
      </c>
      <c r="G1372" s="83" t="str">
        <f aca="false">IFERROR(INDEX(p_Name,MATCH($F1372,p_ID,0)),"غير معرّف")</f>
        <v>ماكينة حلاقة</v>
      </c>
      <c r="H1372" s="83" t="str">
        <f aca="false">IFERROR(INDEX(p_Cat,MATCH($F1372,p_ID,0)),"غير معرّف")</f>
        <v>عناية شخصية</v>
      </c>
      <c r="I1372" s="81" t="s">
        <v>461</v>
      </c>
      <c r="J1372" s="81" t="s">
        <v>93</v>
      </c>
      <c r="K1372" s="81" t="n">
        <v>1</v>
      </c>
      <c r="L1372" s="84" t="n">
        <f aca="false">IFERROR(INDEX(p_Price,MATCH($F1372,p_ID,0)),0)</f>
        <v>340</v>
      </c>
      <c r="M1372" s="85" t="n">
        <v>0</v>
      </c>
      <c r="N1372" s="81" t="s">
        <v>644</v>
      </c>
      <c r="O1372" s="84" t="n">
        <f aca="false">IF($N1372="مرتجع",0,K1372*L1372*(1-M1372))</f>
        <v>340</v>
      </c>
      <c r="P1372" s="84" t="n">
        <f aca="false">IF($N1372="مرتجع",0,K1372*IFERROR(INDEX(p_Cost,MATCH($F1372,p_ID,0)),0))</f>
        <v>170</v>
      </c>
      <c r="Q1372" s="84" t="n">
        <f aca="false">O1372-P1372</f>
        <v>170</v>
      </c>
      <c r="R1372" s="86" t="n">
        <f aca="false">DATE(YEAR(B1372),MONTH(B1372),1)</f>
        <v>46235</v>
      </c>
      <c r="S1372" s="83" t="str">
        <f aca="false">YEAR(B1372)&amp;"-Q"&amp;ROUNDUP(MONTH(B1372)/3,0)</f>
        <v>2026-Q3</v>
      </c>
      <c r="T1372" s="87" t="n">
        <f aca="false">IF(O1372&gt;0,Q1372/O1372,"")</f>
        <v>0.5</v>
      </c>
      <c r="U1372" s="84" t="n">
        <f aca="false">IF(O1372&gt;0,O1372,"")</f>
        <v>340</v>
      </c>
    </row>
    <row r="1373" customFormat="false" ht="15" hidden="false" customHeight="false" outlineLevel="0" collapsed="false">
      <c r="A1373" s="81" t="s">
        <v>2016</v>
      </c>
      <c r="B1373" s="82" t="n">
        <v>46265</v>
      </c>
      <c r="C1373" s="81" t="s">
        <v>339</v>
      </c>
      <c r="D1373" s="83" t="str">
        <f aca="false">IFERROR(INDEX(c_Name,MATCH($C1373,c_ID,0)),"غير معرّف")</f>
        <v>خالد السبيعي</v>
      </c>
      <c r="E1373" s="83" t="str">
        <f aca="false">IFERROR(INDEX(c_Region,MATCH($C1373,c_ID,0)),"غير معرّف")</f>
        <v>الجنوبية</v>
      </c>
      <c r="F1373" s="81" t="s">
        <v>175</v>
      </c>
      <c r="G1373" s="83" t="str">
        <f aca="false">IFERROR(INDEX(p_Name,MATCH($F1373,p_ID,0)),"غير معرّف")</f>
        <v>رف كتب</v>
      </c>
      <c r="H1373" s="83" t="str">
        <f aca="false">IFERROR(INDEX(p_Cat,MATCH($F1373,p_ID,0)),"غير معرّف")</f>
        <v>أثاث</v>
      </c>
      <c r="I1373" s="81" t="s">
        <v>465</v>
      </c>
      <c r="J1373" s="81" t="s">
        <v>93</v>
      </c>
      <c r="K1373" s="81" t="n">
        <v>9</v>
      </c>
      <c r="L1373" s="84" t="n">
        <f aca="false">IFERROR(INDEX(p_Price,MATCH($F1373,p_ID,0)),0)</f>
        <v>400</v>
      </c>
      <c r="M1373" s="85" t="n">
        <v>0</v>
      </c>
      <c r="N1373" s="81" t="s">
        <v>644</v>
      </c>
      <c r="O1373" s="84" t="n">
        <f aca="false">IF($N1373="مرتجع",0,K1373*L1373*(1-M1373))</f>
        <v>3600</v>
      </c>
      <c r="P1373" s="84" t="n">
        <f aca="false">IF($N1373="مرتجع",0,K1373*IFERROR(INDEX(p_Cost,MATCH($F1373,p_ID,0)),0))</f>
        <v>1980</v>
      </c>
      <c r="Q1373" s="84" t="n">
        <f aca="false">O1373-P1373</f>
        <v>1620</v>
      </c>
      <c r="R1373" s="86" t="n">
        <f aca="false">DATE(YEAR(B1373),MONTH(B1373),1)</f>
        <v>46235</v>
      </c>
      <c r="S1373" s="83" t="str">
        <f aca="false">YEAR(B1373)&amp;"-Q"&amp;ROUNDUP(MONTH(B1373)/3,0)</f>
        <v>2026-Q3</v>
      </c>
      <c r="T1373" s="87" t="n">
        <f aca="false">IF(O1373&gt;0,Q1373/O1373,"")</f>
        <v>0.45</v>
      </c>
      <c r="U1373" s="84" t="n">
        <f aca="false">IF(O1373&gt;0,O1373,"")</f>
        <v>3600</v>
      </c>
    </row>
    <row r="1374" customFormat="false" ht="15" hidden="false" customHeight="false" outlineLevel="0" collapsed="false">
      <c r="A1374" s="81" t="s">
        <v>2017</v>
      </c>
      <c r="B1374" s="82" t="n">
        <v>46266</v>
      </c>
      <c r="C1374" s="81" t="s">
        <v>290</v>
      </c>
      <c r="D1374" s="83" t="str">
        <f aca="false">IFERROR(INDEX(c_Name,MATCH($C1374,c_ID,0)),"غير معرّف")</f>
        <v>لمى العتيبي</v>
      </c>
      <c r="E1374" s="83" t="str">
        <f aca="false">IFERROR(INDEX(c_Region,MATCH($C1374,c_ID,0)),"غير معرّف")</f>
        <v>الجنوبية</v>
      </c>
      <c r="F1374" s="81" t="s">
        <v>186</v>
      </c>
      <c r="G1374" s="83" t="str">
        <f aca="false">IFERROR(INDEX(p_Name,MATCH($F1374,p_ID,0)),"غير معرّف")</f>
        <v>مجفف شعر</v>
      </c>
      <c r="H1374" s="83" t="str">
        <f aca="false">IFERROR(INDEX(p_Cat,MATCH($F1374,p_ID,0)),"غير معرّف")</f>
        <v>عناية شخصية</v>
      </c>
      <c r="I1374" s="81" t="s">
        <v>467</v>
      </c>
      <c r="J1374" s="81" t="s">
        <v>93</v>
      </c>
      <c r="K1374" s="81" t="n">
        <v>1</v>
      </c>
      <c r="L1374" s="84" t="n">
        <f aca="false">IFERROR(INDEX(p_Price,MATCH($F1374,p_ID,0)),0)</f>
        <v>280</v>
      </c>
      <c r="M1374" s="85" t="n">
        <v>0.1</v>
      </c>
      <c r="N1374" s="81" t="s">
        <v>644</v>
      </c>
      <c r="O1374" s="84" t="n">
        <f aca="false">IF($N1374="مرتجع",0,K1374*L1374*(1-M1374))</f>
        <v>252</v>
      </c>
      <c r="P1374" s="84" t="n">
        <f aca="false">IF($N1374="مرتجع",0,K1374*IFERROR(INDEX(p_Cost,MATCH($F1374,p_ID,0)),0))</f>
        <v>140</v>
      </c>
      <c r="Q1374" s="84" t="n">
        <f aca="false">O1374-P1374</f>
        <v>112</v>
      </c>
      <c r="R1374" s="86" t="n">
        <f aca="false">DATE(YEAR(B1374),MONTH(B1374),1)</f>
        <v>46266</v>
      </c>
      <c r="S1374" s="83" t="str">
        <f aca="false">YEAR(B1374)&amp;"-Q"&amp;ROUNDUP(MONTH(B1374)/3,0)</f>
        <v>2026-Q3</v>
      </c>
      <c r="T1374" s="87" t="n">
        <f aca="false">IF(O1374&gt;0,Q1374/O1374,"")</f>
        <v>0.444444444444444</v>
      </c>
      <c r="U1374" s="84" t="n">
        <f aca="false">IF(O1374&gt;0,O1374,"")</f>
        <v>252</v>
      </c>
    </row>
    <row r="1375" customFormat="false" ht="15" hidden="false" customHeight="false" outlineLevel="0" collapsed="false">
      <c r="A1375" s="81" t="s">
        <v>2018</v>
      </c>
      <c r="B1375" s="82" t="n">
        <v>46266</v>
      </c>
      <c r="C1375" s="81" t="s">
        <v>294</v>
      </c>
      <c r="D1375" s="83" t="str">
        <f aca="false">IFERROR(INDEX(c_Name,MATCH($C1375,c_ID,0)),"غير معرّف")</f>
        <v>خالد البلوي</v>
      </c>
      <c r="E1375" s="83" t="str">
        <f aca="false">IFERROR(INDEX(c_Region,MATCH($C1375,c_ID,0)),"غير معرّف")</f>
        <v>الوسطى</v>
      </c>
      <c r="F1375" s="81" t="s">
        <v>177</v>
      </c>
      <c r="G1375" s="83" t="str">
        <f aca="false">IFERROR(INDEX(p_Name,MATCH($F1375,p_ID,0)),"غير معرّف")</f>
        <v>ورق A4 (صندوق)</v>
      </c>
      <c r="H1375" s="83" t="str">
        <f aca="false">IFERROR(INDEX(p_Cat,MATCH($F1375,p_ID,0)),"غير معرّف")</f>
        <v>مستلزمات مكتبية</v>
      </c>
      <c r="I1375" s="81" t="s">
        <v>449</v>
      </c>
      <c r="J1375" s="81" t="s">
        <v>93</v>
      </c>
      <c r="K1375" s="81" t="n">
        <v>10</v>
      </c>
      <c r="L1375" s="84" t="n">
        <f aca="false">IFERROR(INDEX(p_Price,MATCH($F1375,p_ID,0)),0)</f>
        <v>140</v>
      </c>
      <c r="M1375" s="85" t="n">
        <v>0.05</v>
      </c>
      <c r="N1375" s="81" t="s">
        <v>644</v>
      </c>
      <c r="O1375" s="84" t="n">
        <f aca="false">IF($N1375="مرتجع",0,K1375*L1375*(1-M1375))</f>
        <v>1330</v>
      </c>
      <c r="P1375" s="84" t="n">
        <f aca="false">IF($N1375="مرتجع",0,K1375*IFERROR(INDEX(p_Cost,MATCH($F1375,p_ID,0)),0))</f>
        <v>950</v>
      </c>
      <c r="Q1375" s="84" t="n">
        <f aca="false">O1375-P1375</f>
        <v>380</v>
      </c>
      <c r="R1375" s="86" t="n">
        <f aca="false">DATE(YEAR(B1375),MONTH(B1375),1)</f>
        <v>46266</v>
      </c>
      <c r="S1375" s="83" t="str">
        <f aca="false">YEAR(B1375)&amp;"-Q"&amp;ROUNDUP(MONTH(B1375)/3,0)</f>
        <v>2026-Q3</v>
      </c>
      <c r="T1375" s="87" t="n">
        <f aca="false">IF(O1375&gt;0,Q1375/O1375,"")</f>
        <v>0.285714285714286</v>
      </c>
      <c r="U1375" s="84" t="n">
        <f aca="false">IF(O1375&gt;0,O1375,"")</f>
        <v>1330</v>
      </c>
    </row>
    <row r="1376" customFormat="false" ht="15" hidden="false" customHeight="false" outlineLevel="0" collapsed="false">
      <c r="A1376" s="81" t="s">
        <v>2019</v>
      </c>
      <c r="B1376" s="82" t="n">
        <v>46267</v>
      </c>
      <c r="C1376" s="81" t="s">
        <v>348</v>
      </c>
      <c r="D1376" s="83" t="str">
        <f aca="false">IFERROR(INDEX(c_Name,MATCH($C1376,c_ID,0)),"غير معرّف")</f>
        <v>عبير القحطاني</v>
      </c>
      <c r="E1376" s="83" t="str">
        <f aca="false">IFERROR(INDEX(c_Region,MATCH($C1376,c_ID,0)),"غير معرّف")</f>
        <v>الغربية</v>
      </c>
      <c r="F1376" s="81" t="s">
        <v>166</v>
      </c>
      <c r="G1376" s="83" t="str">
        <f aca="false">IFERROR(INDEX(p_Name,MATCH($F1376,p_ID,0)),"غير معرّف")</f>
        <v>سماعات لاسلكية</v>
      </c>
      <c r="H1376" s="83" t="str">
        <f aca="false">IFERROR(INDEX(p_Cat,MATCH($F1376,p_ID,0)),"غير معرّف")</f>
        <v>إلكترونيات</v>
      </c>
      <c r="I1376" s="81" t="s">
        <v>452</v>
      </c>
      <c r="J1376" s="81" t="s">
        <v>95</v>
      </c>
      <c r="K1376" s="81" t="n">
        <v>6</v>
      </c>
      <c r="L1376" s="84" t="n">
        <f aca="false">IFERROR(INDEX(p_Price,MATCH($F1376,p_ID,0)),0)</f>
        <v>450</v>
      </c>
      <c r="M1376" s="85" t="n">
        <v>0.1</v>
      </c>
      <c r="N1376" s="81" t="s">
        <v>644</v>
      </c>
      <c r="O1376" s="84" t="n">
        <f aca="false">IF($N1376="مرتجع",0,K1376*L1376*(1-M1376))</f>
        <v>2430</v>
      </c>
      <c r="P1376" s="84" t="n">
        <f aca="false">IF($N1376="مرتجع",0,K1376*IFERROR(INDEX(p_Cost,MATCH($F1376,p_ID,0)),0))</f>
        <v>1560</v>
      </c>
      <c r="Q1376" s="84" t="n">
        <f aca="false">O1376-P1376</f>
        <v>870</v>
      </c>
      <c r="R1376" s="86" t="n">
        <f aca="false">DATE(YEAR(B1376),MONTH(B1376),1)</f>
        <v>46266</v>
      </c>
      <c r="S1376" s="83" t="str">
        <f aca="false">YEAR(B1376)&amp;"-Q"&amp;ROUNDUP(MONTH(B1376)/3,0)</f>
        <v>2026-Q3</v>
      </c>
      <c r="T1376" s="87" t="n">
        <f aca="false">IF(O1376&gt;0,Q1376/O1376,"")</f>
        <v>0.358024691358025</v>
      </c>
      <c r="U1376" s="84" t="n">
        <f aca="false">IF(O1376&gt;0,O1376,"")</f>
        <v>2430</v>
      </c>
    </row>
    <row r="1377" customFormat="false" ht="15" hidden="false" customHeight="false" outlineLevel="0" collapsed="false">
      <c r="A1377" s="81" t="s">
        <v>2020</v>
      </c>
      <c r="B1377" s="82" t="n">
        <v>46267</v>
      </c>
      <c r="C1377" s="81" t="s">
        <v>299</v>
      </c>
      <c r="D1377" s="83" t="str">
        <f aca="false">IFERROR(INDEX(c_Name,MATCH($C1377,c_ID,0)),"غير معرّف")</f>
        <v>جود الخالدي</v>
      </c>
      <c r="E1377" s="83" t="str">
        <f aca="false">IFERROR(INDEX(c_Region,MATCH($C1377,c_ID,0)),"غير معرّف")</f>
        <v>الوسطى</v>
      </c>
      <c r="F1377" s="81" t="s">
        <v>171</v>
      </c>
      <c r="G1377" s="83" t="str">
        <f aca="false">IFERROR(INDEX(p_Name,MATCH($F1377,p_ID,0)),"غير معرّف")</f>
        <v>قلاية هوائية</v>
      </c>
      <c r="H1377" s="83" t="str">
        <f aca="false">IFERROR(INDEX(p_Cat,MATCH($F1377,p_ID,0)),"غير معرّف")</f>
        <v>أجهزة منزلية</v>
      </c>
      <c r="I1377" s="81" t="s">
        <v>446</v>
      </c>
      <c r="J1377" s="81" t="s">
        <v>91</v>
      </c>
      <c r="K1377" s="81" t="n">
        <v>1</v>
      </c>
      <c r="L1377" s="84" t="n">
        <f aca="false">IFERROR(INDEX(p_Price,MATCH($F1377,p_ID,0)),0)</f>
        <v>520</v>
      </c>
      <c r="M1377" s="85" t="n">
        <v>0.15</v>
      </c>
      <c r="N1377" s="81" t="s">
        <v>644</v>
      </c>
      <c r="O1377" s="84" t="n">
        <f aca="false">IF($N1377="مرتجع",0,K1377*L1377*(1-M1377))</f>
        <v>442</v>
      </c>
      <c r="P1377" s="84" t="n">
        <f aca="false">IF($N1377="مرتجع",0,K1377*IFERROR(INDEX(p_Cost,MATCH($F1377,p_ID,0)),0))</f>
        <v>300</v>
      </c>
      <c r="Q1377" s="84" t="n">
        <f aca="false">O1377-P1377</f>
        <v>142</v>
      </c>
      <c r="R1377" s="86" t="n">
        <f aca="false">DATE(YEAR(B1377),MONTH(B1377),1)</f>
        <v>46266</v>
      </c>
      <c r="S1377" s="83" t="str">
        <f aca="false">YEAR(B1377)&amp;"-Q"&amp;ROUNDUP(MONTH(B1377)/3,0)</f>
        <v>2026-Q3</v>
      </c>
      <c r="T1377" s="87" t="n">
        <f aca="false">IF(O1377&gt;0,Q1377/O1377,"")</f>
        <v>0.321266968325792</v>
      </c>
      <c r="U1377" s="84" t="n">
        <f aca="false">IF(O1377&gt;0,O1377,"")</f>
        <v>442</v>
      </c>
    </row>
    <row r="1378" customFormat="false" ht="15" hidden="false" customHeight="false" outlineLevel="0" collapsed="false">
      <c r="A1378" s="81" t="s">
        <v>2021</v>
      </c>
      <c r="B1378" s="82" t="n">
        <v>46267</v>
      </c>
      <c r="C1378" s="81" t="s">
        <v>365</v>
      </c>
      <c r="D1378" s="83" t="str">
        <f aca="false">IFERROR(INDEX(c_Name,MATCH($C1378,c_ID,0)),"غير معرّف")</f>
        <v>نورة الغامدي</v>
      </c>
      <c r="E1378" s="83" t="str">
        <f aca="false">IFERROR(INDEX(c_Region,MATCH($C1378,c_ID,0)),"غير معرّف")</f>
        <v>الوسطى</v>
      </c>
      <c r="F1378" s="81" t="s">
        <v>166</v>
      </c>
      <c r="G1378" s="83" t="str">
        <f aca="false">IFERROR(INDEX(p_Name,MATCH($F1378,p_ID,0)),"غير معرّف")</f>
        <v>سماعات لاسلكية</v>
      </c>
      <c r="H1378" s="83" t="str">
        <f aca="false">IFERROR(INDEX(p_Cat,MATCH($F1378,p_ID,0)),"غير معرّف")</f>
        <v>إلكترونيات</v>
      </c>
      <c r="I1378" s="81" t="s">
        <v>443</v>
      </c>
      <c r="J1378" s="81" t="s">
        <v>91</v>
      </c>
      <c r="K1378" s="81" t="n">
        <v>1</v>
      </c>
      <c r="L1378" s="84" t="n">
        <f aca="false">IFERROR(INDEX(p_Price,MATCH($F1378,p_ID,0)),0)</f>
        <v>450</v>
      </c>
      <c r="M1378" s="85" t="n">
        <v>0</v>
      </c>
      <c r="N1378" s="81" t="s">
        <v>644</v>
      </c>
      <c r="O1378" s="84" t="n">
        <f aca="false">IF($N1378="مرتجع",0,K1378*L1378*(1-M1378))</f>
        <v>450</v>
      </c>
      <c r="P1378" s="84" t="n">
        <f aca="false">IF($N1378="مرتجع",0,K1378*IFERROR(INDEX(p_Cost,MATCH($F1378,p_ID,0)),0))</f>
        <v>260</v>
      </c>
      <c r="Q1378" s="84" t="n">
        <f aca="false">O1378-P1378</f>
        <v>190</v>
      </c>
      <c r="R1378" s="86" t="n">
        <f aca="false">DATE(YEAR(B1378),MONTH(B1378),1)</f>
        <v>46266</v>
      </c>
      <c r="S1378" s="83" t="str">
        <f aca="false">YEAR(B1378)&amp;"-Q"&amp;ROUNDUP(MONTH(B1378)/3,0)</f>
        <v>2026-Q3</v>
      </c>
      <c r="T1378" s="87" t="n">
        <f aca="false">IF(O1378&gt;0,Q1378/O1378,"")</f>
        <v>0.422222222222222</v>
      </c>
      <c r="U1378" s="84" t="n">
        <f aca="false">IF(O1378&gt;0,O1378,"")</f>
        <v>450</v>
      </c>
    </row>
    <row r="1379" customFormat="false" ht="15" hidden="false" customHeight="false" outlineLevel="0" collapsed="false">
      <c r="A1379" s="81" t="s">
        <v>2022</v>
      </c>
      <c r="B1379" s="82" t="n">
        <v>46267</v>
      </c>
      <c r="C1379" s="81" t="s">
        <v>299</v>
      </c>
      <c r="D1379" s="83" t="str">
        <f aca="false">IFERROR(INDEX(c_Name,MATCH($C1379,c_ID,0)),"غير معرّف")</f>
        <v>جود الخالدي</v>
      </c>
      <c r="E1379" s="83" t="str">
        <f aca="false">IFERROR(INDEX(c_Region,MATCH($C1379,c_ID,0)),"غير معرّف")</f>
        <v>الوسطى</v>
      </c>
      <c r="F1379" s="81" t="s">
        <v>185</v>
      </c>
      <c r="G1379" s="83" t="str">
        <f aca="false">IFERROR(INDEX(p_Name,MATCH($F1379,p_ID,0)),"غير معرّف")</f>
        <v>ماكينة حلاقة</v>
      </c>
      <c r="H1379" s="83" t="str">
        <f aca="false">IFERROR(INDEX(p_Cat,MATCH($F1379,p_ID,0)),"غير معرّف")</f>
        <v>عناية شخصية</v>
      </c>
      <c r="I1379" s="81" t="s">
        <v>449</v>
      </c>
      <c r="J1379" s="81" t="s">
        <v>91</v>
      </c>
      <c r="K1379" s="81" t="n">
        <v>1</v>
      </c>
      <c r="L1379" s="84" t="n">
        <f aca="false">IFERROR(INDEX(p_Price,MATCH($F1379,p_ID,0)),0)</f>
        <v>340</v>
      </c>
      <c r="M1379" s="85" t="n">
        <v>0</v>
      </c>
      <c r="N1379" s="81" t="s">
        <v>644</v>
      </c>
      <c r="O1379" s="84" t="n">
        <f aca="false">IF($N1379="مرتجع",0,K1379*L1379*(1-M1379))</f>
        <v>340</v>
      </c>
      <c r="P1379" s="84" t="n">
        <f aca="false">IF($N1379="مرتجع",0,K1379*IFERROR(INDEX(p_Cost,MATCH($F1379,p_ID,0)),0))</f>
        <v>170</v>
      </c>
      <c r="Q1379" s="84" t="n">
        <f aca="false">O1379-P1379</f>
        <v>170</v>
      </c>
      <c r="R1379" s="86" t="n">
        <f aca="false">DATE(YEAR(B1379),MONTH(B1379),1)</f>
        <v>46266</v>
      </c>
      <c r="S1379" s="83" t="str">
        <f aca="false">YEAR(B1379)&amp;"-Q"&amp;ROUNDUP(MONTH(B1379)/3,0)</f>
        <v>2026-Q3</v>
      </c>
      <c r="T1379" s="87" t="n">
        <f aca="false">IF(O1379&gt;0,Q1379/O1379,"")</f>
        <v>0.5</v>
      </c>
      <c r="U1379" s="84" t="n">
        <f aca="false">IF(O1379&gt;0,O1379,"")</f>
        <v>340</v>
      </c>
    </row>
    <row r="1380" customFormat="false" ht="15" hidden="false" customHeight="false" outlineLevel="0" collapsed="false">
      <c r="A1380" s="81" t="s">
        <v>2023</v>
      </c>
      <c r="B1380" s="82" t="n">
        <v>46267</v>
      </c>
      <c r="C1380" s="81" t="s">
        <v>430</v>
      </c>
      <c r="D1380" s="83" t="str">
        <f aca="false">IFERROR(INDEX(c_Name,MATCH($C1380,c_ID,0)),"غير معرّف")</f>
        <v>ليلى الحربي</v>
      </c>
      <c r="E1380" s="83" t="str">
        <f aca="false">IFERROR(INDEX(c_Region,MATCH($C1380,c_ID,0)),"غير معرّف")</f>
        <v>الجنوبية</v>
      </c>
      <c r="F1380" s="81" t="s">
        <v>177</v>
      </c>
      <c r="G1380" s="83" t="str">
        <f aca="false">IFERROR(INDEX(p_Name,MATCH($F1380,p_ID,0)),"غير معرّف")</f>
        <v>ورق A4 (صندوق)</v>
      </c>
      <c r="H1380" s="83" t="str">
        <f aca="false">IFERROR(INDEX(p_Cat,MATCH($F1380,p_ID,0)),"غير معرّف")</f>
        <v>مستلزمات مكتبية</v>
      </c>
      <c r="I1380" s="81" t="s">
        <v>467</v>
      </c>
      <c r="J1380" s="81" t="s">
        <v>93</v>
      </c>
      <c r="K1380" s="81" t="n">
        <v>4</v>
      </c>
      <c r="L1380" s="84" t="n">
        <f aca="false">IFERROR(INDEX(p_Price,MATCH($F1380,p_ID,0)),0)</f>
        <v>140</v>
      </c>
      <c r="M1380" s="85" t="n">
        <v>0.1</v>
      </c>
      <c r="N1380" s="81" t="s">
        <v>644</v>
      </c>
      <c r="O1380" s="84" t="n">
        <f aca="false">IF($N1380="مرتجع",0,K1380*L1380*(1-M1380))</f>
        <v>504</v>
      </c>
      <c r="P1380" s="84" t="n">
        <f aca="false">IF($N1380="مرتجع",0,K1380*IFERROR(INDEX(p_Cost,MATCH($F1380,p_ID,0)),0))</f>
        <v>380</v>
      </c>
      <c r="Q1380" s="84" t="n">
        <f aca="false">O1380-P1380</f>
        <v>124</v>
      </c>
      <c r="R1380" s="86" t="n">
        <f aca="false">DATE(YEAR(B1380),MONTH(B1380),1)</f>
        <v>46266</v>
      </c>
      <c r="S1380" s="83" t="str">
        <f aca="false">YEAR(B1380)&amp;"-Q"&amp;ROUNDUP(MONTH(B1380)/3,0)</f>
        <v>2026-Q3</v>
      </c>
      <c r="T1380" s="87" t="n">
        <f aca="false">IF(O1380&gt;0,Q1380/O1380,"")</f>
        <v>0.246031746031746</v>
      </c>
      <c r="U1380" s="84" t="n">
        <f aca="false">IF(O1380&gt;0,O1380,"")</f>
        <v>504</v>
      </c>
    </row>
    <row r="1381" customFormat="false" ht="15" hidden="false" customHeight="false" outlineLevel="0" collapsed="false">
      <c r="A1381" s="81" t="s">
        <v>2024</v>
      </c>
      <c r="B1381" s="82" t="n">
        <v>46268</v>
      </c>
      <c r="C1381" s="81" t="s">
        <v>235</v>
      </c>
      <c r="D1381" s="83" t="str">
        <f aca="false">IFERROR(INDEX(c_Name,MATCH($C1381,c_ID,0)),"غير معرّف")</f>
        <v>ليلى الزهراني</v>
      </c>
      <c r="E1381" s="83" t="str">
        <f aca="false">IFERROR(INDEX(c_Region,MATCH($C1381,c_ID,0)),"غير معرّف")</f>
        <v>الشرقية</v>
      </c>
      <c r="F1381" s="81" t="s">
        <v>177</v>
      </c>
      <c r="G1381" s="83" t="str">
        <f aca="false">IFERROR(INDEX(p_Name,MATCH($F1381,p_ID,0)),"غير معرّف")</f>
        <v>ورق A4 (صندوق)</v>
      </c>
      <c r="H1381" s="83" t="str">
        <f aca="false">IFERROR(INDEX(p_Cat,MATCH($F1381,p_ID,0)),"غير معرّف")</f>
        <v>مستلزمات مكتبية</v>
      </c>
      <c r="I1381" s="81" t="s">
        <v>463</v>
      </c>
      <c r="J1381" s="81" t="s">
        <v>93</v>
      </c>
      <c r="K1381" s="81" t="n">
        <v>1</v>
      </c>
      <c r="L1381" s="84" t="n">
        <f aca="false">IFERROR(INDEX(p_Price,MATCH($F1381,p_ID,0)),0)</f>
        <v>140</v>
      </c>
      <c r="M1381" s="85" t="n">
        <v>0</v>
      </c>
      <c r="N1381" s="81" t="s">
        <v>644</v>
      </c>
      <c r="O1381" s="84" t="n">
        <f aca="false">IF($N1381="مرتجع",0,K1381*L1381*(1-M1381))</f>
        <v>140</v>
      </c>
      <c r="P1381" s="84" t="n">
        <f aca="false">IF($N1381="مرتجع",0,K1381*IFERROR(INDEX(p_Cost,MATCH($F1381,p_ID,0)),0))</f>
        <v>95</v>
      </c>
      <c r="Q1381" s="84" t="n">
        <f aca="false">O1381-P1381</f>
        <v>45</v>
      </c>
      <c r="R1381" s="86" t="n">
        <f aca="false">DATE(YEAR(B1381),MONTH(B1381),1)</f>
        <v>46266</v>
      </c>
      <c r="S1381" s="83" t="str">
        <f aca="false">YEAR(B1381)&amp;"-Q"&amp;ROUNDUP(MONTH(B1381)/3,0)</f>
        <v>2026-Q3</v>
      </c>
      <c r="T1381" s="87" t="n">
        <f aca="false">IF(O1381&gt;0,Q1381/O1381,"")</f>
        <v>0.321428571428571</v>
      </c>
      <c r="U1381" s="84" t="n">
        <f aca="false">IF(O1381&gt;0,O1381,"")</f>
        <v>140</v>
      </c>
    </row>
    <row r="1382" customFormat="false" ht="15" hidden="false" customHeight="false" outlineLevel="0" collapsed="false">
      <c r="A1382" s="81" t="s">
        <v>2025</v>
      </c>
      <c r="B1382" s="82" t="n">
        <v>46268</v>
      </c>
      <c r="C1382" s="81" t="s">
        <v>405</v>
      </c>
      <c r="D1382" s="83" t="str">
        <f aca="false">IFERROR(INDEX(c_Name,MATCH($C1382,c_ID,0)),"غير معرّف")</f>
        <v>طارق التميمي</v>
      </c>
      <c r="E1382" s="83" t="str">
        <f aca="false">IFERROR(INDEX(c_Region,MATCH($C1382,c_ID,0)),"غير معرّف")</f>
        <v>الوسطى</v>
      </c>
      <c r="F1382" s="81" t="s">
        <v>176</v>
      </c>
      <c r="G1382" s="83" t="str">
        <f aca="false">IFERROR(INDEX(p_Name,MATCH($F1382,p_ID,0)),"غير معرّف")</f>
        <v>طابعة ليزر</v>
      </c>
      <c r="H1382" s="83" t="str">
        <f aca="false">IFERROR(INDEX(p_Cat,MATCH($F1382,p_ID,0)),"غير معرّف")</f>
        <v>مستلزمات مكتبية</v>
      </c>
      <c r="I1382" s="81" t="s">
        <v>443</v>
      </c>
      <c r="J1382" s="81" t="s">
        <v>91</v>
      </c>
      <c r="K1382" s="81" t="n">
        <v>5</v>
      </c>
      <c r="L1382" s="84" t="n">
        <f aca="false">IFERROR(INDEX(p_Price,MATCH($F1382,p_ID,0)),0)</f>
        <v>1300</v>
      </c>
      <c r="M1382" s="85" t="n">
        <v>0</v>
      </c>
      <c r="N1382" s="81" t="s">
        <v>644</v>
      </c>
      <c r="O1382" s="84" t="n">
        <f aca="false">IF($N1382="مرتجع",0,K1382*L1382*(1-M1382))</f>
        <v>6500</v>
      </c>
      <c r="P1382" s="84" t="n">
        <f aca="false">IF($N1382="مرتجع",0,K1382*IFERROR(INDEX(p_Cost,MATCH($F1382,p_ID,0)),0))</f>
        <v>4750</v>
      </c>
      <c r="Q1382" s="84" t="n">
        <f aca="false">O1382-P1382</f>
        <v>1750</v>
      </c>
      <c r="R1382" s="86" t="n">
        <f aca="false">DATE(YEAR(B1382),MONTH(B1382),1)</f>
        <v>46266</v>
      </c>
      <c r="S1382" s="83" t="str">
        <f aca="false">YEAR(B1382)&amp;"-Q"&amp;ROUNDUP(MONTH(B1382)/3,0)</f>
        <v>2026-Q3</v>
      </c>
      <c r="T1382" s="87" t="n">
        <f aca="false">IF(O1382&gt;0,Q1382/O1382,"")</f>
        <v>0.269230769230769</v>
      </c>
      <c r="U1382" s="84" t="n">
        <f aca="false">IF(O1382&gt;0,O1382,"")</f>
        <v>6500</v>
      </c>
    </row>
    <row r="1383" customFormat="false" ht="15" hidden="false" customHeight="false" outlineLevel="0" collapsed="false">
      <c r="A1383" s="81" t="s">
        <v>2026</v>
      </c>
      <c r="B1383" s="82" t="n">
        <v>46268</v>
      </c>
      <c r="C1383" s="81" t="s">
        <v>399</v>
      </c>
      <c r="D1383" s="83" t="str">
        <f aca="false">IFERROR(INDEX(c_Name,MATCH($C1383,c_ID,0)),"غير معرّف")</f>
        <v>سارة الشمري</v>
      </c>
      <c r="E1383" s="83" t="str">
        <f aca="false">IFERROR(INDEX(c_Region,MATCH($C1383,c_ID,0)),"غير معرّف")</f>
        <v>الوسطى</v>
      </c>
      <c r="F1383" s="81" t="s">
        <v>176</v>
      </c>
      <c r="G1383" s="83" t="str">
        <f aca="false">IFERROR(INDEX(p_Name,MATCH($F1383,p_ID,0)),"غير معرّف")</f>
        <v>طابعة ليزر</v>
      </c>
      <c r="H1383" s="83" t="str">
        <f aca="false">IFERROR(INDEX(p_Cat,MATCH($F1383,p_ID,0)),"غير معرّف")</f>
        <v>مستلزمات مكتبية</v>
      </c>
      <c r="I1383" s="81" t="s">
        <v>446</v>
      </c>
      <c r="J1383" s="81" t="s">
        <v>93</v>
      </c>
      <c r="K1383" s="81" t="n">
        <v>11</v>
      </c>
      <c r="L1383" s="84" t="n">
        <f aca="false">IFERROR(INDEX(p_Price,MATCH($F1383,p_ID,0)),0)</f>
        <v>1300</v>
      </c>
      <c r="M1383" s="85" t="n">
        <v>0.05</v>
      </c>
      <c r="N1383" s="81" t="s">
        <v>644</v>
      </c>
      <c r="O1383" s="84" t="n">
        <f aca="false">IF($N1383="مرتجع",0,K1383*L1383*(1-M1383))</f>
        <v>13585</v>
      </c>
      <c r="P1383" s="84" t="n">
        <f aca="false">IF($N1383="مرتجع",0,K1383*IFERROR(INDEX(p_Cost,MATCH($F1383,p_ID,0)),0))</f>
        <v>10450</v>
      </c>
      <c r="Q1383" s="84" t="n">
        <f aca="false">O1383-P1383</f>
        <v>3135</v>
      </c>
      <c r="R1383" s="86" t="n">
        <f aca="false">DATE(YEAR(B1383),MONTH(B1383),1)</f>
        <v>46266</v>
      </c>
      <c r="S1383" s="83" t="str">
        <f aca="false">YEAR(B1383)&amp;"-Q"&amp;ROUNDUP(MONTH(B1383)/3,0)</f>
        <v>2026-Q3</v>
      </c>
      <c r="T1383" s="87" t="n">
        <f aca="false">IF(O1383&gt;0,Q1383/O1383,"")</f>
        <v>0.230769230769231</v>
      </c>
      <c r="U1383" s="84" t="n">
        <f aca="false">IF(O1383&gt;0,O1383,"")</f>
        <v>13585</v>
      </c>
    </row>
    <row r="1384" customFormat="false" ht="15" hidden="false" customHeight="false" outlineLevel="0" collapsed="false">
      <c r="A1384" s="81" t="s">
        <v>2027</v>
      </c>
      <c r="B1384" s="82" t="n">
        <v>46268</v>
      </c>
      <c r="C1384" s="81" t="s">
        <v>345</v>
      </c>
      <c r="D1384" s="83" t="str">
        <f aca="false">IFERROR(INDEX(c_Name,MATCH($C1384,c_ID,0)),"غير معرّف")</f>
        <v>عبدالله العنزي</v>
      </c>
      <c r="E1384" s="83" t="str">
        <f aca="false">IFERROR(INDEX(c_Region,MATCH($C1384,c_ID,0)),"غير معرّف")</f>
        <v>الغربية</v>
      </c>
      <c r="F1384" s="81" t="s">
        <v>168</v>
      </c>
      <c r="G1384" s="83" t="str">
        <f aca="false">IFERROR(INDEX(p_Name,MATCH($F1384,p_ID,0)),"غير معرّف")</f>
        <v>مكنسة كهربائية</v>
      </c>
      <c r="H1384" s="83" t="str">
        <f aca="false">IFERROR(INDEX(p_Cat,MATCH($F1384,p_ID,0)),"غير معرّف")</f>
        <v>أجهزة منزلية</v>
      </c>
      <c r="I1384" s="81" t="s">
        <v>458</v>
      </c>
      <c r="J1384" s="81" t="s">
        <v>91</v>
      </c>
      <c r="K1384" s="81" t="n">
        <v>1</v>
      </c>
      <c r="L1384" s="84" t="n">
        <f aca="false">IFERROR(INDEX(p_Price,MATCH($F1384,p_ID,0)),0)</f>
        <v>650</v>
      </c>
      <c r="M1384" s="85" t="n">
        <v>0.1</v>
      </c>
      <c r="N1384" s="81" t="s">
        <v>644</v>
      </c>
      <c r="O1384" s="84" t="n">
        <f aca="false">IF($N1384="مرتجع",0,K1384*L1384*(1-M1384))</f>
        <v>585</v>
      </c>
      <c r="P1384" s="84" t="n">
        <f aca="false">IF($N1384="مرتجع",0,K1384*IFERROR(INDEX(p_Cost,MATCH($F1384,p_ID,0)),0))</f>
        <v>420</v>
      </c>
      <c r="Q1384" s="84" t="n">
        <f aca="false">O1384-P1384</f>
        <v>165</v>
      </c>
      <c r="R1384" s="86" t="n">
        <f aca="false">DATE(YEAR(B1384),MONTH(B1384),1)</f>
        <v>46266</v>
      </c>
      <c r="S1384" s="83" t="str">
        <f aca="false">YEAR(B1384)&amp;"-Q"&amp;ROUNDUP(MONTH(B1384)/3,0)</f>
        <v>2026-Q3</v>
      </c>
      <c r="T1384" s="87" t="n">
        <f aca="false">IF(O1384&gt;0,Q1384/O1384,"")</f>
        <v>0.282051282051282</v>
      </c>
      <c r="U1384" s="84" t="n">
        <f aca="false">IF(O1384&gt;0,O1384,"")</f>
        <v>585</v>
      </c>
    </row>
    <row r="1385" customFormat="false" ht="15" hidden="false" customHeight="false" outlineLevel="0" collapsed="false">
      <c r="A1385" s="81" t="s">
        <v>2028</v>
      </c>
      <c r="B1385" s="82" t="n">
        <v>46268</v>
      </c>
      <c r="C1385" s="81" t="s">
        <v>386</v>
      </c>
      <c r="D1385" s="83" t="str">
        <f aca="false">IFERROR(INDEX(c_Name,MATCH($C1385,c_ID,0)),"غير معرّف")</f>
        <v>نورة الشمري</v>
      </c>
      <c r="E1385" s="83" t="str">
        <f aca="false">IFERROR(INDEX(c_Region,MATCH($C1385,c_ID,0)),"غير معرّف")</f>
        <v>الغربية</v>
      </c>
      <c r="F1385" s="81" t="s">
        <v>185</v>
      </c>
      <c r="G1385" s="83" t="str">
        <f aca="false">IFERROR(INDEX(p_Name,MATCH($F1385,p_ID,0)),"غير معرّف")</f>
        <v>ماكينة حلاقة</v>
      </c>
      <c r="H1385" s="83" t="str">
        <f aca="false">IFERROR(INDEX(p_Cat,MATCH($F1385,p_ID,0)),"غير معرّف")</f>
        <v>عناية شخصية</v>
      </c>
      <c r="I1385" s="81" t="s">
        <v>452</v>
      </c>
      <c r="J1385" s="81" t="s">
        <v>93</v>
      </c>
      <c r="K1385" s="81" t="n">
        <v>1</v>
      </c>
      <c r="L1385" s="84" t="n">
        <f aca="false">IFERROR(INDEX(p_Price,MATCH($F1385,p_ID,0)),0)</f>
        <v>340</v>
      </c>
      <c r="M1385" s="85" t="n">
        <v>0.15</v>
      </c>
      <c r="N1385" s="81" t="s">
        <v>644</v>
      </c>
      <c r="O1385" s="84" t="n">
        <f aca="false">IF($N1385="مرتجع",0,K1385*L1385*(1-M1385))</f>
        <v>289</v>
      </c>
      <c r="P1385" s="84" t="n">
        <f aca="false">IF($N1385="مرتجع",0,K1385*IFERROR(INDEX(p_Cost,MATCH($F1385,p_ID,0)),0))</f>
        <v>170</v>
      </c>
      <c r="Q1385" s="84" t="n">
        <f aca="false">O1385-P1385</f>
        <v>119</v>
      </c>
      <c r="R1385" s="86" t="n">
        <f aca="false">DATE(YEAR(B1385),MONTH(B1385),1)</f>
        <v>46266</v>
      </c>
      <c r="S1385" s="83" t="str">
        <f aca="false">YEAR(B1385)&amp;"-Q"&amp;ROUNDUP(MONTH(B1385)/3,0)</f>
        <v>2026-Q3</v>
      </c>
      <c r="T1385" s="87" t="n">
        <f aca="false">IF(O1385&gt;0,Q1385/O1385,"")</f>
        <v>0.411764705882353</v>
      </c>
      <c r="U1385" s="84" t="n">
        <f aca="false">IF(O1385&gt;0,O1385,"")</f>
        <v>289</v>
      </c>
    </row>
    <row r="1386" customFormat="false" ht="15" hidden="false" customHeight="false" outlineLevel="0" collapsed="false">
      <c r="A1386" s="81" t="s">
        <v>2029</v>
      </c>
      <c r="B1386" s="82" t="n">
        <v>46268</v>
      </c>
      <c r="C1386" s="81" t="s">
        <v>317</v>
      </c>
      <c r="D1386" s="83" t="str">
        <f aca="false">IFERROR(INDEX(c_Name,MATCH($C1386,c_ID,0)),"غير معرّف")</f>
        <v>ناصر القحطاني</v>
      </c>
      <c r="E1386" s="83" t="str">
        <f aca="false">IFERROR(INDEX(c_Region,MATCH($C1386,c_ID,0)),"غير معرّف")</f>
        <v>الوسطى</v>
      </c>
      <c r="F1386" s="81" t="s">
        <v>175</v>
      </c>
      <c r="G1386" s="83" t="str">
        <f aca="false">IFERROR(INDEX(p_Name,MATCH($F1386,p_ID,0)),"غير معرّف")</f>
        <v>رف كتب</v>
      </c>
      <c r="H1386" s="83" t="str">
        <f aca="false">IFERROR(INDEX(p_Cat,MATCH($F1386,p_ID,0)),"غير معرّف")</f>
        <v>أثاث</v>
      </c>
      <c r="I1386" s="81" t="s">
        <v>449</v>
      </c>
      <c r="J1386" s="81" t="s">
        <v>91</v>
      </c>
      <c r="K1386" s="81" t="n">
        <v>6</v>
      </c>
      <c r="L1386" s="84" t="n">
        <f aca="false">IFERROR(INDEX(p_Price,MATCH($F1386,p_ID,0)),0)</f>
        <v>400</v>
      </c>
      <c r="M1386" s="85" t="n">
        <v>0</v>
      </c>
      <c r="N1386" s="81" t="s">
        <v>644</v>
      </c>
      <c r="O1386" s="84" t="n">
        <f aca="false">IF($N1386="مرتجع",0,K1386*L1386*(1-M1386))</f>
        <v>2400</v>
      </c>
      <c r="P1386" s="84" t="n">
        <f aca="false">IF($N1386="مرتجع",0,K1386*IFERROR(INDEX(p_Cost,MATCH($F1386,p_ID,0)),0))</f>
        <v>1320</v>
      </c>
      <c r="Q1386" s="84" t="n">
        <f aca="false">O1386-P1386</f>
        <v>1080</v>
      </c>
      <c r="R1386" s="86" t="n">
        <f aca="false">DATE(YEAR(B1386),MONTH(B1386),1)</f>
        <v>46266</v>
      </c>
      <c r="S1386" s="83" t="str">
        <f aca="false">YEAR(B1386)&amp;"-Q"&amp;ROUNDUP(MONTH(B1386)/3,0)</f>
        <v>2026-Q3</v>
      </c>
      <c r="T1386" s="87" t="n">
        <f aca="false">IF(O1386&gt;0,Q1386/O1386,"")</f>
        <v>0.45</v>
      </c>
      <c r="U1386" s="84" t="n">
        <f aca="false">IF(O1386&gt;0,O1386,"")</f>
        <v>2400</v>
      </c>
    </row>
    <row r="1387" customFormat="false" ht="15" hidden="false" customHeight="false" outlineLevel="0" collapsed="false">
      <c r="A1387" s="81" t="s">
        <v>2030</v>
      </c>
      <c r="B1387" s="82" t="n">
        <v>46269</v>
      </c>
      <c r="C1387" s="81" t="s">
        <v>397</v>
      </c>
      <c r="D1387" s="83" t="str">
        <f aca="false">IFERROR(INDEX(c_Name,MATCH($C1387,c_ID,0)),"غير معرّف")</f>
        <v>عبير الخالدي</v>
      </c>
      <c r="E1387" s="83" t="str">
        <f aca="false">IFERROR(INDEX(c_Region,MATCH($C1387,c_ID,0)),"غير معرّف")</f>
        <v>الشرقية</v>
      </c>
      <c r="F1387" s="81" t="s">
        <v>183</v>
      </c>
      <c r="G1387" s="83" t="str">
        <f aca="false">IFERROR(INDEX(p_Name,MATCH($F1387,p_ID,0)),"غير معرّف")</f>
        <v>سجادة يوغا</v>
      </c>
      <c r="H1387" s="83" t="str">
        <f aca="false">IFERROR(INDEX(p_Cat,MATCH($F1387,p_ID,0)),"غير معرّف")</f>
        <v>رياضة</v>
      </c>
      <c r="I1387" s="81" t="s">
        <v>463</v>
      </c>
      <c r="J1387" s="81" t="s">
        <v>91</v>
      </c>
      <c r="K1387" s="81" t="n">
        <v>3</v>
      </c>
      <c r="L1387" s="84" t="n">
        <f aca="false">IFERROR(INDEX(p_Price,MATCH($F1387,p_ID,0)),0)</f>
        <v>120</v>
      </c>
      <c r="M1387" s="85" t="n">
        <v>0</v>
      </c>
      <c r="N1387" s="81" t="s">
        <v>644</v>
      </c>
      <c r="O1387" s="84" t="n">
        <f aca="false">IF($N1387="مرتجع",0,K1387*L1387*(1-M1387))</f>
        <v>360</v>
      </c>
      <c r="P1387" s="84" t="n">
        <f aca="false">IF($N1387="مرتجع",0,K1387*IFERROR(INDEX(p_Cost,MATCH($F1387,p_ID,0)),0))</f>
        <v>150</v>
      </c>
      <c r="Q1387" s="84" t="n">
        <f aca="false">O1387-P1387</f>
        <v>210</v>
      </c>
      <c r="R1387" s="86" t="n">
        <f aca="false">DATE(YEAR(B1387),MONTH(B1387),1)</f>
        <v>46266</v>
      </c>
      <c r="S1387" s="83" t="str">
        <f aca="false">YEAR(B1387)&amp;"-Q"&amp;ROUNDUP(MONTH(B1387)/3,0)</f>
        <v>2026-Q3</v>
      </c>
      <c r="T1387" s="87" t="n">
        <f aca="false">IF(O1387&gt;0,Q1387/O1387,"")</f>
        <v>0.583333333333333</v>
      </c>
      <c r="U1387" s="84" t="n">
        <f aca="false">IF(O1387&gt;0,O1387,"")</f>
        <v>360</v>
      </c>
    </row>
    <row r="1388" customFormat="false" ht="15" hidden="false" customHeight="false" outlineLevel="0" collapsed="false">
      <c r="A1388" s="81" t="s">
        <v>2031</v>
      </c>
      <c r="B1388" s="82" t="n">
        <v>46269</v>
      </c>
      <c r="C1388" s="81" t="s">
        <v>348</v>
      </c>
      <c r="D1388" s="83" t="str">
        <f aca="false">IFERROR(INDEX(c_Name,MATCH($C1388,c_ID,0)),"غير معرّف")</f>
        <v>عبير القحطاني</v>
      </c>
      <c r="E1388" s="83" t="str">
        <f aca="false">IFERROR(INDEX(c_Region,MATCH($C1388,c_ID,0)),"غير معرّف")</f>
        <v>الغربية</v>
      </c>
      <c r="F1388" s="81" t="s">
        <v>169</v>
      </c>
      <c r="G1388" s="83" t="str">
        <f aca="false">IFERROR(INDEX(p_Name,MATCH($F1388,p_ID,0)),"غير معرّف")</f>
        <v>خلاط</v>
      </c>
      <c r="H1388" s="83" t="str">
        <f aca="false">IFERROR(INDEX(p_Cat,MATCH($F1388,p_ID,0)),"غير معرّف")</f>
        <v>أجهزة منزلية</v>
      </c>
      <c r="I1388" s="81" t="s">
        <v>458</v>
      </c>
      <c r="J1388" s="81" t="s">
        <v>91</v>
      </c>
      <c r="K1388" s="81" t="n">
        <v>7</v>
      </c>
      <c r="L1388" s="84" t="n">
        <f aca="false">IFERROR(INDEX(p_Price,MATCH($F1388,p_ID,0)),0)</f>
        <v>300</v>
      </c>
      <c r="M1388" s="85" t="n">
        <v>0</v>
      </c>
      <c r="N1388" s="81" t="s">
        <v>644</v>
      </c>
      <c r="O1388" s="84" t="n">
        <f aca="false">IF($N1388="مرتجع",0,K1388*L1388*(1-M1388))</f>
        <v>2100</v>
      </c>
      <c r="P1388" s="84" t="n">
        <f aca="false">IF($N1388="مرتجع",0,K1388*IFERROR(INDEX(p_Cost,MATCH($F1388,p_ID,0)),0))</f>
        <v>1225</v>
      </c>
      <c r="Q1388" s="84" t="n">
        <f aca="false">O1388-P1388</f>
        <v>875</v>
      </c>
      <c r="R1388" s="86" t="n">
        <f aca="false">DATE(YEAR(B1388),MONTH(B1388),1)</f>
        <v>46266</v>
      </c>
      <c r="S1388" s="83" t="str">
        <f aca="false">YEAR(B1388)&amp;"-Q"&amp;ROUNDUP(MONTH(B1388)/3,0)</f>
        <v>2026-Q3</v>
      </c>
      <c r="T1388" s="87" t="n">
        <f aca="false">IF(O1388&gt;0,Q1388/O1388,"")</f>
        <v>0.416666666666667</v>
      </c>
      <c r="U1388" s="84" t="n">
        <f aca="false">IF(O1388&gt;0,O1388,"")</f>
        <v>2100</v>
      </c>
    </row>
    <row r="1389" customFormat="false" ht="15" hidden="false" customHeight="false" outlineLevel="0" collapsed="false">
      <c r="A1389" s="81" t="s">
        <v>2032</v>
      </c>
      <c r="B1389" s="82" t="n">
        <v>46269</v>
      </c>
      <c r="C1389" s="81" t="s">
        <v>272</v>
      </c>
      <c r="D1389" s="83" t="str">
        <f aca="false">IFERROR(INDEX(c_Name,MATCH($C1389,c_ID,0)),"غير معرّف")</f>
        <v>عبدالله البلوي</v>
      </c>
      <c r="E1389" s="83" t="str">
        <f aca="false">IFERROR(INDEX(c_Region,MATCH($C1389,c_ID,0)),"غير معرّف")</f>
        <v>الشرقية</v>
      </c>
      <c r="F1389" s="81" t="s">
        <v>167</v>
      </c>
      <c r="G1389" s="83" t="str">
        <f aca="false">IFERROR(INDEX(p_Name,MATCH($F1389,p_ID,0)),"غير معرّف")</f>
        <v>شاشة 27 بوصة</v>
      </c>
      <c r="H1389" s="83" t="str">
        <f aca="false">IFERROR(INDEX(p_Cat,MATCH($F1389,p_ID,0)),"غير معرّف")</f>
        <v>إلكترونيات</v>
      </c>
      <c r="I1389" s="81" t="s">
        <v>461</v>
      </c>
      <c r="J1389" s="81" t="s">
        <v>93</v>
      </c>
      <c r="K1389" s="81" t="n">
        <v>2</v>
      </c>
      <c r="L1389" s="84" t="n">
        <f aca="false">IFERROR(INDEX(p_Price,MATCH($F1389,p_ID,0)),0)</f>
        <v>1100</v>
      </c>
      <c r="M1389" s="85" t="n">
        <v>0.2</v>
      </c>
      <c r="N1389" s="81" t="s">
        <v>644</v>
      </c>
      <c r="O1389" s="84" t="n">
        <f aca="false">IF($N1389="مرتجع",0,K1389*L1389*(1-M1389))</f>
        <v>1760</v>
      </c>
      <c r="P1389" s="84" t="n">
        <f aca="false">IF($N1389="مرتجع",0,K1389*IFERROR(INDEX(p_Cost,MATCH($F1389,p_ID,0)),0))</f>
        <v>1560</v>
      </c>
      <c r="Q1389" s="84" t="n">
        <f aca="false">O1389-P1389</f>
        <v>200</v>
      </c>
      <c r="R1389" s="86" t="n">
        <f aca="false">DATE(YEAR(B1389),MONTH(B1389),1)</f>
        <v>46266</v>
      </c>
      <c r="S1389" s="83" t="str">
        <f aca="false">YEAR(B1389)&amp;"-Q"&amp;ROUNDUP(MONTH(B1389)/3,0)</f>
        <v>2026-Q3</v>
      </c>
      <c r="T1389" s="87" t="n">
        <f aca="false">IF(O1389&gt;0,Q1389/O1389,"")</f>
        <v>0.113636363636364</v>
      </c>
      <c r="U1389" s="84" t="n">
        <f aca="false">IF(O1389&gt;0,O1389,"")</f>
        <v>1760</v>
      </c>
    </row>
    <row r="1390" customFormat="false" ht="15" hidden="false" customHeight="false" outlineLevel="0" collapsed="false">
      <c r="A1390" s="81" t="s">
        <v>2033</v>
      </c>
      <c r="B1390" s="82" t="n">
        <v>46269</v>
      </c>
      <c r="C1390" s="81" t="s">
        <v>270</v>
      </c>
      <c r="D1390" s="83" t="str">
        <f aca="false">IFERROR(INDEX(c_Name,MATCH($C1390,c_ID,0)),"غير معرّف")</f>
        <v>ريم التميمي</v>
      </c>
      <c r="E1390" s="83" t="str">
        <f aca="false">IFERROR(INDEX(c_Region,MATCH($C1390,c_ID,0)),"غير معرّف")</f>
        <v>الشرقية</v>
      </c>
      <c r="F1390" s="81" t="s">
        <v>167</v>
      </c>
      <c r="G1390" s="83" t="str">
        <f aca="false">IFERROR(INDEX(p_Name,MATCH($F1390,p_ID,0)),"غير معرّف")</f>
        <v>شاشة 27 بوصة</v>
      </c>
      <c r="H1390" s="83" t="str">
        <f aca="false">IFERROR(INDEX(p_Cat,MATCH($F1390,p_ID,0)),"غير معرّف")</f>
        <v>إلكترونيات</v>
      </c>
      <c r="I1390" s="81" t="s">
        <v>461</v>
      </c>
      <c r="J1390" s="81" t="s">
        <v>93</v>
      </c>
      <c r="K1390" s="81" t="n">
        <v>2</v>
      </c>
      <c r="L1390" s="84" t="n">
        <f aca="false">IFERROR(INDEX(p_Price,MATCH($F1390,p_ID,0)),0)</f>
        <v>1100</v>
      </c>
      <c r="M1390" s="85" t="n">
        <v>0.05</v>
      </c>
      <c r="N1390" s="81" t="s">
        <v>644</v>
      </c>
      <c r="O1390" s="84" t="n">
        <f aca="false">IF($N1390="مرتجع",0,K1390*L1390*(1-M1390))</f>
        <v>2090</v>
      </c>
      <c r="P1390" s="84" t="n">
        <f aca="false">IF($N1390="مرتجع",0,K1390*IFERROR(INDEX(p_Cost,MATCH($F1390,p_ID,0)),0))</f>
        <v>1560</v>
      </c>
      <c r="Q1390" s="84" t="n">
        <f aca="false">O1390-P1390</f>
        <v>530</v>
      </c>
      <c r="R1390" s="86" t="n">
        <f aca="false">DATE(YEAR(B1390),MONTH(B1390),1)</f>
        <v>46266</v>
      </c>
      <c r="S1390" s="83" t="str">
        <f aca="false">YEAR(B1390)&amp;"-Q"&amp;ROUNDUP(MONTH(B1390)/3,0)</f>
        <v>2026-Q3</v>
      </c>
      <c r="T1390" s="87" t="n">
        <f aca="false">IF(O1390&gt;0,Q1390/O1390,"")</f>
        <v>0.253588516746412</v>
      </c>
      <c r="U1390" s="84" t="n">
        <f aca="false">IF(O1390&gt;0,O1390,"")</f>
        <v>2090</v>
      </c>
    </row>
    <row r="1391" customFormat="false" ht="15" hidden="false" customHeight="false" outlineLevel="0" collapsed="false">
      <c r="A1391" s="81" t="s">
        <v>2034</v>
      </c>
      <c r="B1391" s="82" t="n">
        <v>46269</v>
      </c>
      <c r="C1391" s="81" t="s">
        <v>393</v>
      </c>
      <c r="D1391" s="83" t="str">
        <f aca="false">IFERROR(INDEX(c_Name,MATCH($C1391,c_ID,0)),"غير معرّف")</f>
        <v>عبير التميمي</v>
      </c>
      <c r="E1391" s="83" t="str">
        <f aca="false">IFERROR(INDEX(c_Region,MATCH($C1391,c_ID,0)),"غير معرّف")</f>
        <v>الغربية</v>
      </c>
      <c r="F1391" s="81" t="s">
        <v>174</v>
      </c>
      <c r="G1391" s="83" t="str">
        <f aca="false">IFERROR(INDEX(p_Name,MATCH($F1391,p_ID,0)),"غير معرّف")</f>
        <v>خزانة ملفات</v>
      </c>
      <c r="H1391" s="83" t="str">
        <f aca="false">IFERROR(INDEX(p_Cat,MATCH($F1391,p_ID,0)),"غير معرّف")</f>
        <v>أثاث</v>
      </c>
      <c r="I1391" s="81" t="s">
        <v>455</v>
      </c>
      <c r="J1391" s="81" t="s">
        <v>93</v>
      </c>
      <c r="K1391" s="81" t="n">
        <v>5</v>
      </c>
      <c r="L1391" s="84" t="n">
        <f aca="false">IFERROR(INDEX(p_Price,MATCH($F1391,p_ID,0)),0)</f>
        <v>700</v>
      </c>
      <c r="M1391" s="85" t="n">
        <v>0</v>
      </c>
      <c r="N1391" s="81" t="s">
        <v>644</v>
      </c>
      <c r="O1391" s="84" t="n">
        <f aca="false">IF($N1391="مرتجع",0,K1391*L1391*(1-M1391))</f>
        <v>3500</v>
      </c>
      <c r="P1391" s="84" t="n">
        <f aca="false">IF($N1391="مرتجع",0,K1391*IFERROR(INDEX(p_Cost,MATCH($F1391,p_ID,0)),0))</f>
        <v>2050</v>
      </c>
      <c r="Q1391" s="84" t="n">
        <f aca="false">O1391-P1391</f>
        <v>1450</v>
      </c>
      <c r="R1391" s="86" t="n">
        <f aca="false">DATE(YEAR(B1391),MONTH(B1391),1)</f>
        <v>46266</v>
      </c>
      <c r="S1391" s="83" t="str">
        <f aca="false">YEAR(B1391)&amp;"-Q"&amp;ROUNDUP(MONTH(B1391)/3,0)</f>
        <v>2026-Q3</v>
      </c>
      <c r="T1391" s="87" t="n">
        <f aca="false">IF(O1391&gt;0,Q1391/O1391,"")</f>
        <v>0.414285714285714</v>
      </c>
      <c r="U1391" s="84" t="n">
        <f aca="false">IF(O1391&gt;0,O1391,"")</f>
        <v>3500</v>
      </c>
    </row>
    <row r="1392" customFormat="false" ht="15" hidden="false" customHeight="false" outlineLevel="0" collapsed="false">
      <c r="A1392" s="81" t="s">
        <v>2035</v>
      </c>
      <c r="B1392" s="82" t="n">
        <v>46269</v>
      </c>
      <c r="C1392" s="81" t="s">
        <v>347</v>
      </c>
      <c r="D1392" s="83" t="str">
        <f aca="false">IFERROR(INDEX(c_Name,MATCH($C1392,c_ID,0)),"غير معرّف")</f>
        <v>محمد الشمري</v>
      </c>
      <c r="E1392" s="83" t="str">
        <f aca="false">IFERROR(INDEX(c_Region,MATCH($C1392,c_ID,0)),"غير معرّف")</f>
        <v>الغربية</v>
      </c>
      <c r="F1392" s="81" t="s">
        <v>174</v>
      </c>
      <c r="G1392" s="83" t="str">
        <f aca="false">IFERROR(INDEX(p_Name,MATCH($F1392,p_ID,0)),"غير معرّف")</f>
        <v>خزانة ملفات</v>
      </c>
      <c r="H1392" s="83" t="str">
        <f aca="false">IFERROR(INDEX(p_Cat,MATCH($F1392,p_ID,0)),"غير معرّف")</f>
        <v>أثاث</v>
      </c>
      <c r="I1392" s="81" t="s">
        <v>452</v>
      </c>
      <c r="J1392" s="81" t="s">
        <v>91</v>
      </c>
      <c r="K1392" s="81" t="n">
        <v>2</v>
      </c>
      <c r="L1392" s="84" t="n">
        <f aca="false">IFERROR(INDEX(p_Price,MATCH($F1392,p_ID,0)),0)</f>
        <v>700</v>
      </c>
      <c r="M1392" s="85" t="n">
        <v>0</v>
      </c>
      <c r="N1392" s="81" t="s">
        <v>644</v>
      </c>
      <c r="O1392" s="84" t="n">
        <f aca="false">IF($N1392="مرتجع",0,K1392*L1392*(1-M1392))</f>
        <v>1400</v>
      </c>
      <c r="P1392" s="84" t="n">
        <f aca="false">IF($N1392="مرتجع",0,K1392*IFERROR(INDEX(p_Cost,MATCH($F1392,p_ID,0)),0))</f>
        <v>820</v>
      </c>
      <c r="Q1392" s="84" t="n">
        <f aca="false">O1392-P1392</f>
        <v>580</v>
      </c>
      <c r="R1392" s="86" t="n">
        <f aca="false">DATE(YEAR(B1392),MONTH(B1392),1)</f>
        <v>46266</v>
      </c>
      <c r="S1392" s="83" t="str">
        <f aca="false">YEAR(B1392)&amp;"-Q"&amp;ROUNDUP(MONTH(B1392)/3,0)</f>
        <v>2026-Q3</v>
      </c>
      <c r="T1392" s="87" t="n">
        <f aca="false">IF(O1392&gt;0,Q1392/O1392,"")</f>
        <v>0.414285714285714</v>
      </c>
      <c r="U1392" s="84" t="n">
        <f aca="false">IF(O1392&gt;0,O1392,"")</f>
        <v>1400</v>
      </c>
    </row>
    <row r="1393" customFormat="false" ht="15" hidden="false" customHeight="false" outlineLevel="0" collapsed="false">
      <c r="A1393" s="81" t="s">
        <v>2036</v>
      </c>
      <c r="B1393" s="82" t="n">
        <v>46269</v>
      </c>
      <c r="C1393" s="81" t="s">
        <v>340</v>
      </c>
      <c r="D1393" s="83" t="str">
        <f aca="false">IFERROR(INDEX(c_Name,MATCH($C1393,c_ID,0)),"غير معرّف")</f>
        <v>سعد الشهري</v>
      </c>
      <c r="E1393" s="83" t="str">
        <f aca="false">IFERROR(INDEX(c_Region,MATCH($C1393,c_ID,0)),"غير معرّف")</f>
        <v>الوسطى</v>
      </c>
      <c r="F1393" s="81" t="s">
        <v>179</v>
      </c>
      <c r="G1393" s="83" t="str">
        <f aca="false">IFERROR(INDEX(p_Name,MATCH($F1393,p_ID,0)),"غير معرّف")</f>
        <v>طقم أدوات مكتبية</v>
      </c>
      <c r="H1393" s="83" t="str">
        <f aca="false">IFERROR(INDEX(p_Cat,MATCH($F1393,p_ID,0)),"غير معرّف")</f>
        <v>مستلزمات مكتبية</v>
      </c>
      <c r="I1393" s="81" t="s">
        <v>443</v>
      </c>
      <c r="J1393" s="81" t="s">
        <v>93</v>
      </c>
      <c r="K1393" s="81" t="n">
        <v>1</v>
      </c>
      <c r="L1393" s="84" t="n">
        <f aca="false">IFERROR(INDEX(p_Price,MATCH($F1393,p_ID,0)),0)</f>
        <v>90</v>
      </c>
      <c r="M1393" s="85" t="n">
        <v>0.15</v>
      </c>
      <c r="N1393" s="81" t="s">
        <v>644</v>
      </c>
      <c r="O1393" s="84" t="n">
        <f aca="false">IF($N1393="مرتجع",0,K1393*L1393*(1-M1393))</f>
        <v>76.5</v>
      </c>
      <c r="P1393" s="84" t="n">
        <f aca="false">IF($N1393="مرتجع",0,K1393*IFERROR(INDEX(p_Cost,MATCH($F1393,p_ID,0)),0))</f>
        <v>45</v>
      </c>
      <c r="Q1393" s="84" t="n">
        <f aca="false">O1393-P1393</f>
        <v>31.5</v>
      </c>
      <c r="R1393" s="86" t="n">
        <f aca="false">DATE(YEAR(B1393),MONTH(B1393),1)</f>
        <v>46266</v>
      </c>
      <c r="S1393" s="83" t="str">
        <f aca="false">YEAR(B1393)&amp;"-Q"&amp;ROUNDUP(MONTH(B1393)/3,0)</f>
        <v>2026-Q3</v>
      </c>
      <c r="T1393" s="87" t="n">
        <f aca="false">IF(O1393&gt;0,Q1393/O1393,"")</f>
        <v>0.411764705882353</v>
      </c>
      <c r="U1393" s="84" t="n">
        <f aca="false">IF(O1393&gt;0,O1393,"")</f>
        <v>76.5</v>
      </c>
    </row>
    <row r="1394" customFormat="false" ht="15" hidden="false" customHeight="false" outlineLevel="0" collapsed="false">
      <c r="A1394" s="81" t="s">
        <v>2037</v>
      </c>
      <c r="B1394" s="82" t="n">
        <v>46269</v>
      </c>
      <c r="C1394" s="81" t="s">
        <v>356</v>
      </c>
      <c r="D1394" s="83" t="str">
        <f aca="false">IFERROR(INDEX(c_Name,MATCH($C1394,c_ID,0)),"غير معرّف")</f>
        <v>هند البلوي</v>
      </c>
      <c r="E1394" s="83" t="str">
        <f aca="false">IFERROR(INDEX(c_Region,MATCH($C1394,c_ID,0)),"غير معرّف")</f>
        <v>الغربية</v>
      </c>
      <c r="F1394" s="81" t="s">
        <v>181</v>
      </c>
      <c r="G1394" s="83" t="str">
        <f aca="false">IFERROR(INDEX(p_Name,MATCH($F1394,p_ID,0)),"غير معرّف")</f>
        <v>دراجة ثابتة</v>
      </c>
      <c r="H1394" s="83" t="str">
        <f aca="false">IFERROR(INDEX(p_Cat,MATCH($F1394,p_ID,0)),"غير معرّف")</f>
        <v>رياضة</v>
      </c>
      <c r="I1394" s="81" t="s">
        <v>452</v>
      </c>
      <c r="J1394" s="81" t="s">
        <v>91</v>
      </c>
      <c r="K1394" s="81" t="n">
        <v>1</v>
      </c>
      <c r="L1394" s="84" t="n">
        <f aca="false">IFERROR(INDEX(p_Price,MATCH($F1394,p_ID,0)),0)</f>
        <v>1800</v>
      </c>
      <c r="M1394" s="85" t="n">
        <v>0</v>
      </c>
      <c r="N1394" s="81" t="s">
        <v>644</v>
      </c>
      <c r="O1394" s="84" t="n">
        <f aca="false">IF($N1394="مرتجع",0,K1394*L1394*(1-M1394))</f>
        <v>1800</v>
      </c>
      <c r="P1394" s="84" t="n">
        <f aca="false">IF($N1394="مرتجع",0,K1394*IFERROR(INDEX(p_Cost,MATCH($F1394,p_ID,0)),0))</f>
        <v>1200</v>
      </c>
      <c r="Q1394" s="84" t="n">
        <f aca="false">O1394-P1394</f>
        <v>600</v>
      </c>
      <c r="R1394" s="86" t="n">
        <f aca="false">DATE(YEAR(B1394),MONTH(B1394),1)</f>
        <v>46266</v>
      </c>
      <c r="S1394" s="83" t="str">
        <f aca="false">YEAR(B1394)&amp;"-Q"&amp;ROUNDUP(MONTH(B1394)/3,0)</f>
        <v>2026-Q3</v>
      </c>
      <c r="T1394" s="87" t="n">
        <f aca="false">IF(O1394&gt;0,Q1394/O1394,"")</f>
        <v>0.333333333333333</v>
      </c>
      <c r="U1394" s="84" t="n">
        <f aca="false">IF(O1394&gt;0,O1394,"")</f>
        <v>1800</v>
      </c>
    </row>
    <row r="1395" customFormat="false" ht="15" hidden="false" customHeight="false" outlineLevel="0" collapsed="false">
      <c r="A1395" s="81" t="s">
        <v>2038</v>
      </c>
      <c r="B1395" s="82" t="n">
        <v>46270</v>
      </c>
      <c r="C1395" s="81" t="s">
        <v>404</v>
      </c>
      <c r="D1395" s="83" t="str">
        <f aca="false">IFERROR(INDEX(c_Name,MATCH($C1395,c_ID,0)),"غير معرّف")</f>
        <v>عبدالله الحسيني</v>
      </c>
      <c r="E1395" s="83" t="str">
        <f aca="false">IFERROR(INDEX(c_Region,MATCH($C1395,c_ID,0)),"غير معرّف")</f>
        <v>الشرقية</v>
      </c>
      <c r="F1395" s="81" t="s">
        <v>186</v>
      </c>
      <c r="G1395" s="83" t="str">
        <f aca="false">IFERROR(INDEX(p_Name,MATCH($F1395,p_ID,0)),"غير معرّف")</f>
        <v>مجفف شعر</v>
      </c>
      <c r="H1395" s="83" t="str">
        <f aca="false">IFERROR(INDEX(p_Cat,MATCH($F1395,p_ID,0)),"غير معرّف")</f>
        <v>عناية شخصية</v>
      </c>
      <c r="I1395" s="81" t="s">
        <v>463</v>
      </c>
      <c r="J1395" s="81" t="s">
        <v>93</v>
      </c>
      <c r="K1395" s="81" t="n">
        <v>2</v>
      </c>
      <c r="L1395" s="84" t="n">
        <f aca="false">IFERROR(INDEX(p_Price,MATCH($F1395,p_ID,0)),0)</f>
        <v>280</v>
      </c>
      <c r="M1395" s="85" t="n">
        <v>0.05</v>
      </c>
      <c r="N1395" s="81" t="s">
        <v>644</v>
      </c>
      <c r="O1395" s="84" t="n">
        <f aca="false">IF($N1395="مرتجع",0,K1395*L1395*(1-M1395))</f>
        <v>532</v>
      </c>
      <c r="P1395" s="84" t="n">
        <f aca="false">IF($N1395="مرتجع",0,K1395*IFERROR(INDEX(p_Cost,MATCH($F1395,p_ID,0)),0))</f>
        <v>280</v>
      </c>
      <c r="Q1395" s="84" t="n">
        <f aca="false">O1395-P1395</f>
        <v>252</v>
      </c>
      <c r="R1395" s="86" t="n">
        <f aca="false">DATE(YEAR(B1395),MONTH(B1395),1)</f>
        <v>46266</v>
      </c>
      <c r="S1395" s="83" t="str">
        <f aca="false">YEAR(B1395)&amp;"-Q"&amp;ROUNDUP(MONTH(B1395)/3,0)</f>
        <v>2026-Q3</v>
      </c>
      <c r="T1395" s="87" t="n">
        <f aca="false">IF(O1395&gt;0,Q1395/O1395,"")</f>
        <v>0.473684210526316</v>
      </c>
      <c r="U1395" s="84" t="n">
        <f aca="false">IF(O1395&gt;0,O1395,"")</f>
        <v>532</v>
      </c>
    </row>
    <row r="1396" customFormat="false" ht="15" hidden="false" customHeight="false" outlineLevel="0" collapsed="false">
      <c r="A1396" s="81" t="s">
        <v>2039</v>
      </c>
      <c r="B1396" s="82" t="n">
        <v>46270</v>
      </c>
      <c r="C1396" s="81" t="s">
        <v>306</v>
      </c>
      <c r="D1396" s="83" t="str">
        <f aca="false">IFERROR(INDEX(c_Name,MATCH($C1396,c_ID,0)),"غير معرّف")</f>
        <v>أحمد العنزي</v>
      </c>
      <c r="E1396" s="83" t="str">
        <f aca="false">IFERROR(INDEX(c_Region,MATCH($C1396,c_ID,0)),"غير معرّف")</f>
        <v>الغربية</v>
      </c>
      <c r="F1396" s="81" t="s">
        <v>164</v>
      </c>
      <c r="G1396" s="83" t="str">
        <f aca="false">IFERROR(INDEX(p_Name,MATCH($F1396,p_ID,0)),"غير معرّف")</f>
        <v>هاتف ذكي</v>
      </c>
      <c r="H1396" s="83" t="str">
        <f aca="false">IFERROR(INDEX(p_Cat,MATCH($F1396,p_ID,0)),"غير معرّف")</f>
        <v>إلكترونيات</v>
      </c>
      <c r="I1396" s="81" t="s">
        <v>452</v>
      </c>
      <c r="J1396" s="81" t="s">
        <v>93</v>
      </c>
      <c r="K1396" s="81" t="n">
        <v>2</v>
      </c>
      <c r="L1396" s="84" t="n">
        <f aca="false">IFERROR(INDEX(p_Price,MATCH($F1396,p_ID,0)),0)</f>
        <v>2400</v>
      </c>
      <c r="M1396" s="85" t="n">
        <v>0</v>
      </c>
      <c r="N1396" s="81" t="s">
        <v>644</v>
      </c>
      <c r="O1396" s="84" t="n">
        <f aca="false">IF($N1396="مرتجع",0,K1396*L1396*(1-M1396))</f>
        <v>4800</v>
      </c>
      <c r="P1396" s="84" t="n">
        <f aca="false">IF($N1396="مرتجع",0,K1396*IFERROR(INDEX(p_Cost,MATCH($F1396,p_ID,0)),0))</f>
        <v>3500</v>
      </c>
      <c r="Q1396" s="84" t="n">
        <f aca="false">O1396-P1396</f>
        <v>1300</v>
      </c>
      <c r="R1396" s="86" t="n">
        <f aca="false">DATE(YEAR(B1396),MONTH(B1396),1)</f>
        <v>46266</v>
      </c>
      <c r="S1396" s="83" t="str">
        <f aca="false">YEAR(B1396)&amp;"-Q"&amp;ROUNDUP(MONTH(B1396)/3,0)</f>
        <v>2026-Q3</v>
      </c>
      <c r="T1396" s="87" t="n">
        <f aca="false">IF(O1396&gt;0,Q1396/O1396,"")</f>
        <v>0.270833333333333</v>
      </c>
      <c r="U1396" s="84" t="n">
        <f aca="false">IF(O1396&gt;0,O1396,"")</f>
        <v>4800</v>
      </c>
    </row>
    <row r="1397" customFormat="false" ht="15" hidden="false" customHeight="false" outlineLevel="0" collapsed="false">
      <c r="A1397" s="81" t="s">
        <v>2040</v>
      </c>
      <c r="B1397" s="82" t="n">
        <v>46270</v>
      </c>
      <c r="C1397" s="81" t="s">
        <v>426</v>
      </c>
      <c r="D1397" s="83" t="str">
        <f aca="false">IFERROR(INDEX(c_Name,MATCH($C1397,c_ID,0)),"غير معرّف")</f>
        <v>لمى البلوي</v>
      </c>
      <c r="E1397" s="83" t="str">
        <f aca="false">IFERROR(INDEX(c_Region,MATCH($C1397,c_ID,0)),"غير معرّف")</f>
        <v>الشرقية</v>
      </c>
      <c r="F1397" s="81" t="s">
        <v>181</v>
      </c>
      <c r="G1397" s="83" t="str">
        <f aca="false">IFERROR(INDEX(p_Name,MATCH($F1397,p_ID,0)),"غير معرّف")</f>
        <v>دراجة ثابتة</v>
      </c>
      <c r="H1397" s="83" t="str">
        <f aca="false">IFERROR(INDEX(p_Cat,MATCH($F1397,p_ID,0)),"غير معرّف")</f>
        <v>رياضة</v>
      </c>
      <c r="I1397" s="81" t="s">
        <v>463</v>
      </c>
      <c r="J1397" s="81" t="s">
        <v>91</v>
      </c>
      <c r="K1397" s="81" t="n">
        <v>1</v>
      </c>
      <c r="L1397" s="84" t="n">
        <f aca="false">IFERROR(INDEX(p_Price,MATCH($F1397,p_ID,0)),0)</f>
        <v>1800</v>
      </c>
      <c r="M1397" s="85" t="n">
        <v>0</v>
      </c>
      <c r="N1397" s="81" t="s">
        <v>650</v>
      </c>
      <c r="O1397" s="84" t="n">
        <f aca="false">IF($N1397="مرتجع",0,K1397*L1397*(1-M1397))</f>
        <v>0</v>
      </c>
      <c r="P1397" s="84" t="n">
        <f aca="false">IF($N1397="مرتجع",0,K1397*IFERROR(INDEX(p_Cost,MATCH($F1397,p_ID,0)),0))</f>
        <v>0</v>
      </c>
      <c r="Q1397" s="84" t="n">
        <f aca="false">O1397-P1397</f>
        <v>0</v>
      </c>
      <c r="R1397" s="86" t="n">
        <f aca="false">DATE(YEAR(B1397),MONTH(B1397),1)</f>
        <v>46266</v>
      </c>
      <c r="S1397" s="83" t="str">
        <f aca="false">YEAR(B1397)&amp;"-Q"&amp;ROUNDUP(MONTH(B1397)/3,0)</f>
        <v>2026-Q3</v>
      </c>
      <c r="T1397" s="87" t="str">
        <f aca="false">IF(O1397&gt;0,Q1397/O1397,"")</f>
        <v/>
      </c>
      <c r="U1397" s="84" t="str">
        <f aca="false">IF(O1397&gt;0,O1397,"")</f>
        <v/>
      </c>
    </row>
    <row r="1398" customFormat="false" ht="15" hidden="false" customHeight="false" outlineLevel="0" collapsed="false">
      <c r="A1398" s="81" t="s">
        <v>2041</v>
      </c>
      <c r="B1398" s="82" t="n">
        <v>46271</v>
      </c>
      <c r="C1398" s="81" t="s">
        <v>403</v>
      </c>
      <c r="D1398" s="83" t="str">
        <f aca="false">IFERROR(INDEX(c_Name,MATCH($C1398,c_ID,0)),"غير معرّف")</f>
        <v>ياسر المطيري</v>
      </c>
      <c r="E1398" s="83" t="str">
        <f aca="false">IFERROR(INDEX(c_Region,MATCH($C1398,c_ID,0)),"غير معرّف")</f>
        <v>الجنوبية</v>
      </c>
      <c r="F1398" s="81" t="s">
        <v>183</v>
      </c>
      <c r="G1398" s="83" t="str">
        <f aca="false">IFERROR(INDEX(p_Name,MATCH($F1398,p_ID,0)),"غير معرّف")</f>
        <v>سجادة يوغا</v>
      </c>
      <c r="H1398" s="83" t="str">
        <f aca="false">IFERROR(INDEX(p_Cat,MATCH($F1398,p_ID,0)),"غير معرّف")</f>
        <v>رياضة</v>
      </c>
      <c r="I1398" s="81" t="s">
        <v>467</v>
      </c>
      <c r="J1398" s="81" t="s">
        <v>93</v>
      </c>
      <c r="K1398" s="81" t="n">
        <v>1</v>
      </c>
      <c r="L1398" s="84" t="n">
        <f aca="false">IFERROR(INDEX(p_Price,MATCH($F1398,p_ID,0)),0)</f>
        <v>120</v>
      </c>
      <c r="M1398" s="85" t="n">
        <v>0</v>
      </c>
      <c r="N1398" s="81" t="s">
        <v>644</v>
      </c>
      <c r="O1398" s="84" t="n">
        <f aca="false">IF($N1398="مرتجع",0,K1398*L1398*(1-M1398))</f>
        <v>120</v>
      </c>
      <c r="P1398" s="84" t="n">
        <f aca="false">IF($N1398="مرتجع",0,K1398*IFERROR(INDEX(p_Cost,MATCH($F1398,p_ID,0)),0))</f>
        <v>50</v>
      </c>
      <c r="Q1398" s="84" t="n">
        <f aca="false">O1398-P1398</f>
        <v>70</v>
      </c>
      <c r="R1398" s="86" t="n">
        <f aca="false">DATE(YEAR(B1398),MONTH(B1398),1)</f>
        <v>46266</v>
      </c>
      <c r="S1398" s="83" t="str">
        <f aca="false">YEAR(B1398)&amp;"-Q"&amp;ROUNDUP(MONTH(B1398)/3,0)</f>
        <v>2026-Q3</v>
      </c>
      <c r="T1398" s="87" t="n">
        <f aca="false">IF(O1398&gt;0,Q1398/O1398,"")</f>
        <v>0.583333333333333</v>
      </c>
      <c r="U1398" s="84" t="n">
        <f aca="false">IF(O1398&gt;0,O1398,"")</f>
        <v>120</v>
      </c>
    </row>
    <row r="1399" customFormat="false" ht="15" hidden="false" customHeight="false" outlineLevel="0" collapsed="false">
      <c r="A1399" s="81" t="s">
        <v>2042</v>
      </c>
      <c r="B1399" s="82" t="n">
        <v>46272</v>
      </c>
      <c r="C1399" s="81" t="s">
        <v>365</v>
      </c>
      <c r="D1399" s="83" t="str">
        <f aca="false">IFERROR(INDEX(c_Name,MATCH($C1399,c_ID,0)),"غير معرّف")</f>
        <v>نورة الغامدي</v>
      </c>
      <c r="E1399" s="83" t="str">
        <f aca="false">IFERROR(INDEX(c_Region,MATCH($C1399,c_ID,0)),"غير معرّف")</f>
        <v>الوسطى</v>
      </c>
      <c r="F1399" s="81" t="s">
        <v>165</v>
      </c>
      <c r="G1399" s="83" t="str">
        <f aca="false">IFERROR(INDEX(p_Name,MATCH($F1399,p_ID,0)),"غير معرّف")</f>
        <v>حاسوب محمول</v>
      </c>
      <c r="H1399" s="83" t="str">
        <f aca="false">IFERROR(INDEX(p_Cat,MATCH($F1399,p_ID,0)),"غير معرّف")</f>
        <v>إلكترونيات</v>
      </c>
      <c r="I1399" s="81" t="s">
        <v>449</v>
      </c>
      <c r="J1399" s="81" t="s">
        <v>91</v>
      </c>
      <c r="K1399" s="81" t="n">
        <v>1</v>
      </c>
      <c r="L1399" s="84" t="n">
        <f aca="false">IFERROR(INDEX(p_Price,MATCH($F1399,p_ID,0)),0)</f>
        <v>3800</v>
      </c>
      <c r="M1399" s="85" t="n">
        <v>0</v>
      </c>
      <c r="N1399" s="81" t="s">
        <v>644</v>
      </c>
      <c r="O1399" s="84" t="n">
        <f aca="false">IF($N1399="مرتجع",0,K1399*L1399*(1-M1399))</f>
        <v>3800</v>
      </c>
      <c r="P1399" s="84" t="n">
        <f aca="false">IF($N1399="مرتجع",0,K1399*IFERROR(INDEX(p_Cost,MATCH($F1399,p_ID,0)),0))</f>
        <v>2900</v>
      </c>
      <c r="Q1399" s="84" t="n">
        <f aca="false">O1399-P1399</f>
        <v>900</v>
      </c>
      <c r="R1399" s="86" t="n">
        <f aca="false">DATE(YEAR(B1399),MONTH(B1399),1)</f>
        <v>46266</v>
      </c>
      <c r="S1399" s="83" t="str">
        <f aca="false">YEAR(B1399)&amp;"-Q"&amp;ROUNDUP(MONTH(B1399)/3,0)</f>
        <v>2026-Q3</v>
      </c>
      <c r="T1399" s="87" t="n">
        <f aca="false">IF(O1399&gt;0,Q1399/O1399,"")</f>
        <v>0.236842105263158</v>
      </c>
      <c r="U1399" s="84" t="n">
        <f aca="false">IF(O1399&gt;0,O1399,"")</f>
        <v>3800</v>
      </c>
    </row>
    <row r="1400" customFormat="false" ht="15" hidden="false" customHeight="false" outlineLevel="0" collapsed="false">
      <c r="A1400" s="81" t="s">
        <v>2043</v>
      </c>
      <c r="B1400" s="82" t="n">
        <v>46272</v>
      </c>
      <c r="C1400" s="81" t="s">
        <v>265</v>
      </c>
      <c r="D1400" s="83" t="str">
        <f aca="false">IFERROR(INDEX(c_Name,MATCH($C1400,c_ID,0)),"غير معرّف")</f>
        <v>منى العنزي</v>
      </c>
      <c r="E1400" s="83" t="str">
        <f aca="false">IFERROR(INDEX(c_Region,MATCH($C1400,c_ID,0)),"غير معرّف")</f>
        <v>الشرقية</v>
      </c>
      <c r="F1400" s="81" t="s">
        <v>164</v>
      </c>
      <c r="G1400" s="83" t="str">
        <f aca="false">IFERROR(INDEX(p_Name,MATCH($F1400,p_ID,0)),"غير معرّف")</f>
        <v>هاتف ذكي</v>
      </c>
      <c r="H1400" s="83" t="str">
        <f aca="false">IFERROR(INDEX(p_Cat,MATCH($F1400,p_ID,0)),"غير معرّف")</f>
        <v>إلكترونيات</v>
      </c>
      <c r="I1400" s="81" t="s">
        <v>461</v>
      </c>
      <c r="J1400" s="81" t="s">
        <v>91</v>
      </c>
      <c r="K1400" s="81" t="n">
        <v>2</v>
      </c>
      <c r="L1400" s="84" t="n">
        <f aca="false">IFERROR(INDEX(p_Price,MATCH($F1400,p_ID,0)),0)</f>
        <v>2400</v>
      </c>
      <c r="M1400" s="85" t="n">
        <v>0.15</v>
      </c>
      <c r="N1400" s="81" t="s">
        <v>644</v>
      </c>
      <c r="O1400" s="84" t="n">
        <f aca="false">IF($N1400="مرتجع",0,K1400*L1400*(1-M1400))</f>
        <v>4080</v>
      </c>
      <c r="P1400" s="84" t="n">
        <f aca="false">IF($N1400="مرتجع",0,K1400*IFERROR(INDEX(p_Cost,MATCH($F1400,p_ID,0)),0))</f>
        <v>3500</v>
      </c>
      <c r="Q1400" s="84" t="n">
        <f aca="false">O1400-P1400</f>
        <v>580</v>
      </c>
      <c r="R1400" s="86" t="n">
        <f aca="false">DATE(YEAR(B1400),MONTH(B1400),1)</f>
        <v>46266</v>
      </c>
      <c r="S1400" s="83" t="str">
        <f aca="false">YEAR(B1400)&amp;"-Q"&amp;ROUNDUP(MONTH(B1400)/3,0)</f>
        <v>2026-Q3</v>
      </c>
      <c r="T1400" s="87" t="n">
        <f aca="false">IF(O1400&gt;0,Q1400/O1400,"")</f>
        <v>0.142156862745098</v>
      </c>
      <c r="U1400" s="84" t="n">
        <f aca="false">IF(O1400&gt;0,O1400,"")</f>
        <v>4080</v>
      </c>
    </row>
    <row r="1401" customFormat="false" ht="15" hidden="false" customHeight="false" outlineLevel="0" collapsed="false">
      <c r="A1401" s="81" t="s">
        <v>2044</v>
      </c>
      <c r="B1401" s="82" t="n">
        <v>46272</v>
      </c>
      <c r="C1401" s="81" t="s">
        <v>355</v>
      </c>
      <c r="D1401" s="83" t="str">
        <f aca="false">IFERROR(INDEX(c_Name,MATCH($C1401,c_ID,0)),"غير معرّف")</f>
        <v>جود القحطاني</v>
      </c>
      <c r="E1401" s="83" t="str">
        <f aca="false">IFERROR(INDEX(c_Region,MATCH($C1401,c_ID,0)),"غير معرّف")</f>
        <v>الجنوبية</v>
      </c>
      <c r="F1401" s="81" t="s">
        <v>173</v>
      </c>
      <c r="G1401" s="83" t="str">
        <f aca="false">IFERROR(INDEX(p_Name,MATCH($F1401,p_ID,0)),"غير معرّف")</f>
        <v>كرسي مريح</v>
      </c>
      <c r="H1401" s="83" t="str">
        <f aca="false">IFERROR(INDEX(p_Cat,MATCH($F1401,p_ID,0)),"غير معرّف")</f>
        <v>أثاث</v>
      </c>
      <c r="I1401" s="81" t="s">
        <v>465</v>
      </c>
      <c r="J1401" s="81" t="s">
        <v>91</v>
      </c>
      <c r="K1401" s="81" t="n">
        <v>2</v>
      </c>
      <c r="L1401" s="84" t="n">
        <f aca="false">IFERROR(INDEX(p_Price,MATCH($F1401,p_ID,0)),0)</f>
        <v>850</v>
      </c>
      <c r="M1401" s="85" t="n">
        <v>0.1</v>
      </c>
      <c r="N1401" s="81" t="s">
        <v>644</v>
      </c>
      <c r="O1401" s="84" t="n">
        <f aca="false">IF($N1401="مرتجع",0,K1401*L1401*(1-M1401))</f>
        <v>1530</v>
      </c>
      <c r="P1401" s="84" t="n">
        <f aca="false">IF($N1401="مرتجع",0,K1401*IFERROR(INDEX(p_Cost,MATCH($F1401,p_ID,0)),0))</f>
        <v>960</v>
      </c>
      <c r="Q1401" s="84" t="n">
        <f aca="false">O1401-P1401</f>
        <v>570</v>
      </c>
      <c r="R1401" s="86" t="n">
        <f aca="false">DATE(YEAR(B1401),MONTH(B1401),1)</f>
        <v>46266</v>
      </c>
      <c r="S1401" s="83" t="str">
        <f aca="false">YEAR(B1401)&amp;"-Q"&amp;ROUNDUP(MONTH(B1401)/3,0)</f>
        <v>2026-Q3</v>
      </c>
      <c r="T1401" s="87" t="n">
        <f aca="false">IF(O1401&gt;0,Q1401/O1401,"")</f>
        <v>0.372549019607843</v>
      </c>
      <c r="U1401" s="84" t="n">
        <f aca="false">IF(O1401&gt;0,O1401,"")</f>
        <v>1530</v>
      </c>
    </row>
    <row r="1402" customFormat="false" ht="15" hidden="false" customHeight="false" outlineLevel="0" collapsed="false">
      <c r="A1402" s="81" t="s">
        <v>2045</v>
      </c>
      <c r="B1402" s="82" t="n">
        <v>46273</v>
      </c>
      <c r="C1402" s="81" t="s">
        <v>387</v>
      </c>
      <c r="D1402" s="83" t="str">
        <f aca="false">IFERROR(INDEX(c_Name,MATCH($C1402,c_ID,0)),"غير معرّف")</f>
        <v>لمى الشمري</v>
      </c>
      <c r="E1402" s="83" t="str">
        <f aca="false">IFERROR(INDEX(c_Region,MATCH($C1402,c_ID,0)),"غير معرّف")</f>
        <v>الوسطى</v>
      </c>
      <c r="F1402" s="81" t="s">
        <v>185</v>
      </c>
      <c r="G1402" s="83" t="str">
        <f aca="false">IFERROR(INDEX(p_Name,MATCH($F1402,p_ID,0)),"غير معرّف")</f>
        <v>ماكينة حلاقة</v>
      </c>
      <c r="H1402" s="83" t="str">
        <f aca="false">IFERROR(INDEX(p_Cat,MATCH($F1402,p_ID,0)),"غير معرّف")</f>
        <v>عناية شخصية</v>
      </c>
      <c r="I1402" s="81" t="s">
        <v>449</v>
      </c>
      <c r="J1402" s="81" t="s">
        <v>91</v>
      </c>
      <c r="K1402" s="81" t="n">
        <v>1</v>
      </c>
      <c r="L1402" s="84" t="n">
        <f aca="false">IFERROR(INDEX(p_Price,MATCH($F1402,p_ID,0)),0)</f>
        <v>340</v>
      </c>
      <c r="M1402" s="85" t="n">
        <v>0</v>
      </c>
      <c r="N1402" s="81" t="s">
        <v>644</v>
      </c>
      <c r="O1402" s="84" t="n">
        <f aca="false">IF($N1402="مرتجع",0,K1402*L1402*(1-M1402))</f>
        <v>340</v>
      </c>
      <c r="P1402" s="84" t="n">
        <f aca="false">IF($N1402="مرتجع",0,K1402*IFERROR(INDEX(p_Cost,MATCH($F1402,p_ID,0)),0))</f>
        <v>170</v>
      </c>
      <c r="Q1402" s="84" t="n">
        <f aca="false">O1402-P1402</f>
        <v>170</v>
      </c>
      <c r="R1402" s="86" t="n">
        <f aca="false">DATE(YEAR(B1402),MONTH(B1402),1)</f>
        <v>46266</v>
      </c>
      <c r="S1402" s="83" t="str">
        <f aca="false">YEAR(B1402)&amp;"-Q"&amp;ROUNDUP(MONTH(B1402)/3,0)</f>
        <v>2026-Q3</v>
      </c>
      <c r="T1402" s="87" t="n">
        <f aca="false">IF(O1402&gt;0,Q1402/O1402,"")</f>
        <v>0.5</v>
      </c>
      <c r="U1402" s="84" t="n">
        <f aca="false">IF(O1402&gt;0,O1402,"")</f>
        <v>340</v>
      </c>
    </row>
    <row r="1403" customFormat="false" ht="15" hidden="false" customHeight="false" outlineLevel="0" collapsed="false">
      <c r="A1403" s="81" t="s">
        <v>2046</v>
      </c>
      <c r="B1403" s="82" t="n">
        <v>46273</v>
      </c>
      <c r="C1403" s="81" t="s">
        <v>264</v>
      </c>
      <c r="D1403" s="83" t="str">
        <f aca="false">IFERROR(INDEX(c_Name,MATCH($C1403,c_ID,0)),"غير معرّف")</f>
        <v>عبدالله التميمي</v>
      </c>
      <c r="E1403" s="83" t="str">
        <f aca="false">IFERROR(INDEX(c_Region,MATCH($C1403,c_ID,0)),"غير معرّف")</f>
        <v>الوسطى</v>
      </c>
      <c r="F1403" s="81" t="s">
        <v>182</v>
      </c>
      <c r="G1403" s="83" t="str">
        <f aca="false">IFERROR(INDEX(p_Name,MATCH($F1403,p_ID,0)),"غير معرّف")</f>
        <v>طقم أوزان</v>
      </c>
      <c r="H1403" s="83" t="str">
        <f aca="false">IFERROR(INDEX(p_Cat,MATCH($F1403,p_ID,0)),"غير معرّف")</f>
        <v>رياضة</v>
      </c>
      <c r="I1403" s="81" t="s">
        <v>449</v>
      </c>
      <c r="J1403" s="81" t="s">
        <v>91</v>
      </c>
      <c r="K1403" s="81" t="n">
        <v>1</v>
      </c>
      <c r="L1403" s="84" t="n">
        <f aca="false">IFERROR(INDEX(p_Price,MATCH($F1403,p_ID,0)),0)</f>
        <v>380</v>
      </c>
      <c r="M1403" s="85" t="n">
        <v>0.05</v>
      </c>
      <c r="N1403" s="81" t="s">
        <v>644</v>
      </c>
      <c r="O1403" s="84" t="n">
        <f aca="false">IF($N1403="مرتجع",0,K1403*L1403*(1-M1403))</f>
        <v>361</v>
      </c>
      <c r="P1403" s="84" t="n">
        <f aca="false">IF($N1403="مرتجع",0,K1403*IFERROR(INDEX(p_Cost,MATCH($F1403,p_ID,0)),0))</f>
        <v>210</v>
      </c>
      <c r="Q1403" s="84" t="n">
        <f aca="false">O1403-P1403</f>
        <v>151</v>
      </c>
      <c r="R1403" s="86" t="n">
        <f aca="false">DATE(YEAR(B1403),MONTH(B1403),1)</f>
        <v>46266</v>
      </c>
      <c r="S1403" s="83" t="str">
        <f aca="false">YEAR(B1403)&amp;"-Q"&amp;ROUNDUP(MONTH(B1403)/3,0)</f>
        <v>2026-Q3</v>
      </c>
      <c r="T1403" s="87" t="n">
        <f aca="false">IF(O1403&gt;0,Q1403/O1403,"")</f>
        <v>0.418282548476454</v>
      </c>
      <c r="U1403" s="84" t="n">
        <f aca="false">IF(O1403&gt;0,O1403,"")</f>
        <v>361</v>
      </c>
    </row>
    <row r="1404" customFormat="false" ht="15" hidden="false" customHeight="false" outlineLevel="0" collapsed="false">
      <c r="A1404" s="81" t="s">
        <v>2047</v>
      </c>
      <c r="B1404" s="82" t="n">
        <v>46273</v>
      </c>
      <c r="C1404" s="81" t="s">
        <v>303</v>
      </c>
      <c r="D1404" s="83" t="str">
        <f aca="false">IFERROR(INDEX(c_Name,MATCH($C1404,c_ID,0)),"غير معرّف")</f>
        <v>ناصر الحسيني</v>
      </c>
      <c r="E1404" s="83" t="str">
        <f aca="false">IFERROR(INDEX(c_Region,MATCH($C1404,c_ID,0)),"غير معرّف")</f>
        <v>الشرقية</v>
      </c>
      <c r="F1404" s="81" t="s">
        <v>185</v>
      </c>
      <c r="G1404" s="83" t="str">
        <f aca="false">IFERROR(INDEX(p_Name,MATCH($F1404,p_ID,0)),"غير معرّف")</f>
        <v>ماكينة حلاقة</v>
      </c>
      <c r="H1404" s="83" t="str">
        <f aca="false">IFERROR(INDEX(p_Cat,MATCH($F1404,p_ID,0)),"غير معرّف")</f>
        <v>عناية شخصية</v>
      </c>
      <c r="I1404" s="81" t="s">
        <v>461</v>
      </c>
      <c r="J1404" s="81" t="s">
        <v>93</v>
      </c>
      <c r="K1404" s="81" t="n">
        <v>1</v>
      </c>
      <c r="L1404" s="84" t="n">
        <f aca="false">IFERROR(INDEX(p_Price,MATCH($F1404,p_ID,0)),0)</f>
        <v>340</v>
      </c>
      <c r="M1404" s="85" t="n">
        <v>0</v>
      </c>
      <c r="N1404" s="81" t="s">
        <v>644</v>
      </c>
      <c r="O1404" s="84" t="n">
        <f aca="false">IF($N1404="مرتجع",0,K1404*L1404*(1-M1404))</f>
        <v>340</v>
      </c>
      <c r="P1404" s="84" t="n">
        <f aca="false">IF($N1404="مرتجع",0,K1404*IFERROR(INDEX(p_Cost,MATCH($F1404,p_ID,0)),0))</f>
        <v>170</v>
      </c>
      <c r="Q1404" s="84" t="n">
        <f aca="false">O1404-P1404</f>
        <v>170</v>
      </c>
      <c r="R1404" s="86" t="n">
        <f aca="false">DATE(YEAR(B1404),MONTH(B1404),1)</f>
        <v>46266</v>
      </c>
      <c r="S1404" s="83" t="str">
        <f aca="false">YEAR(B1404)&amp;"-Q"&amp;ROUNDUP(MONTH(B1404)/3,0)</f>
        <v>2026-Q3</v>
      </c>
      <c r="T1404" s="87" t="n">
        <f aca="false">IF(O1404&gt;0,Q1404/O1404,"")</f>
        <v>0.5</v>
      </c>
      <c r="U1404" s="84" t="n">
        <f aca="false">IF(O1404&gt;0,O1404,"")</f>
        <v>340</v>
      </c>
    </row>
    <row r="1405" customFormat="false" ht="15" hidden="false" customHeight="false" outlineLevel="0" collapsed="false">
      <c r="A1405" s="81" t="s">
        <v>2048</v>
      </c>
      <c r="B1405" s="82" t="n">
        <v>46273</v>
      </c>
      <c r="C1405" s="81" t="s">
        <v>386</v>
      </c>
      <c r="D1405" s="83" t="str">
        <f aca="false">IFERROR(INDEX(c_Name,MATCH($C1405,c_ID,0)),"غير معرّف")</f>
        <v>نورة الشمري</v>
      </c>
      <c r="E1405" s="83" t="str">
        <f aca="false">IFERROR(INDEX(c_Region,MATCH($C1405,c_ID,0)),"غير معرّف")</f>
        <v>الغربية</v>
      </c>
      <c r="F1405" s="81" t="s">
        <v>169</v>
      </c>
      <c r="G1405" s="83" t="str">
        <f aca="false">IFERROR(INDEX(p_Name,MATCH($F1405,p_ID,0)),"غير معرّف")</f>
        <v>خلاط</v>
      </c>
      <c r="H1405" s="83" t="str">
        <f aca="false">IFERROR(INDEX(p_Cat,MATCH($F1405,p_ID,0)),"غير معرّف")</f>
        <v>أجهزة منزلية</v>
      </c>
      <c r="I1405" s="81" t="s">
        <v>455</v>
      </c>
      <c r="J1405" s="81" t="s">
        <v>91</v>
      </c>
      <c r="K1405" s="81" t="n">
        <v>2</v>
      </c>
      <c r="L1405" s="84" t="n">
        <f aca="false">IFERROR(INDEX(p_Price,MATCH($F1405,p_ID,0)),0)</f>
        <v>300</v>
      </c>
      <c r="M1405" s="85" t="n">
        <v>0.05</v>
      </c>
      <c r="N1405" s="81" t="s">
        <v>644</v>
      </c>
      <c r="O1405" s="84" t="n">
        <f aca="false">IF($N1405="مرتجع",0,K1405*L1405*(1-M1405))</f>
        <v>570</v>
      </c>
      <c r="P1405" s="84" t="n">
        <f aca="false">IF($N1405="مرتجع",0,K1405*IFERROR(INDEX(p_Cost,MATCH($F1405,p_ID,0)),0))</f>
        <v>350</v>
      </c>
      <c r="Q1405" s="84" t="n">
        <f aca="false">O1405-P1405</f>
        <v>220</v>
      </c>
      <c r="R1405" s="86" t="n">
        <f aca="false">DATE(YEAR(B1405),MONTH(B1405),1)</f>
        <v>46266</v>
      </c>
      <c r="S1405" s="83" t="str">
        <f aca="false">YEAR(B1405)&amp;"-Q"&amp;ROUNDUP(MONTH(B1405)/3,0)</f>
        <v>2026-Q3</v>
      </c>
      <c r="T1405" s="87" t="n">
        <f aca="false">IF(O1405&gt;0,Q1405/O1405,"")</f>
        <v>0.385964912280702</v>
      </c>
      <c r="U1405" s="84" t="n">
        <f aca="false">IF(O1405&gt;0,O1405,"")</f>
        <v>570</v>
      </c>
    </row>
    <row r="1406" customFormat="false" ht="15" hidden="false" customHeight="false" outlineLevel="0" collapsed="false">
      <c r="A1406" s="81" t="s">
        <v>2049</v>
      </c>
      <c r="B1406" s="82" t="n">
        <v>46273</v>
      </c>
      <c r="C1406" s="81" t="s">
        <v>362</v>
      </c>
      <c r="D1406" s="83" t="str">
        <f aca="false">IFERROR(INDEX(c_Name,MATCH($C1406,c_ID,0)),"غير معرّف")</f>
        <v>محمد العتيبي</v>
      </c>
      <c r="E1406" s="83" t="str">
        <f aca="false">IFERROR(INDEX(c_Region,MATCH($C1406,c_ID,0)),"غير معرّف")</f>
        <v>الغربية</v>
      </c>
      <c r="F1406" s="81" t="s">
        <v>185</v>
      </c>
      <c r="G1406" s="83" t="str">
        <f aca="false">IFERROR(INDEX(p_Name,MATCH($F1406,p_ID,0)),"غير معرّف")</f>
        <v>ماكينة حلاقة</v>
      </c>
      <c r="H1406" s="83" t="str">
        <f aca="false">IFERROR(INDEX(p_Cat,MATCH($F1406,p_ID,0)),"غير معرّف")</f>
        <v>عناية شخصية</v>
      </c>
      <c r="I1406" s="81" t="s">
        <v>458</v>
      </c>
      <c r="J1406" s="81" t="s">
        <v>91</v>
      </c>
      <c r="K1406" s="81" t="n">
        <v>1</v>
      </c>
      <c r="L1406" s="84" t="n">
        <f aca="false">IFERROR(INDEX(p_Price,MATCH($F1406,p_ID,0)),0)</f>
        <v>340</v>
      </c>
      <c r="M1406" s="85" t="n">
        <v>0.1</v>
      </c>
      <c r="N1406" s="81" t="s">
        <v>644</v>
      </c>
      <c r="O1406" s="84" t="n">
        <f aca="false">IF($N1406="مرتجع",0,K1406*L1406*(1-M1406))</f>
        <v>306</v>
      </c>
      <c r="P1406" s="84" t="n">
        <f aca="false">IF($N1406="مرتجع",0,K1406*IFERROR(INDEX(p_Cost,MATCH($F1406,p_ID,0)),0))</f>
        <v>170</v>
      </c>
      <c r="Q1406" s="84" t="n">
        <f aca="false">O1406-P1406</f>
        <v>136</v>
      </c>
      <c r="R1406" s="86" t="n">
        <f aca="false">DATE(YEAR(B1406),MONTH(B1406),1)</f>
        <v>46266</v>
      </c>
      <c r="S1406" s="83" t="str">
        <f aca="false">YEAR(B1406)&amp;"-Q"&amp;ROUNDUP(MONTH(B1406)/3,0)</f>
        <v>2026-Q3</v>
      </c>
      <c r="T1406" s="87" t="n">
        <f aca="false">IF(O1406&gt;0,Q1406/O1406,"")</f>
        <v>0.444444444444444</v>
      </c>
      <c r="U1406" s="84" t="n">
        <f aca="false">IF(O1406&gt;0,O1406,"")</f>
        <v>306</v>
      </c>
    </row>
    <row r="1407" customFormat="false" ht="15" hidden="false" customHeight="false" outlineLevel="0" collapsed="false">
      <c r="A1407" s="81" t="s">
        <v>2050</v>
      </c>
      <c r="B1407" s="82" t="n">
        <v>46274</v>
      </c>
      <c r="C1407" s="81" t="s">
        <v>404</v>
      </c>
      <c r="D1407" s="83" t="str">
        <f aca="false">IFERROR(INDEX(c_Name,MATCH($C1407,c_ID,0)),"غير معرّف")</f>
        <v>عبدالله الحسيني</v>
      </c>
      <c r="E1407" s="83" t="str">
        <f aca="false">IFERROR(INDEX(c_Region,MATCH($C1407,c_ID,0)),"غير معرّف")</f>
        <v>الشرقية</v>
      </c>
      <c r="F1407" s="81" t="s">
        <v>172</v>
      </c>
      <c r="G1407" s="83" t="str">
        <f aca="false">IFERROR(INDEX(p_Name,MATCH($F1407,p_ID,0)),"غير معرّف")</f>
        <v>مكتب عمل</v>
      </c>
      <c r="H1407" s="83" t="str">
        <f aca="false">IFERROR(INDEX(p_Cat,MATCH($F1407,p_ID,0)),"غير معرّف")</f>
        <v>أثاث</v>
      </c>
      <c r="I1407" s="81" t="s">
        <v>461</v>
      </c>
      <c r="J1407" s="81" t="s">
        <v>91</v>
      </c>
      <c r="K1407" s="81" t="n">
        <v>1</v>
      </c>
      <c r="L1407" s="84" t="n">
        <f aca="false">IFERROR(INDEX(p_Price,MATCH($F1407,p_ID,0)),0)</f>
        <v>1200</v>
      </c>
      <c r="M1407" s="85" t="n">
        <v>0</v>
      </c>
      <c r="N1407" s="81" t="s">
        <v>644</v>
      </c>
      <c r="O1407" s="84" t="n">
        <f aca="false">IF($N1407="مرتجع",0,K1407*L1407*(1-M1407))</f>
        <v>1200</v>
      </c>
      <c r="P1407" s="84" t="n">
        <f aca="false">IF($N1407="مرتجع",0,K1407*IFERROR(INDEX(p_Cost,MATCH($F1407,p_ID,0)),0))</f>
        <v>700</v>
      </c>
      <c r="Q1407" s="84" t="n">
        <f aca="false">O1407-P1407</f>
        <v>500</v>
      </c>
      <c r="R1407" s="86" t="n">
        <f aca="false">DATE(YEAR(B1407),MONTH(B1407),1)</f>
        <v>46266</v>
      </c>
      <c r="S1407" s="83" t="str">
        <f aca="false">YEAR(B1407)&amp;"-Q"&amp;ROUNDUP(MONTH(B1407)/3,0)</f>
        <v>2026-Q3</v>
      </c>
      <c r="T1407" s="87" t="n">
        <f aca="false">IF(O1407&gt;0,Q1407/O1407,"")</f>
        <v>0.416666666666667</v>
      </c>
      <c r="U1407" s="84" t="n">
        <f aca="false">IF(O1407&gt;0,O1407,"")</f>
        <v>1200</v>
      </c>
    </row>
    <row r="1408" customFormat="false" ht="15" hidden="false" customHeight="false" outlineLevel="0" collapsed="false">
      <c r="A1408" s="81" t="s">
        <v>2051</v>
      </c>
      <c r="B1408" s="82" t="n">
        <v>46274</v>
      </c>
      <c r="C1408" s="81" t="s">
        <v>325</v>
      </c>
      <c r="D1408" s="83" t="str">
        <f aca="false">IFERROR(INDEX(c_Name,MATCH($C1408,c_ID,0)),"غير معرّف")</f>
        <v>منى الشهري</v>
      </c>
      <c r="E1408" s="83" t="str">
        <f aca="false">IFERROR(INDEX(c_Region,MATCH($C1408,c_ID,0)),"غير معرّف")</f>
        <v>الشرقية</v>
      </c>
      <c r="F1408" s="81" t="s">
        <v>165</v>
      </c>
      <c r="G1408" s="83" t="str">
        <f aca="false">IFERROR(INDEX(p_Name,MATCH($F1408,p_ID,0)),"غير معرّف")</f>
        <v>حاسوب محمول</v>
      </c>
      <c r="H1408" s="83" t="str">
        <f aca="false">IFERROR(INDEX(p_Cat,MATCH($F1408,p_ID,0)),"غير معرّف")</f>
        <v>إلكترونيات</v>
      </c>
      <c r="I1408" s="81" t="s">
        <v>461</v>
      </c>
      <c r="J1408" s="81" t="s">
        <v>93</v>
      </c>
      <c r="K1408" s="81" t="n">
        <v>1</v>
      </c>
      <c r="L1408" s="84" t="n">
        <f aca="false">IFERROR(INDEX(p_Price,MATCH($F1408,p_ID,0)),0)</f>
        <v>3800</v>
      </c>
      <c r="M1408" s="85" t="n">
        <v>0.05</v>
      </c>
      <c r="N1408" s="81" t="s">
        <v>650</v>
      </c>
      <c r="O1408" s="84" t="n">
        <f aca="false">IF($N1408="مرتجع",0,K1408*L1408*(1-M1408))</f>
        <v>0</v>
      </c>
      <c r="P1408" s="84" t="n">
        <f aca="false">IF($N1408="مرتجع",0,K1408*IFERROR(INDEX(p_Cost,MATCH($F1408,p_ID,0)),0))</f>
        <v>0</v>
      </c>
      <c r="Q1408" s="84" t="n">
        <f aca="false">O1408-P1408</f>
        <v>0</v>
      </c>
      <c r="R1408" s="86" t="n">
        <f aca="false">DATE(YEAR(B1408),MONTH(B1408),1)</f>
        <v>46266</v>
      </c>
      <c r="S1408" s="83" t="str">
        <f aca="false">YEAR(B1408)&amp;"-Q"&amp;ROUNDUP(MONTH(B1408)/3,0)</f>
        <v>2026-Q3</v>
      </c>
      <c r="T1408" s="87" t="str">
        <f aca="false">IF(O1408&gt;0,Q1408/O1408,"")</f>
        <v/>
      </c>
      <c r="U1408" s="84" t="str">
        <f aca="false">IF(O1408&gt;0,O1408,"")</f>
        <v/>
      </c>
    </row>
    <row r="1409" customFormat="false" ht="15" hidden="false" customHeight="false" outlineLevel="0" collapsed="false">
      <c r="A1409" s="81" t="s">
        <v>2052</v>
      </c>
      <c r="B1409" s="82" t="n">
        <v>46274</v>
      </c>
      <c r="C1409" s="81" t="s">
        <v>384</v>
      </c>
      <c r="D1409" s="83" t="str">
        <f aca="false">IFERROR(INDEX(c_Name,MATCH($C1409,c_ID,0)),"غير معرّف")</f>
        <v>سلمان الشهري</v>
      </c>
      <c r="E1409" s="83" t="str">
        <f aca="false">IFERROR(INDEX(c_Region,MATCH($C1409,c_ID,0)),"غير معرّف")</f>
        <v>الجنوبية</v>
      </c>
      <c r="F1409" s="81" t="s">
        <v>175</v>
      </c>
      <c r="G1409" s="83" t="str">
        <f aca="false">IFERROR(INDEX(p_Name,MATCH($F1409,p_ID,0)),"غير معرّف")</f>
        <v>رف كتب</v>
      </c>
      <c r="H1409" s="83" t="str">
        <f aca="false">IFERROR(INDEX(p_Cat,MATCH($F1409,p_ID,0)),"غير معرّف")</f>
        <v>أثاث</v>
      </c>
      <c r="I1409" s="81" t="s">
        <v>465</v>
      </c>
      <c r="J1409" s="81" t="s">
        <v>93</v>
      </c>
      <c r="K1409" s="81" t="n">
        <v>2</v>
      </c>
      <c r="L1409" s="84" t="n">
        <f aca="false">IFERROR(INDEX(p_Price,MATCH($F1409,p_ID,0)),0)</f>
        <v>400</v>
      </c>
      <c r="M1409" s="85" t="n">
        <v>0</v>
      </c>
      <c r="N1409" s="81" t="s">
        <v>644</v>
      </c>
      <c r="O1409" s="84" t="n">
        <f aca="false">IF($N1409="مرتجع",0,K1409*L1409*(1-M1409))</f>
        <v>800</v>
      </c>
      <c r="P1409" s="84" t="n">
        <f aca="false">IF($N1409="مرتجع",0,K1409*IFERROR(INDEX(p_Cost,MATCH($F1409,p_ID,0)),0))</f>
        <v>440</v>
      </c>
      <c r="Q1409" s="84" t="n">
        <f aca="false">O1409-P1409</f>
        <v>360</v>
      </c>
      <c r="R1409" s="86" t="n">
        <f aca="false">DATE(YEAR(B1409),MONTH(B1409),1)</f>
        <v>46266</v>
      </c>
      <c r="S1409" s="83" t="str">
        <f aca="false">YEAR(B1409)&amp;"-Q"&amp;ROUNDUP(MONTH(B1409)/3,0)</f>
        <v>2026-Q3</v>
      </c>
      <c r="T1409" s="87" t="n">
        <f aca="false">IF(O1409&gt;0,Q1409/O1409,"")</f>
        <v>0.45</v>
      </c>
      <c r="U1409" s="84" t="n">
        <f aca="false">IF(O1409&gt;0,O1409,"")</f>
        <v>800</v>
      </c>
    </row>
    <row r="1410" customFormat="false" ht="15" hidden="false" customHeight="false" outlineLevel="0" collapsed="false">
      <c r="A1410" s="81" t="s">
        <v>2053</v>
      </c>
      <c r="B1410" s="82" t="n">
        <v>46274</v>
      </c>
      <c r="C1410" s="81" t="s">
        <v>423</v>
      </c>
      <c r="D1410" s="83" t="str">
        <f aca="false">IFERROR(INDEX(c_Name,MATCH($C1410,c_ID,0)),"غير معرّف")</f>
        <v>ناصر المطيري</v>
      </c>
      <c r="E1410" s="83" t="str">
        <f aca="false">IFERROR(INDEX(c_Region,MATCH($C1410,c_ID,0)),"غير معرّف")</f>
        <v>الغربية</v>
      </c>
      <c r="F1410" s="81" t="s">
        <v>182</v>
      </c>
      <c r="G1410" s="83" t="str">
        <f aca="false">IFERROR(INDEX(p_Name,MATCH($F1410,p_ID,0)),"غير معرّف")</f>
        <v>طقم أوزان</v>
      </c>
      <c r="H1410" s="83" t="str">
        <f aca="false">IFERROR(INDEX(p_Cat,MATCH($F1410,p_ID,0)),"غير معرّف")</f>
        <v>رياضة</v>
      </c>
      <c r="I1410" s="81" t="s">
        <v>452</v>
      </c>
      <c r="J1410" s="81" t="s">
        <v>91</v>
      </c>
      <c r="K1410" s="81" t="n">
        <v>2</v>
      </c>
      <c r="L1410" s="84" t="n">
        <f aca="false">IFERROR(INDEX(p_Price,MATCH($F1410,p_ID,0)),0)</f>
        <v>380</v>
      </c>
      <c r="M1410" s="85" t="n">
        <v>0.15</v>
      </c>
      <c r="N1410" s="81" t="s">
        <v>644</v>
      </c>
      <c r="O1410" s="84" t="n">
        <f aca="false">IF($N1410="مرتجع",0,K1410*L1410*(1-M1410))</f>
        <v>646</v>
      </c>
      <c r="P1410" s="84" t="n">
        <f aca="false">IF($N1410="مرتجع",0,K1410*IFERROR(INDEX(p_Cost,MATCH($F1410,p_ID,0)),0))</f>
        <v>420</v>
      </c>
      <c r="Q1410" s="84" t="n">
        <f aca="false">O1410-P1410</f>
        <v>226</v>
      </c>
      <c r="R1410" s="86" t="n">
        <f aca="false">DATE(YEAR(B1410),MONTH(B1410),1)</f>
        <v>46266</v>
      </c>
      <c r="S1410" s="83" t="str">
        <f aca="false">YEAR(B1410)&amp;"-Q"&amp;ROUNDUP(MONTH(B1410)/3,0)</f>
        <v>2026-Q3</v>
      </c>
      <c r="T1410" s="87" t="n">
        <f aca="false">IF(O1410&gt;0,Q1410/O1410,"")</f>
        <v>0.34984520123839</v>
      </c>
      <c r="U1410" s="84" t="n">
        <f aca="false">IF(O1410&gt;0,O1410,"")</f>
        <v>646</v>
      </c>
    </row>
    <row r="1411" customFormat="false" ht="15" hidden="false" customHeight="false" outlineLevel="0" collapsed="false">
      <c r="A1411" s="81" t="s">
        <v>2054</v>
      </c>
      <c r="B1411" s="82" t="n">
        <v>46274</v>
      </c>
      <c r="C1411" s="81" t="s">
        <v>296</v>
      </c>
      <c r="D1411" s="83" t="str">
        <f aca="false">IFERROR(INDEX(c_Name,MATCH($C1411,c_ID,0)),"غير معرّف")</f>
        <v>محمد الزهراني</v>
      </c>
      <c r="E1411" s="83" t="str">
        <f aca="false">IFERROR(INDEX(c_Region,MATCH($C1411,c_ID,0)),"غير معرّف")</f>
        <v>الغربية</v>
      </c>
      <c r="F1411" s="81" t="s">
        <v>167</v>
      </c>
      <c r="G1411" s="83" t="str">
        <f aca="false">IFERROR(INDEX(p_Name,MATCH($F1411,p_ID,0)),"غير معرّف")</f>
        <v>شاشة 27 بوصة</v>
      </c>
      <c r="H1411" s="83" t="str">
        <f aca="false">IFERROR(INDEX(p_Cat,MATCH($F1411,p_ID,0)),"غير معرّف")</f>
        <v>إلكترونيات</v>
      </c>
      <c r="I1411" s="81" t="s">
        <v>452</v>
      </c>
      <c r="J1411" s="81" t="s">
        <v>91</v>
      </c>
      <c r="K1411" s="81" t="n">
        <v>7</v>
      </c>
      <c r="L1411" s="84" t="n">
        <f aca="false">IFERROR(INDEX(p_Price,MATCH($F1411,p_ID,0)),0)</f>
        <v>1100</v>
      </c>
      <c r="M1411" s="85" t="n">
        <v>0.05</v>
      </c>
      <c r="N1411" s="81" t="s">
        <v>644</v>
      </c>
      <c r="O1411" s="84" t="n">
        <f aca="false">IF($N1411="مرتجع",0,K1411*L1411*(1-M1411))</f>
        <v>7315</v>
      </c>
      <c r="P1411" s="84" t="n">
        <f aca="false">IF($N1411="مرتجع",0,K1411*IFERROR(INDEX(p_Cost,MATCH($F1411,p_ID,0)),0))</f>
        <v>5460</v>
      </c>
      <c r="Q1411" s="84" t="n">
        <f aca="false">O1411-P1411</f>
        <v>1855</v>
      </c>
      <c r="R1411" s="86" t="n">
        <f aca="false">DATE(YEAR(B1411),MONTH(B1411),1)</f>
        <v>46266</v>
      </c>
      <c r="S1411" s="83" t="str">
        <f aca="false">YEAR(B1411)&amp;"-Q"&amp;ROUNDUP(MONTH(B1411)/3,0)</f>
        <v>2026-Q3</v>
      </c>
      <c r="T1411" s="87" t="n">
        <f aca="false">IF(O1411&gt;0,Q1411/O1411,"")</f>
        <v>0.253588516746412</v>
      </c>
      <c r="U1411" s="84" t="n">
        <f aca="false">IF(O1411&gt;0,O1411,"")</f>
        <v>7315</v>
      </c>
    </row>
    <row r="1412" customFormat="false" ht="15" hidden="false" customHeight="false" outlineLevel="0" collapsed="false">
      <c r="A1412" s="81" t="s">
        <v>2055</v>
      </c>
      <c r="B1412" s="82" t="n">
        <v>46274</v>
      </c>
      <c r="C1412" s="81" t="s">
        <v>249</v>
      </c>
      <c r="D1412" s="83" t="str">
        <f aca="false">IFERROR(INDEX(c_Name,MATCH($C1412,c_ID,0)),"غير معرّف")</f>
        <v>ريم الحسيني</v>
      </c>
      <c r="E1412" s="83" t="str">
        <f aca="false">IFERROR(INDEX(c_Region,MATCH($C1412,c_ID,0)),"غير معرّف")</f>
        <v>الوسطى</v>
      </c>
      <c r="F1412" s="81" t="s">
        <v>184</v>
      </c>
      <c r="G1412" s="83" t="str">
        <f aca="false">IFERROR(INDEX(p_Name,MATCH($F1412,p_ID,0)),"غير معرّف")</f>
        <v>عطر فاخر</v>
      </c>
      <c r="H1412" s="83" t="str">
        <f aca="false">IFERROR(INDEX(p_Cat,MATCH($F1412,p_ID,0)),"غير معرّف")</f>
        <v>عناية شخصية</v>
      </c>
      <c r="I1412" s="81" t="s">
        <v>443</v>
      </c>
      <c r="J1412" s="81" t="s">
        <v>91</v>
      </c>
      <c r="K1412" s="81" t="n">
        <v>3</v>
      </c>
      <c r="L1412" s="84" t="n">
        <f aca="false">IFERROR(INDEX(p_Price,MATCH($F1412,p_ID,0)),0)</f>
        <v>520</v>
      </c>
      <c r="M1412" s="85" t="n">
        <v>0</v>
      </c>
      <c r="N1412" s="81" t="s">
        <v>644</v>
      </c>
      <c r="O1412" s="84" t="n">
        <f aca="false">IF($N1412="مرتجع",0,K1412*L1412*(1-M1412))</f>
        <v>1560</v>
      </c>
      <c r="P1412" s="84" t="n">
        <f aca="false">IF($N1412="مرتجع",0,K1412*IFERROR(INDEX(p_Cost,MATCH($F1412,p_ID,0)),0))</f>
        <v>630</v>
      </c>
      <c r="Q1412" s="84" t="n">
        <f aca="false">O1412-P1412</f>
        <v>930</v>
      </c>
      <c r="R1412" s="86" t="n">
        <f aca="false">DATE(YEAR(B1412),MONTH(B1412),1)</f>
        <v>46266</v>
      </c>
      <c r="S1412" s="83" t="str">
        <f aca="false">YEAR(B1412)&amp;"-Q"&amp;ROUNDUP(MONTH(B1412)/3,0)</f>
        <v>2026-Q3</v>
      </c>
      <c r="T1412" s="87" t="n">
        <f aca="false">IF(O1412&gt;0,Q1412/O1412,"")</f>
        <v>0.596153846153846</v>
      </c>
      <c r="U1412" s="84" t="n">
        <f aca="false">IF(O1412&gt;0,O1412,"")</f>
        <v>1560</v>
      </c>
    </row>
    <row r="1413" customFormat="false" ht="15" hidden="false" customHeight="false" outlineLevel="0" collapsed="false">
      <c r="A1413" s="81" t="s">
        <v>2056</v>
      </c>
      <c r="B1413" s="82" t="n">
        <v>46274</v>
      </c>
      <c r="C1413" s="81" t="s">
        <v>423</v>
      </c>
      <c r="D1413" s="83" t="str">
        <f aca="false">IFERROR(INDEX(c_Name,MATCH($C1413,c_ID,0)),"غير معرّف")</f>
        <v>ناصر المطيري</v>
      </c>
      <c r="E1413" s="83" t="str">
        <f aca="false">IFERROR(INDEX(c_Region,MATCH($C1413,c_ID,0)),"غير معرّف")</f>
        <v>الغربية</v>
      </c>
      <c r="F1413" s="81" t="s">
        <v>175</v>
      </c>
      <c r="G1413" s="83" t="str">
        <f aca="false">IFERROR(INDEX(p_Name,MATCH($F1413,p_ID,0)),"غير معرّف")</f>
        <v>رف كتب</v>
      </c>
      <c r="H1413" s="83" t="str">
        <f aca="false">IFERROR(INDEX(p_Cat,MATCH($F1413,p_ID,0)),"غير معرّف")</f>
        <v>أثاث</v>
      </c>
      <c r="I1413" s="81" t="s">
        <v>455</v>
      </c>
      <c r="J1413" s="81" t="s">
        <v>93</v>
      </c>
      <c r="K1413" s="81" t="n">
        <v>2</v>
      </c>
      <c r="L1413" s="84" t="n">
        <f aca="false">IFERROR(INDEX(p_Price,MATCH($F1413,p_ID,0)),0)</f>
        <v>400</v>
      </c>
      <c r="M1413" s="85" t="n">
        <v>0.2</v>
      </c>
      <c r="N1413" s="81" t="s">
        <v>644</v>
      </c>
      <c r="O1413" s="84" t="n">
        <f aca="false">IF($N1413="مرتجع",0,K1413*L1413*(1-M1413))</f>
        <v>640</v>
      </c>
      <c r="P1413" s="84" t="n">
        <f aca="false">IF($N1413="مرتجع",0,K1413*IFERROR(INDEX(p_Cost,MATCH($F1413,p_ID,0)),0))</f>
        <v>440</v>
      </c>
      <c r="Q1413" s="84" t="n">
        <f aca="false">O1413-P1413</f>
        <v>200</v>
      </c>
      <c r="R1413" s="86" t="n">
        <f aca="false">DATE(YEAR(B1413),MONTH(B1413),1)</f>
        <v>46266</v>
      </c>
      <c r="S1413" s="83" t="str">
        <f aca="false">YEAR(B1413)&amp;"-Q"&amp;ROUNDUP(MONTH(B1413)/3,0)</f>
        <v>2026-Q3</v>
      </c>
      <c r="T1413" s="87" t="n">
        <f aca="false">IF(O1413&gt;0,Q1413/O1413,"")</f>
        <v>0.3125</v>
      </c>
      <c r="U1413" s="84" t="n">
        <f aca="false">IF(O1413&gt;0,O1413,"")</f>
        <v>640</v>
      </c>
    </row>
    <row r="1414" customFormat="false" ht="15" hidden="false" customHeight="false" outlineLevel="0" collapsed="false">
      <c r="A1414" s="81" t="s">
        <v>2057</v>
      </c>
      <c r="B1414" s="82" t="n">
        <v>46274</v>
      </c>
      <c r="C1414" s="81" t="s">
        <v>387</v>
      </c>
      <c r="D1414" s="83" t="str">
        <f aca="false">IFERROR(INDEX(c_Name,MATCH($C1414,c_ID,0)),"غير معرّف")</f>
        <v>لمى الشمري</v>
      </c>
      <c r="E1414" s="83" t="str">
        <f aca="false">IFERROR(INDEX(c_Region,MATCH($C1414,c_ID,0)),"غير معرّف")</f>
        <v>الوسطى</v>
      </c>
      <c r="F1414" s="81" t="s">
        <v>179</v>
      </c>
      <c r="G1414" s="83" t="str">
        <f aca="false">IFERROR(INDEX(p_Name,MATCH($F1414,p_ID,0)),"غير معرّف")</f>
        <v>طقم أدوات مكتبية</v>
      </c>
      <c r="H1414" s="83" t="str">
        <f aca="false">IFERROR(INDEX(p_Cat,MATCH($F1414,p_ID,0)),"غير معرّف")</f>
        <v>مستلزمات مكتبية</v>
      </c>
      <c r="I1414" s="81" t="s">
        <v>446</v>
      </c>
      <c r="J1414" s="81" t="s">
        <v>93</v>
      </c>
      <c r="K1414" s="81" t="n">
        <v>4</v>
      </c>
      <c r="L1414" s="84" t="n">
        <f aca="false">IFERROR(INDEX(p_Price,MATCH($F1414,p_ID,0)),0)</f>
        <v>90</v>
      </c>
      <c r="M1414" s="85" t="n">
        <v>0.1</v>
      </c>
      <c r="N1414" s="81" t="s">
        <v>644</v>
      </c>
      <c r="O1414" s="84" t="n">
        <f aca="false">IF($N1414="مرتجع",0,K1414*L1414*(1-M1414))</f>
        <v>324</v>
      </c>
      <c r="P1414" s="84" t="n">
        <f aca="false">IF($N1414="مرتجع",0,K1414*IFERROR(INDEX(p_Cost,MATCH($F1414,p_ID,0)),0))</f>
        <v>180</v>
      </c>
      <c r="Q1414" s="84" t="n">
        <f aca="false">O1414-P1414</f>
        <v>144</v>
      </c>
      <c r="R1414" s="86" t="n">
        <f aca="false">DATE(YEAR(B1414),MONTH(B1414),1)</f>
        <v>46266</v>
      </c>
      <c r="S1414" s="83" t="str">
        <f aca="false">YEAR(B1414)&amp;"-Q"&amp;ROUNDUP(MONTH(B1414)/3,0)</f>
        <v>2026-Q3</v>
      </c>
      <c r="T1414" s="87" t="n">
        <f aca="false">IF(O1414&gt;0,Q1414/O1414,"")</f>
        <v>0.444444444444444</v>
      </c>
      <c r="U1414" s="84" t="n">
        <f aca="false">IF(O1414&gt;0,O1414,"")</f>
        <v>324</v>
      </c>
    </row>
    <row r="1415" customFormat="false" ht="15" hidden="false" customHeight="false" outlineLevel="0" collapsed="false">
      <c r="A1415" s="81" t="s">
        <v>2058</v>
      </c>
      <c r="B1415" s="82" t="n">
        <v>46274</v>
      </c>
      <c r="C1415" s="81" t="s">
        <v>270</v>
      </c>
      <c r="D1415" s="83" t="str">
        <f aca="false">IFERROR(INDEX(c_Name,MATCH($C1415,c_ID,0)),"غير معرّف")</f>
        <v>ريم التميمي</v>
      </c>
      <c r="E1415" s="83" t="str">
        <f aca="false">IFERROR(INDEX(c_Region,MATCH($C1415,c_ID,0)),"غير معرّف")</f>
        <v>الشرقية</v>
      </c>
      <c r="F1415" s="81" t="s">
        <v>176</v>
      </c>
      <c r="G1415" s="83" t="str">
        <f aca="false">IFERROR(INDEX(p_Name,MATCH($F1415,p_ID,0)),"غير معرّف")</f>
        <v>طابعة ليزر</v>
      </c>
      <c r="H1415" s="83" t="str">
        <f aca="false">IFERROR(INDEX(p_Cat,MATCH($F1415,p_ID,0)),"غير معرّف")</f>
        <v>مستلزمات مكتبية</v>
      </c>
      <c r="I1415" s="81" t="s">
        <v>461</v>
      </c>
      <c r="J1415" s="81" t="s">
        <v>91</v>
      </c>
      <c r="K1415" s="81" t="n">
        <v>1</v>
      </c>
      <c r="L1415" s="84" t="n">
        <f aca="false">IFERROR(INDEX(p_Price,MATCH($F1415,p_ID,0)),0)</f>
        <v>1300</v>
      </c>
      <c r="M1415" s="85" t="n">
        <v>0.1</v>
      </c>
      <c r="N1415" s="81" t="s">
        <v>644</v>
      </c>
      <c r="O1415" s="84" t="n">
        <f aca="false">IF($N1415="مرتجع",0,K1415*L1415*(1-M1415))</f>
        <v>1170</v>
      </c>
      <c r="P1415" s="84" t="n">
        <f aca="false">IF($N1415="مرتجع",0,K1415*IFERROR(INDEX(p_Cost,MATCH($F1415,p_ID,0)),0))</f>
        <v>950</v>
      </c>
      <c r="Q1415" s="84" t="n">
        <f aca="false">O1415-P1415</f>
        <v>220</v>
      </c>
      <c r="R1415" s="86" t="n">
        <f aca="false">DATE(YEAR(B1415),MONTH(B1415),1)</f>
        <v>46266</v>
      </c>
      <c r="S1415" s="83" t="str">
        <f aca="false">YEAR(B1415)&amp;"-Q"&amp;ROUNDUP(MONTH(B1415)/3,0)</f>
        <v>2026-Q3</v>
      </c>
      <c r="T1415" s="87" t="n">
        <f aca="false">IF(O1415&gt;0,Q1415/O1415,"")</f>
        <v>0.188034188034188</v>
      </c>
      <c r="U1415" s="84" t="n">
        <f aca="false">IF(O1415&gt;0,O1415,"")</f>
        <v>1170</v>
      </c>
    </row>
    <row r="1416" customFormat="false" ht="15" hidden="false" customHeight="false" outlineLevel="0" collapsed="false">
      <c r="A1416" s="81" t="s">
        <v>2059</v>
      </c>
      <c r="B1416" s="82" t="n">
        <v>46274</v>
      </c>
      <c r="C1416" s="81" t="s">
        <v>294</v>
      </c>
      <c r="D1416" s="83" t="str">
        <f aca="false">IFERROR(INDEX(c_Name,MATCH($C1416,c_ID,0)),"غير معرّف")</f>
        <v>خالد البلوي</v>
      </c>
      <c r="E1416" s="83" t="str">
        <f aca="false">IFERROR(INDEX(c_Region,MATCH($C1416,c_ID,0)),"غير معرّف")</f>
        <v>الوسطى</v>
      </c>
      <c r="F1416" s="81" t="s">
        <v>177</v>
      </c>
      <c r="G1416" s="83" t="str">
        <f aca="false">IFERROR(INDEX(p_Name,MATCH($F1416,p_ID,0)),"غير معرّف")</f>
        <v>ورق A4 (صندوق)</v>
      </c>
      <c r="H1416" s="83" t="str">
        <f aca="false">IFERROR(INDEX(p_Cat,MATCH($F1416,p_ID,0)),"غير معرّف")</f>
        <v>مستلزمات مكتبية</v>
      </c>
      <c r="I1416" s="81" t="s">
        <v>443</v>
      </c>
      <c r="J1416" s="81" t="s">
        <v>95</v>
      </c>
      <c r="K1416" s="81" t="n">
        <v>6</v>
      </c>
      <c r="L1416" s="84" t="n">
        <f aca="false">IFERROR(INDEX(p_Price,MATCH($F1416,p_ID,0)),0)</f>
        <v>140</v>
      </c>
      <c r="M1416" s="85" t="n">
        <v>0.15</v>
      </c>
      <c r="N1416" s="81" t="s">
        <v>644</v>
      </c>
      <c r="O1416" s="84" t="n">
        <f aca="false">IF($N1416="مرتجع",0,K1416*L1416*(1-M1416))</f>
        <v>714</v>
      </c>
      <c r="P1416" s="84" t="n">
        <f aca="false">IF($N1416="مرتجع",0,K1416*IFERROR(INDEX(p_Cost,MATCH($F1416,p_ID,0)),0))</f>
        <v>570</v>
      </c>
      <c r="Q1416" s="84" t="n">
        <f aca="false">O1416-P1416</f>
        <v>144</v>
      </c>
      <c r="R1416" s="86" t="n">
        <f aca="false">DATE(YEAR(B1416),MONTH(B1416),1)</f>
        <v>46266</v>
      </c>
      <c r="S1416" s="83" t="str">
        <f aca="false">YEAR(B1416)&amp;"-Q"&amp;ROUNDUP(MONTH(B1416)/3,0)</f>
        <v>2026-Q3</v>
      </c>
      <c r="T1416" s="87" t="n">
        <f aca="false">IF(O1416&gt;0,Q1416/O1416,"")</f>
        <v>0.201680672268908</v>
      </c>
      <c r="U1416" s="84" t="n">
        <f aca="false">IF(O1416&gt;0,O1416,"")</f>
        <v>714</v>
      </c>
    </row>
    <row r="1417" customFormat="false" ht="15" hidden="false" customHeight="false" outlineLevel="0" collapsed="false">
      <c r="A1417" s="81" t="s">
        <v>2060</v>
      </c>
      <c r="B1417" s="82" t="n">
        <v>46275</v>
      </c>
      <c r="C1417" s="81" t="s">
        <v>313</v>
      </c>
      <c r="D1417" s="83" t="str">
        <f aca="false">IFERROR(INDEX(c_Name,MATCH($C1417,c_ID,0)),"غير معرّف")</f>
        <v>نورة الدوسري</v>
      </c>
      <c r="E1417" s="83" t="str">
        <f aca="false">IFERROR(INDEX(c_Region,MATCH($C1417,c_ID,0)),"غير معرّف")</f>
        <v>الغربية</v>
      </c>
      <c r="F1417" s="81" t="s">
        <v>164</v>
      </c>
      <c r="G1417" s="83" t="str">
        <f aca="false">IFERROR(INDEX(p_Name,MATCH($F1417,p_ID,0)),"غير معرّف")</f>
        <v>هاتف ذكي</v>
      </c>
      <c r="H1417" s="83" t="str">
        <f aca="false">IFERROR(INDEX(p_Cat,MATCH($F1417,p_ID,0)),"غير معرّف")</f>
        <v>إلكترونيات</v>
      </c>
      <c r="I1417" s="81" t="s">
        <v>452</v>
      </c>
      <c r="J1417" s="81" t="s">
        <v>93</v>
      </c>
      <c r="K1417" s="81" t="n">
        <v>1</v>
      </c>
      <c r="L1417" s="84" t="n">
        <f aca="false">IFERROR(INDEX(p_Price,MATCH($F1417,p_ID,0)),0)</f>
        <v>2400</v>
      </c>
      <c r="M1417" s="85" t="n">
        <v>0</v>
      </c>
      <c r="N1417" s="81" t="s">
        <v>644</v>
      </c>
      <c r="O1417" s="84" t="n">
        <f aca="false">IF($N1417="مرتجع",0,K1417*L1417*(1-M1417))</f>
        <v>2400</v>
      </c>
      <c r="P1417" s="84" t="n">
        <f aca="false">IF($N1417="مرتجع",0,K1417*IFERROR(INDEX(p_Cost,MATCH($F1417,p_ID,0)),0))</f>
        <v>1750</v>
      </c>
      <c r="Q1417" s="84" t="n">
        <f aca="false">O1417-P1417</f>
        <v>650</v>
      </c>
      <c r="R1417" s="86" t="n">
        <f aca="false">DATE(YEAR(B1417),MONTH(B1417),1)</f>
        <v>46266</v>
      </c>
      <c r="S1417" s="83" t="str">
        <f aca="false">YEAR(B1417)&amp;"-Q"&amp;ROUNDUP(MONTH(B1417)/3,0)</f>
        <v>2026-Q3</v>
      </c>
      <c r="T1417" s="87" t="n">
        <f aca="false">IF(O1417&gt;0,Q1417/O1417,"")</f>
        <v>0.270833333333333</v>
      </c>
      <c r="U1417" s="84" t="n">
        <f aca="false">IF(O1417&gt;0,O1417,"")</f>
        <v>2400</v>
      </c>
    </row>
    <row r="1418" customFormat="false" ht="15" hidden="false" customHeight="false" outlineLevel="0" collapsed="false">
      <c r="A1418" s="81" t="s">
        <v>2061</v>
      </c>
      <c r="B1418" s="82" t="n">
        <v>46275</v>
      </c>
      <c r="C1418" s="81" t="s">
        <v>295</v>
      </c>
      <c r="D1418" s="83" t="str">
        <f aca="false">IFERROR(INDEX(c_Name,MATCH($C1418,c_ID,0)),"غير معرّف")</f>
        <v>عبير الزهراني</v>
      </c>
      <c r="E1418" s="83" t="str">
        <f aca="false">IFERROR(INDEX(c_Region,MATCH($C1418,c_ID,0)),"غير معرّف")</f>
        <v>الوسطى</v>
      </c>
      <c r="F1418" s="81" t="s">
        <v>177</v>
      </c>
      <c r="G1418" s="83" t="str">
        <f aca="false">IFERROR(INDEX(p_Name,MATCH($F1418,p_ID,0)),"غير معرّف")</f>
        <v>ورق A4 (صندوق)</v>
      </c>
      <c r="H1418" s="83" t="str">
        <f aca="false">IFERROR(INDEX(p_Cat,MATCH($F1418,p_ID,0)),"غير معرّف")</f>
        <v>مستلزمات مكتبية</v>
      </c>
      <c r="I1418" s="81" t="s">
        <v>449</v>
      </c>
      <c r="J1418" s="81" t="s">
        <v>93</v>
      </c>
      <c r="K1418" s="81" t="n">
        <v>7</v>
      </c>
      <c r="L1418" s="84" t="n">
        <f aca="false">IFERROR(INDEX(p_Price,MATCH($F1418,p_ID,0)),0)</f>
        <v>140</v>
      </c>
      <c r="M1418" s="85" t="n">
        <v>0.05</v>
      </c>
      <c r="N1418" s="81" t="s">
        <v>644</v>
      </c>
      <c r="O1418" s="84" t="n">
        <f aca="false">IF($N1418="مرتجع",0,K1418*L1418*(1-M1418))</f>
        <v>931</v>
      </c>
      <c r="P1418" s="84" t="n">
        <f aca="false">IF($N1418="مرتجع",0,K1418*IFERROR(INDEX(p_Cost,MATCH($F1418,p_ID,0)),0))</f>
        <v>665</v>
      </c>
      <c r="Q1418" s="84" t="n">
        <f aca="false">O1418-P1418</f>
        <v>266</v>
      </c>
      <c r="R1418" s="86" t="n">
        <f aca="false">DATE(YEAR(B1418),MONTH(B1418),1)</f>
        <v>46266</v>
      </c>
      <c r="S1418" s="83" t="str">
        <f aca="false">YEAR(B1418)&amp;"-Q"&amp;ROUNDUP(MONTH(B1418)/3,0)</f>
        <v>2026-Q3</v>
      </c>
      <c r="T1418" s="87" t="n">
        <f aca="false">IF(O1418&gt;0,Q1418/O1418,"")</f>
        <v>0.285714285714286</v>
      </c>
      <c r="U1418" s="84" t="n">
        <f aca="false">IF(O1418&gt;0,O1418,"")</f>
        <v>931</v>
      </c>
    </row>
    <row r="1419" customFormat="false" ht="15" hidden="false" customHeight="false" outlineLevel="0" collapsed="false">
      <c r="A1419" s="81" t="s">
        <v>2062</v>
      </c>
      <c r="B1419" s="82" t="n">
        <v>46275</v>
      </c>
      <c r="C1419" s="81" t="s">
        <v>262</v>
      </c>
      <c r="D1419" s="83" t="str">
        <f aca="false">IFERROR(INDEX(c_Name,MATCH($C1419,c_ID,0)),"غير معرّف")</f>
        <v>ناصر السبيعي</v>
      </c>
      <c r="E1419" s="83" t="str">
        <f aca="false">IFERROR(INDEX(c_Region,MATCH($C1419,c_ID,0)),"غير معرّف")</f>
        <v>الغربية</v>
      </c>
      <c r="F1419" s="81" t="s">
        <v>169</v>
      </c>
      <c r="G1419" s="83" t="str">
        <f aca="false">IFERROR(INDEX(p_Name,MATCH($F1419,p_ID,0)),"غير معرّف")</f>
        <v>خلاط</v>
      </c>
      <c r="H1419" s="83" t="str">
        <f aca="false">IFERROR(INDEX(p_Cat,MATCH($F1419,p_ID,0)),"غير معرّف")</f>
        <v>أجهزة منزلية</v>
      </c>
      <c r="I1419" s="81" t="s">
        <v>452</v>
      </c>
      <c r="J1419" s="81" t="s">
        <v>91</v>
      </c>
      <c r="K1419" s="81" t="n">
        <v>2</v>
      </c>
      <c r="L1419" s="84" t="n">
        <f aca="false">IFERROR(INDEX(p_Price,MATCH($F1419,p_ID,0)),0)</f>
        <v>300</v>
      </c>
      <c r="M1419" s="85" t="n">
        <v>0</v>
      </c>
      <c r="N1419" s="81" t="s">
        <v>644</v>
      </c>
      <c r="O1419" s="84" t="n">
        <f aca="false">IF($N1419="مرتجع",0,K1419*L1419*(1-M1419))</f>
        <v>600</v>
      </c>
      <c r="P1419" s="84" t="n">
        <f aca="false">IF($N1419="مرتجع",0,K1419*IFERROR(INDEX(p_Cost,MATCH($F1419,p_ID,0)),0))</f>
        <v>350</v>
      </c>
      <c r="Q1419" s="84" t="n">
        <f aca="false">O1419-P1419</f>
        <v>250</v>
      </c>
      <c r="R1419" s="86" t="n">
        <f aca="false">DATE(YEAR(B1419),MONTH(B1419),1)</f>
        <v>46266</v>
      </c>
      <c r="S1419" s="83" t="str">
        <f aca="false">YEAR(B1419)&amp;"-Q"&amp;ROUNDUP(MONTH(B1419)/3,0)</f>
        <v>2026-Q3</v>
      </c>
      <c r="T1419" s="87" t="n">
        <f aca="false">IF(O1419&gt;0,Q1419/O1419,"")</f>
        <v>0.416666666666667</v>
      </c>
      <c r="U1419" s="84" t="n">
        <f aca="false">IF(O1419&gt;0,O1419,"")</f>
        <v>600</v>
      </c>
    </row>
    <row r="1420" customFormat="false" ht="15" hidden="false" customHeight="false" outlineLevel="0" collapsed="false">
      <c r="A1420" s="81" t="s">
        <v>2063</v>
      </c>
      <c r="B1420" s="82" t="n">
        <v>46275</v>
      </c>
      <c r="C1420" s="81" t="s">
        <v>271</v>
      </c>
      <c r="D1420" s="83" t="str">
        <f aca="false">IFERROR(INDEX(c_Name,MATCH($C1420,c_ID,0)),"غير معرّف")</f>
        <v>أحمد الزهراني</v>
      </c>
      <c r="E1420" s="83" t="str">
        <f aca="false">IFERROR(INDEX(c_Region,MATCH($C1420,c_ID,0)),"غير معرّف")</f>
        <v>الغربية</v>
      </c>
      <c r="F1420" s="81" t="s">
        <v>179</v>
      </c>
      <c r="G1420" s="83" t="str">
        <f aca="false">IFERROR(INDEX(p_Name,MATCH($F1420,p_ID,0)),"غير معرّف")</f>
        <v>طقم أدوات مكتبية</v>
      </c>
      <c r="H1420" s="83" t="str">
        <f aca="false">IFERROR(INDEX(p_Cat,MATCH($F1420,p_ID,0)),"غير معرّف")</f>
        <v>مستلزمات مكتبية</v>
      </c>
      <c r="I1420" s="81" t="s">
        <v>458</v>
      </c>
      <c r="J1420" s="81" t="s">
        <v>91</v>
      </c>
      <c r="K1420" s="81" t="n">
        <v>1</v>
      </c>
      <c r="L1420" s="84" t="n">
        <f aca="false">IFERROR(INDEX(p_Price,MATCH($F1420,p_ID,0)),0)</f>
        <v>90</v>
      </c>
      <c r="M1420" s="85" t="n">
        <v>0.2</v>
      </c>
      <c r="N1420" s="81" t="s">
        <v>644</v>
      </c>
      <c r="O1420" s="84" t="n">
        <f aca="false">IF($N1420="مرتجع",0,K1420*L1420*(1-M1420))</f>
        <v>72</v>
      </c>
      <c r="P1420" s="84" t="n">
        <f aca="false">IF($N1420="مرتجع",0,K1420*IFERROR(INDEX(p_Cost,MATCH($F1420,p_ID,0)),0))</f>
        <v>45</v>
      </c>
      <c r="Q1420" s="84" t="n">
        <f aca="false">O1420-P1420</f>
        <v>27</v>
      </c>
      <c r="R1420" s="86" t="n">
        <f aca="false">DATE(YEAR(B1420),MONTH(B1420),1)</f>
        <v>46266</v>
      </c>
      <c r="S1420" s="83" t="str">
        <f aca="false">YEAR(B1420)&amp;"-Q"&amp;ROUNDUP(MONTH(B1420)/3,0)</f>
        <v>2026-Q3</v>
      </c>
      <c r="T1420" s="87" t="n">
        <f aca="false">IF(O1420&gt;0,Q1420/O1420,"")</f>
        <v>0.375</v>
      </c>
      <c r="U1420" s="84" t="n">
        <f aca="false">IF(O1420&gt;0,O1420,"")</f>
        <v>72</v>
      </c>
    </row>
    <row r="1421" customFormat="false" ht="15" hidden="false" customHeight="false" outlineLevel="0" collapsed="false">
      <c r="A1421" s="81" t="s">
        <v>2064</v>
      </c>
      <c r="B1421" s="82" t="n">
        <v>46276</v>
      </c>
      <c r="C1421" s="81" t="s">
        <v>266</v>
      </c>
      <c r="D1421" s="83" t="str">
        <f aca="false">IFERROR(INDEX(c_Name,MATCH($C1421,c_ID,0)),"غير معرّف")</f>
        <v>ياسر الشهري</v>
      </c>
      <c r="E1421" s="83" t="str">
        <f aca="false">IFERROR(INDEX(c_Region,MATCH($C1421,c_ID,0)),"غير معرّف")</f>
        <v>الوسطى</v>
      </c>
      <c r="F1421" s="81" t="s">
        <v>164</v>
      </c>
      <c r="G1421" s="83" t="str">
        <f aca="false">IFERROR(INDEX(p_Name,MATCH($F1421,p_ID,0)),"غير معرّف")</f>
        <v>هاتف ذكي</v>
      </c>
      <c r="H1421" s="83" t="str">
        <f aca="false">IFERROR(INDEX(p_Cat,MATCH($F1421,p_ID,0)),"غير معرّف")</f>
        <v>إلكترونيات</v>
      </c>
      <c r="I1421" s="81" t="s">
        <v>446</v>
      </c>
      <c r="J1421" s="81" t="s">
        <v>93</v>
      </c>
      <c r="K1421" s="81" t="n">
        <v>2</v>
      </c>
      <c r="L1421" s="84" t="n">
        <f aca="false">IFERROR(INDEX(p_Price,MATCH($F1421,p_ID,0)),0)</f>
        <v>2400</v>
      </c>
      <c r="M1421" s="85" t="n">
        <v>0</v>
      </c>
      <c r="N1421" s="81" t="s">
        <v>644</v>
      </c>
      <c r="O1421" s="84" t="n">
        <f aca="false">IF($N1421="مرتجع",0,K1421*L1421*(1-M1421))</f>
        <v>4800</v>
      </c>
      <c r="P1421" s="84" t="n">
        <f aca="false">IF($N1421="مرتجع",0,K1421*IFERROR(INDEX(p_Cost,MATCH($F1421,p_ID,0)),0))</f>
        <v>3500</v>
      </c>
      <c r="Q1421" s="84" t="n">
        <f aca="false">O1421-P1421</f>
        <v>1300</v>
      </c>
      <c r="R1421" s="86" t="n">
        <f aca="false">DATE(YEAR(B1421),MONTH(B1421),1)</f>
        <v>46266</v>
      </c>
      <c r="S1421" s="83" t="str">
        <f aca="false">YEAR(B1421)&amp;"-Q"&amp;ROUNDUP(MONTH(B1421)/3,0)</f>
        <v>2026-Q3</v>
      </c>
      <c r="T1421" s="87" t="n">
        <f aca="false">IF(O1421&gt;0,Q1421/O1421,"")</f>
        <v>0.270833333333333</v>
      </c>
      <c r="U1421" s="84" t="n">
        <f aca="false">IF(O1421&gt;0,O1421,"")</f>
        <v>4800</v>
      </c>
    </row>
    <row r="1422" customFormat="false" ht="15" hidden="false" customHeight="false" outlineLevel="0" collapsed="false">
      <c r="A1422" s="81" t="s">
        <v>2065</v>
      </c>
      <c r="B1422" s="82" t="n">
        <v>46276</v>
      </c>
      <c r="C1422" s="81" t="s">
        <v>306</v>
      </c>
      <c r="D1422" s="83" t="str">
        <f aca="false">IFERROR(INDEX(c_Name,MATCH($C1422,c_ID,0)),"غير معرّف")</f>
        <v>أحمد العنزي</v>
      </c>
      <c r="E1422" s="83" t="str">
        <f aca="false">IFERROR(INDEX(c_Region,MATCH($C1422,c_ID,0)),"غير معرّف")</f>
        <v>الغربية</v>
      </c>
      <c r="F1422" s="81" t="s">
        <v>176</v>
      </c>
      <c r="G1422" s="83" t="str">
        <f aca="false">IFERROR(INDEX(p_Name,MATCH($F1422,p_ID,0)),"غير معرّف")</f>
        <v>طابعة ليزر</v>
      </c>
      <c r="H1422" s="83" t="str">
        <f aca="false">IFERROR(INDEX(p_Cat,MATCH($F1422,p_ID,0)),"غير معرّف")</f>
        <v>مستلزمات مكتبية</v>
      </c>
      <c r="I1422" s="81" t="s">
        <v>452</v>
      </c>
      <c r="J1422" s="81" t="s">
        <v>91</v>
      </c>
      <c r="K1422" s="81" t="n">
        <v>1</v>
      </c>
      <c r="L1422" s="84" t="n">
        <f aca="false">IFERROR(INDEX(p_Price,MATCH($F1422,p_ID,0)),0)</f>
        <v>1300</v>
      </c>
      <c r="M1422" s="85" t="n">
        <v>0.05</v>
      </c>
      <c r="N1422" s="81" t="s">
        <v>644</v>
      </c>
      <c r="O1422" s="84" t="n">
        <f aca="false">IF($N1422="مرتجع",0,K1422*L1422*(1-M1422))</f>
        <v>1235</v>
      </c>
      <c r="P1422" s="84" t="n">
        <f aca="false">IF($N1422="مرتجع",0,K1422*IFERROR(INDEX(p_Cost,MATCH($F1422,p_ID,0)),0))</f>
        <v>950</v>
      </c>
      <c r="Q1422" s="84" t="n">
        <f aca="false">O1422-P1422</f>
        <v>285</v>
      </c>
      <c r="R1422" s="86" t="n">
        <f aca="false">DATE(YEAR(B1422),MONTH(B1422),1)</f>
        <v>46266</v>
      </c>
      <c r="S1422" s="83" t="str">
        <f aca="false">YEAR(B1422)&amp;"-Q"&amp;ROUNDUP(MONTH(B1422)/3,0)</f>
        <v>2026-Q3</v>
      </c>
      <c r="T1422" s="87" t="n">
        <f aca="false">IF(O1422&gt;0,Q1422/O1422,"")</f>
        <v>0.230769230769231</v>
      </c>
      <c r="U1422" s="84" t="n">
        <f aca="false">IF(O1422&gt;0,O1422,"")</f>
        <v>1235</v>
      </c>
    </row>
    <row r="1423" customFormat="false" ht="15" hidden="false" customHeight="false" outlineLevel="0" collapsed="false">
      <c r="A1423" s="81" t="s">
        <v>2066</v>
      </c>
      <c r="B1423" s="82" t="n">
        <v>46276</v>
      </c>
      <c r="C1423" s="81" t="s">
        <v>238</v>
      </c>
      <c r="D1423" s="83" t="str">
        <f aca="false">IFERROR(INDEX(c_Name,MATCH($C1423,c_ID,0)),"غير معرّف")</f>
        <v>سارة البلوي</v>
      </c>
      <c r="E1423" s="83" t="str">
        <f aca="false">IFERROR(INDEX(c_Region,MATCH($C1423,c_ID,0)),"غير معرّف")</f>
        <v>الغربية</v>
      </c>
      <c r="F1423" s="81" t="s">
        <v>165</v>
      </c>
      <c r="G1423" s="83" t="str">
        <f aca="false">IFERROR(INDEX(p_Name,MATCH($F1423,p_ID,0)),"غير معرّف")</f>
        <v>حاسوب محمول</v>
      </c>
      <c r="H1423" s="83" t="str">
        <f aca="false">IFERROR(INDEX(p_Cat,MATCH($F1423,p_ID,0)),"غير معرّف")</f>
        <v>إلكترونيات</v>
      </c>
      <c r="I1423" s="81" t="s">
        <v>452</v>
      </c>
      <c r="J1423" s="81" t="s">
        <v>91</v>
      </c>
      <c r="K1423" s="81" t="n">
        <v>1</v>
      </c>
      <c r="L1423" s="84" t="n">
        <f aca="false">IFERROR(INDEX(p_Price,MATCH($F1423,p_ID,0)),0)</f>
        <v>3800</v>
      </c>
      <c r="M1423" s="85" t="n">
        <v>0</v>
      </c>
      <c r="N1423" s="81" t="s">
        <v>644</v>
      </c>
      <c r="O1423" s="84" t="n">
        <f aca="false">IF($N1423="مرتجع",0,K1423*L1423*(1-M1423))</f>
        <v>3800</v>
      </c>
      <c r="P1423" s="84" t="n">
        <f aca="false">IF($N1423="مرتجع",0,K1423*IFERROR(INDEX(p_Cost,MATCH($F1423,p_ID,0)),0))</f>
        <v>2900</v>
      </c>
      <c r="Q1423" s="84" t="n">
        <f aca="false">O1423-P1423</f>
        <v>900</v>
      </c>
      <c r="R1423" s="86" t="n">
        <f aca="false">DATE(YEAR(B1423),MONTH(B1423),1)</f>
        <v>46266</v>
      </c>
      <c r="S1423" s="83" t="str">
        <f aca="false">YEAR(B1423)&amp;"-Q"&amp;ROUNDUP(MONTH(B1423)/3,0)</f>
        <v>2026-Q3</v>
      </c>
      <c r="T1423" s="87" t="n">
        <f aca="false">IF(O1423&gt;0,Q1423/O1423,"")</f>
        <v>0.236842105263158</v>
      </c>
      <c r="U1423" s="84" t="n">
        <f aca="false">IF(O1423&gt;0,O1423,"")</f>
        <v>3800</v>
      </c>
    </row>
    <row r="1424" customFormat="false" ht="15" hidden="false" customHeight="false" outlineLevel="0" collapsed="false">
      <c r="A1424" s="81" t="s">
        <v>2067</v>
      </c>
      <c r="B1424" s="82" t="n">
        <v>46276</v>
      </c>
      <c r="C1424" s="81" t="s">
        <v>365</v>
      </c>
      <c r="D1424" s="83" t="str">
        <f aca="false">IFERROR(INDEX(c_Name,MATCH($C1424,c_ID,0)),"غير معرّف")</f>
        <v>نورة الغامدي</v>
      </c>
      <c r="E1424" s="83" t="str">
        <f aca="false">IFERROR(INDEX(c_Region,MATCH($C1424,c_ID,0)),"غير معرّف")</f>
        <v>الوسطى</v>
      </c>
      <c r="F1424" s="81" t="s">
        <v>166</v>
      </c>
      <c r="G1424" s="83" t="str">
        <f aca="false">IFERROR(INDEX(p_Name,MATCH($F1424,p_ID,0)),"غير معرّف")</f>
        <v>سماعات لاسلكية</v>
      </c>
      <c r="H1424" s="83" t="str">
        <f aca="false">IFERROR(INDEX(p_Cat,MATCH($F1424,p_ID,0)),"غير معرّف")</f>
        <v>إلكترونيات</v>
      </c>
      <c r="I1424" s="81" t="s">
        <v>446</v>
      </c>
      <c r="J1424" s="81" t="s">
        <v>93</v>
      </c>
      <c r="K1424" s="81" t="n">
        <v>1</v>
      </c>
      <c r="L1424" s="84" t="n">
        <f aca="false">IFERROR(INDEX(p_Price,MATCH($F1424,p_ID,0)),0)</f>
        <v>450</v>
      </c>
      <c r="M1424" s="85" t="n">
        <v>0.05</v>
      </c>
      <c r="N1424" s="81" t="s">
        <v>644</v>
      </c>
      <c r="O1424" s="84" t="n">
        <f aca="false">IF($N1424="مرتجع",0,K1424*L1424*(1-M1424))</f>
        <v>427.5</v>
      </c>
      <c r="P1424" s="84" t="n">
        <f aca="false">IF($N1424="مرتجع",0,K1424*IFERROR(INDEX(p_Cost,MATCH($F1424,p_ID,0)),0))</f>
        <v>260</v>
      </c>
      <c r="Q1424" s="84" t="n">
        <f aca="false">O1424-P1424</f>
        <v>167.5</v>
      </c>
      <c r="R1424" s="86" t="n">
        <f aca="false">DATE(YEAR(B1424),MONTH(B1424),1)</f>
        <v>46266</v>
      </c>
      <c r="S1424" s="83" t="str">
        <f aca="false">YEAR(B1424)&amp;"-Q"&amp;ROUNDUP(MONTH(B1424)/3,0)</f>
        <v>2026-Q3</v>
      </c>
      <c r="T1424" s="87" t="n">
        <f aca="false">IF(O1424&gt;0,Q1424/O1424,"")</f>
        <v>0.391812865497076</v>
      </c>
      <c r="U1424" s="84" t="n">
        <f aca="false">IF(O1424&gt;0,O1424,"")</f>
        <v>427.5</v>
      </c>
    </row>
    <row r="1425" customFormat="false" ht="15" hidden="false" customHeight="false" outlineLevel="0" collapsed="false">
      <c r="A1425" s="81" t="s">
        <v>2068</v>
      </c>
      <c r="B1425" s="82" t="n">
        <v>46276</v>
      </c>
      <c r="C1425" s="81" t="s">
        <v>280</v>
      </c>
      <c r="D1425" s="83" t="str">
        <f aca="false">IFERROR(INDEX(c_Name,MATCH($C1425,c_ID,0)),"غير معرّف")</f>
        <v>سلمان المطيري</v>
      </c>
      <c r="E1425" s="83" t="str">
        <f aca="false">IFERROR(INDEX(c_Region,MATCH($C1425,c_ID,0)),"غير معرّف")</f>
        <v>الشرقية</v>
      </c>
      <c r="F1425" s="81" t="s">
        <v>184</v>
      </c>
      <c r="G1425" s="83" t="str">
        <f aca="false">IFERROR(INDEX(p_Name,MATCH($F1425,p_ID,0)),"غير معرّف")</f>
        <v>عطر فاخر</v>
      </c>
      <c r="H1425" s="83" t="str">
        <f aca="false">IFERROR(INDEX(p_Cat,MATCH($F1425,p_ID,0)),"غير معرّف")</f>
        <v>عناية شخصية</v>
      </c>
      <c r="I1425" s="81" t="s">
        <v>463</v>
      </c>
      <c r="J1425" s="81" t="s">
        <v>91</v>
      </c>
      <c r="K1425" s="81" t="n">
        <v>1</v>
      </c>
      <c r="L1425" s="84" t="n">
        <f aca="false">IFERROR(INDEX(p_Price,MATCH($F1425,p_ID,0)),0)</f>
        <v>520</v>
      </c>
      <c r="M1425" s="85" t="n">
        <v>0</v>
      </c>
      <c r="N1425" s="81" t="s">
        <v>644</v>
      </c>
      <c r="O1425" s="84" t="n">
        <f aca="false">IF($N1425="مرتجع",0,K1425*L1425*(1-M1425))</f>
        <v>520</v>
      </c>
      <c r="P1425" s="84" t="n">
        <f aca="false">IF($N1425="مرتجع",0,K1425*IFERROR(INDEX(p_Cost,MATCH($F1425,p_ID,0)),0))</f>
        <v>210</v>
      </c>
      <c r="Q1425" s="84" t="n">
        <f aca="false">O1425-P1425</f>
        <v>310</v>
      </c>
      <c r="R1425" s="86" t="n">
        <f aca="false">DATE(YEAR(B1425),MONTH(B1425),1)</f>
        <v>46266</v>
      </c>
      <c r="S1425" s="83" t="str">
        <f aca="false">YEAR(B1425)&amp;"-Q"&amp;ROUNDUP(MONTH(B1425)/3,0)</f>
        <v>2026-Q3</v>
      </c>
      <c r="T1425" s="87" t="n">
        <f aca="false">IF(O1425&gt;0,Q1425/O1425,"")</f>
        <v>0.596153846153846</v>
      </c>
      <c r="U1425" s="84" t="n">
        <f aca="false">IF(O1425&gt;0,O1425,"")</f>
        <v>520</v>
      </c>
    </row>
    <row r="1426" customFormat="false" ht="15" hidden="false" customHeight="false" outlineLevel="0" collapsed="false">
      <c r="A1426" s="81" t="s">
        <v>2069</v>
      </c>
      <c r="B1426" s="82" t="n">
        <v>46276</v>
      </c>
      <c r="C1426" s="81" t="s">
        <v>415</v>
      </c>
      <c r="D1426" s="83" t="str">
        <f aca="false">IFERROR(INDEX(c_Name,MATCH($C1426,c_ID,0)),"غير معرّف")</f>
        <v>سارة القحطاني</v>
      </c>
      <c r="E1426" s="83" t="str">
        <f aca="false">IFERROR(INDEX(c_Region,MATCH($C1426,c_ID,0)),"غير معرّف")</f>
        <v>الشرقية</v>
      </c>
      <c r="F1426" s="81" t="s">
        <v>183</v>
      </c>
      <c r="G1426" s="83" t="str">
        <f aca="false">IFERROR(INDEX(p_Name,MATCH($F1426,p_ID,0)),"غير معرّف")</f>
        <v>سجادة يوغا</v>
      </c>
      <c r="H1426" s="83" t="str">
        <f aca="false">IFERROR(INDEX(p_Cat,MATCH($F1426,p_ID,0)),"غير معرّف")</f>
        <v>رياضة</v>
      </c>
      <c r="I1426" s="81" t="s">
        <v>463</v>
      </c>
      <c r="J1426" s="81" t="s">
        <v>91</v>
      </c>
      <c r="K1426" s="81" t="n">
        <v>1</v>
      </c>
      <c r="L1426" s="84" t="n">
        <f aca="false">IFERROR(INDEX(p_Price,MATCH($F1426,p_ID,0)),0)</f>
        <v>120</v>
      </c>
      <c r="M1426" s="85" t="n">
        <v>0</v>
      </c>
      <c r="N1426" s="81" t="s">
        <v>644</v>
      </c>
      <c r="O1426" s="84" t="n">
        <f aca="false">IF($N1426="مرتجع",0,K1426*L1426*(1-M1426))</f>
        <v>120</v>
      </c>
      <c r="P1426" s="84" t="n">
        <f aca="false">IF($N1426="مرتجع",0,K1426*IFERROR(INDEX(p_Cost,MATCH($F1426,p_ID,0)),0))</f>
        <v>50</v>
      </c>
      <c r="Q1426" s="84" t="n">
        <f aca="false">O1426-P1426</f>
        <v>70</v>
      </c>
      <c r="R1426" s="86" t="n">
        <f aca="false">DATE(YEAR(B1426),MONTH(B1426),1)</f>
        <v>46266</v>
      </c>
      <c r="S1426" s="83" t="str">
        <f aca="false">YEAR(B1426)&amp;"-Q"&amp;ROUNDUP(MONTH(B1426)/3,0)</f>
        <v>2026-Q3</v>
      </c>
      <c r="T1426" s="87" t="n">
        <f aca="false">IF(O1426&gt;0,Q1426/O1426,"")</f>
        <v>0.583333333333333</v>
      </c>
      <c r="U1426" s="84" t="n">
        <f aca="false">IF(O1426&gt;0,O1426,"")</f>
        <v>120</v>
      </c>
    </row>
    <row r="1427" customFormat="false" ht="15" hidden="false" customHeight="false" outlineLevel="0" collapsed="false">
      <c r="A1427" s="81" t="s">
        <v>2070</v>
      </c>
      <c r="B1427" s="82" t="n">
        <v>46277</v>
      </c>
      <c r="C1427" s="81" t="s">
        <v>412</v>
      </c>
      <c r="D1427" s="83" t="str">
        <f aca="false">IFERROR(INDEX(c_Name,MATCH($C1427,c_ID,0)),"غير معرّف")</f>
        <v>سعد العتيبي</v>
      </c>
      <c r="E1427" s="83" t="str">
        <f aca="false">IFERROR(INDEX(c_Region,MATCH($C1427,c_ID,0)),"غير معرّف")</f>
        <v>الشرقية</v>
      </c>
      <c r="F1427" s="81" t="s">
        <v>177</v>
      </c>
      <c r="G1427" s="83" t="str">
        <f aca="false">IFERROR(INDEX(p_Name,MATCH($F1427,p_ID,0)),"غير معرّف")</f>
        <v>ورق A4 (صندوق)</v>
      </c>
      <c r="H1427" s="83" t="str">
        <f aca="false">IFERROR(INDEX(p_Cat,MATCH($F1427,p_ID,0)),"غير معرّف")</f>
        <v>مستلزمات مكتبية</v>
      </c>
      <c r="I1427" s="81" t="s">
        <v>461</v>
      </c>
      <c r="J1427" s="81" t="s">
        <v>93</v>
      </c>
      <c r="K1427" s="81" t="n">
        <v>2</v>
      </c>
      <c r="L1427" s="84" t="n">
        <f aca="false">IFERROR(INDEX(p_Price,MATCH($F1427,p_ID,0)),0)</f>
        <v>140</v>
      </c>
      <c r="M1427" s="85" t="n">
        <v>0</v>
      </c>
      <c r="N1427" s="81" t="s">
        <v>644</v>
      </c>
      <c r="O1427" s="84" t="n">
        <f aca="false">IF($N1427="مرتجع",0,K1427*L1427*(1-M1427))</f>
        <v>280</v>
      </c>
      <c r="P1427" s="84" t="n">
        <f aca="false">IF($N1427="مرتجع",0,K1427*IFERROR(INDEX(p_Cost,MATCH($F1427,p_ID,0)),0))</f>
        <v>190</v>
      </c>
      <c r="Q1427" s="84" t="n">
        <f aca="false">O1427-P1427</f>
        <v>90</v>
      </c>
      <c r="R1427" s="86" t="n">
        <f aca="false">DATE(YEAR(B1427),MONTH(B1427),1)</f>
        <v>46266</v>
      </c>
      <c r="S1427" s="83" t="str">
        <f aca="false">YEAR(B1427)&amp;"-Q"&amp;ROUNDUP(MONTH(B1427)/3,0)</f>
        <v>2026-Q3</v>
      </c>
      <c r="T1427" s="87" t="n">
        <f aca="false">IF(O1427&gt;0,Q1427/O1427,"")</f>
        <v>0.321428571428571</v>
      </c>
      <c r="U1427" s="84" t="n">
        <f aca="false">IF(O1427&gt;0,O1427,"")</f>
        <v>280</v>
      </c>
    </row>
    <row r="1428" customFormat="false" ht="15" hidden="false" customHeight="false" outlineLevel="0" collapsed="false">
      <c r="A1428" s="81" t="s">
        <v>2071</v>
      </c>
      <c r="B1428" s="82" t="n">
        <v>46277</v>
      </c>
      <c r="C1428" s="81" t="s">
        <v>345</v>
      </c>
      <c r="D1428" s="83" t="str">
        <f aca="false">IFERROR(INDEX(c_Name,MATCH($C1428,c_ID,0)),"غير معرّف")</f>
        <v>عبدالله العنزي</v>
      </c>
      <c r="E1428" s="83" t="str">
        <f aca="false">IFERROR(INDEX(c_Region,MATCH($C1428,c_ID,0)),"غير معرّف")</f>
        <v>الغربية</v>
      </c>
      <c r="F1428" s="81" t="s">
        <v>170</v>
      </c>
      <c r="G1428" s="83" t="str">
        <f aca="false">IFERROR(INDEX(p_Name,MATCH($F1428,p_ID,0)),"غير معرّف")</f>
        <v>مكيف نقال</v>
      </c>
      <c r="H1428" s="83" t="str">
        <f aca="false">IFERROR(INDEX(p_Cat,MATCH($F1428,p_ID,0)),"غير معرّف")</f>
        <v>أجهزة منزلية</v>
      </c>
      <c r="I1428" s="81" t="s">
        <v>452</v>
      </c>
      <c r="J1428" s="81" t="s">
        <v>93</v>
      </c>
      <c r="K1428" s="81" t="n">
        <v>1</v>
      </c>
      <c r="L1428" s="84" t="n">
        <f aca="false">IFERROR(INDEX(p_Price,MATCH($F1428,p_ID,0)),0)</f>
        <v>1900</v>
      </c>
      <c r="M1428" s="85" t="n">
        <v>0.15</v>
      </c>
      <c r="N1428" s="81" t="s">
        <v>644</v>
      </c>
      <c r="O1428" s="84" t="n">
        <f aca="false">IF($N1428="مرتجع",0,K1428*L1428*(1-M1428))</f>
        <v>1615</v>
      </c>
      <c r="P1428" s="84" t="n">
        <f aca="false">IF($N1428="مرتجع",0,K1428*IFERROR(INDEX(p_Cost,MATCH($F1428,p_ID,0)),0))</f>
        <v>1350</v>
      </c>
      <c r="Q1428" s="84" t="n">
        <f aca="false">O1428-P1428</f>
        <v>265</v>
      </c>
      <c r="R1428" s="86" t="n">
        <f aca="false">DATE(YEAR(B1428),MONTH(B1428),1)</f>
        <v>46266</v>
      </c>
      <c r="S1428" s="83" t="str">
        <f aca="false">YEAR(B1428)&amp;"-Q"&amp;ROUNDUP(MONTH(B1428)/3,0)</f>
        <v>2026-Q3</v>
      </c>
      <c r="T1428" s="87" t="n">
        <f aca="false">IF(O1428&gt;0,Q1428/O1428,"")</f>
        <v>0.164086687306502</v>
      </c>
      <c r="U1428" s="84" t="n">
        <f aca="false">IF(O1428&gt;0,O1428,"")</f>
        <v>1615</v>
      </c>
    </row>
    <row r="1429" customFormat="false" ht="15" hidden="false" customHeight="false" outlineLevel="0" collapsed="false">
      <c r="A1429" s="81" t="s">
        <v>2072</v>
      </c>
      <c r="B1429" s="82" t="n">
        <v>46277</v>
      </c>
      <c r="C1429" s="81" t="s">
        <v>341</v>
      </c>
      <c r="D1429" s="83" t="str">
        <f aca="false">IFERROR(INDEX(c_Name,MATCH($C1429,c_ID,0)),"غير معرّف")</f>
        <v>منى الحسيني</v>
      </c>
      <c r="E1429" s="83" t="str">
        <f aca="false">IFERROR(INDEX(c_Region,MATCH($C1429,c_ID,0)),"غير معرّف")</f>
        <v>الجنوبية</v>
      </c>
      <c r="F1429" s="81" t="s">
        <v>173</v>
      </c>
      <c r="G1429" s="83" t="str">
        <f aca="false">IFERROR(INDEX(p_Name,MATCH($F1429,p_ID,0)),"غير معرّف")</f>
        <v>كرسي مريح</v>
      </c>
      <c r="H1429" s="83" t="str">
        <f aca="false">IFERROR(INDEX(p_Cat,MATCH($F1429,p_ID,0)),"غير معرّف")</f>
        <v>أثاث</v>
      </c>
      <c r="I1429" s="81" t="s">
        <v>465</v>
      </c>
      <c r="J1429" s="81" t="s">
        <v>91</v>
      </c>
      <c r="K1429" s="81" t="n">
        <v>1</v>
      </c>
      <c r="L1429" s="84" t="n">
        <f aca="false">IFERROR(INDEX(p_Price,MATCH($F1429,p_ID,0)),0)</f>
        <v>850</v>
      </c>
      <c r="M1429" s="85" t="n">
        <v>0.05</v>
      </c>
      <c r="N1429" s="81" t="s">
        <v>644</v>
      </c>
      <c r="O1429" s="84" t="n">
        <f aca="false">IF($N1429="مرتجع",0,K1429*L1429*(1-M1429))</f>
        <v>807.5</v>
      </c>
      <c r="P1429" s="84" t="n">
        <f aca="false">IF($N1429="مرتجع",0,K1429*IFERROR(INDEX(p_Cost,MATCH($F1429,p_ID,0)),0))</f>
        <v>480</v>
      </c>
      <c r="Q1429" s="84" t="n">
        <f aca="false">O1429-P1429</f>
        <v>327.5</v>
      </c>
      <c r="R1429" s="86" t="n">
        <f aca="false">DATE(YEAR(B1429),MONTH(B1429),1)</f>
        <v>46266</v>
      </c>
      <c r="S1429" s="83" t="str">
        <f aca="false">YEAR(B1429)&amp;"-Q"&amp;ROUNDUP(MONTH(B1429)/3,0)</f>
        <v>2026-Q3</v>
      </c>
      <c r="T1429" s="87" t="n">
        <f aca="false">IF(O1429&gt;0,Q1429/O1429,"")</f>
        <v>0.405572755417957</v>
      </c>
      <c r="U1429" s="84" t="n">
        <f aca="false">IF(O1429&gt;0,O1429,"")</f>
        <v>807.5</v>
      </c>
    </row>
    <row r="1430" customFormat="false" ht="15" hidden="false" customHeight="false" outlineLevel="0" collapsed="false">
      <c r="A1430" s="81" t="s">
        <v>2073</v>
      </c>
      <c r="B1430" s="82" t="n">
        <v>46277</v>
      </c>
      <c r="C1430" s="81" t="s">
        <v>257</v>
      </c>
      <c r="D1430" s="83" t="str">
        <f aca="false">IFERROR(INDEX(c_Name,MATCH($C1430,c_ID,0)),"غير معرّف")</f>
        <v>عبير السبيعي</v>
      </c>
      <c r="E1430" s="83" t="str">
        <f aca="false">IFERROR(INDEX(c_Region,MATCH($C1430,c_ID,0)),"غير معرّف")</f>
        <v>الغربية</v>
      </c>
      <c r="F1430" s="81" t="s">
        <v>166</v>
      </c>
      <c r="G1430" s="83" t="str">
        <f aca="false">IFERROR(INDEX(p_Name,MATCH($F1430,p_ID,0)),"غير معرّف")</f>
        <v>سماعات لاسلكية</v>
      </c>
      <c r="H1430" s="83" t="str">
        <f aca="false">IFERROR(INDEX(p_Cat,MATCH($F1430,p_ID,0)),"غير معرّف")</f>
        <v>إلكترونيات</v>
      </c>
      <c r="I1430" s="81" t="s">
        <v>452</v>
      </c>
      <c r="J1430" s="81" t="s">
        <v>93</v>
      </c>
      <c r="K1430" s="81" t="n">
        <v>2</v>
      </c>
      <c r="L1430" s="84" t="n">
        <f aca="false">IFERROR(INDEX(p_Price,MATCH($F1430,p_ID,0)),0)</f>
        <v>450</v>
      </c>
      <c r="M1430" s="85" t="n">
        <v>0.05</v>
      </c>
      <c r="N1430" s="81" t="s">
        <v>650</v>
      </c>
      <c r="O1430" s="84" t="n">
        <f aca="false">IF($N1430="مرتجع",0,K1430*L1430*(1-M1430))</f>
        <v>0</v>
      </c>
      <c r="P1430" s="84" t="n">
        <f aca="false">IF($N1430="مرتجع",0,K1430*IFERROR(INDEX(p_Cost,MATCH($F1430,p_ID,0)),0))</f>
        <v>0</v>
      </c>
      <c r="Q1430" s="84" t="n">
        <f aca="false">O1430-P1430</f>
        <v>0</v>
      </c>
      <c r="R1430" s="86" t="n">
        <f aca="false">DATE(YEAR(B1430),MONTH(B1430),1)</f>
        <v>46266</v>
      </c>
      <c r="S1430" s="83" t="str">
        <f aca="false">YEAR(B1430)&amp;"-Q"&amp;ROUNDUP(MONTH(B1430)/3,0)</f>
        <v>2026-Q3</v>
      </c>
      <c r="T1430" s="87" t="str">
        <f aca="false">IF(O1430&gt;0,Q1430/O1430,"")</f>
        <v/>
      </c>
      <c r="U1430" s="84" t="str">
        <f aca="false">IF(O1430&gt;0,O1430,"")</f>
        <v/>
      </c>
    </row>
    <row r="1431" customFormat="false" ht="15" hidden="false" customHeight="false" outlineLevel="0" collapsed="false">
      <c r="A1431" s="81" t="s">
        <v>2074</v>
      </c>
      <c r="B1431" s="82" t="n">
        <v>46277</v>
      </c>
      <c r="C1431" s="81" t="s">
        <v>426</v>
      </c>
      <c r="D1431" s="83" t="str">
        <f aca="false">IFERROR(INDEX(c_Name,MATCH($C1431,c_ID,0)),"غير معرّف")</f>
        <v>لمى البلوي</v>
      </c>
      <c r="E1431" s="83" t="str">
        <f aca="false">IFERROR(INDEX(c_Region,MATCH($C1431,c_ID,0)),"غير معرّف")</f>
        <v>الشرقية</v>
      </c>
      <c r="F1431" s="81" t="s">
        <v>167</v>
      </c>
      <c r="G1431" s="83" t="str">
        <f aca="false">IFERROR(INDEX(p_Name,MATCH($F1431,p_ID,0)),"غير معرّف")</f>
        <v>شاشة 27 بوصة</v>
      </c>
      <c r="H1431" s="83" t="str">
        <f aca="false">IFERROR(INDEX(p_Cat,MATCH($F1431,p_ID,0)),"غير معرّف")</f>
        <v>إلكترونيات</v>
      </c>
      <c r="I1431" s="81" t="s">
        <v>463</v>
      </c>
      <c r="J1431" s="81" t="s">
        <v>91</v>
      </c>
      <c r="K1431" s="81" t="n">
        <v>1</v>
      </c>
      <c r="L1431" s="84" t="n">
        <f aca="false">IFERROR(INDEX(p_Price,MATCH($F1431,p_ID,0)),0)</f>
        <v>1100</v>
      </c>
      <c r="M1431" s="85" t="n">
        <v>0.2</v>
      </c>
      <c r="N1431" s="81" t="s">
        <v>644</v>
      </c>
      <c r="O1431" s="84" t="n">
        <f aca="false">IF($N1431="مرتجع",0,K1431*L1431*(1-M1431))</f>
        <v>880</v>
      </c>
      <c r="P1431" s="84" t="n">
        <f aca="false">IF($N1431="مرتجع",0,K1431*IFERROR(INDEX(p_Cost,MATCH($F1431,p_ID,0)),0))</f>
        <v>780</v>
      </c>
      <c r="Q1431" s="84" t="n">
        <f aca="false">O1431-P1431</f>
        <v>100</v>
      </c>
      <c r="R1431" s="86" t="n">
        <f aca="false">DATE(YEAR(B1431),MONTH(B1431),1)</f>
        <v>46266</v>
      </c>
      <c r="S1431" s="83" t="str">
        <f aca="false">YEAR(B1431)&amp;"-Q"&amp;ROUNDUP(MONTH(B1431)/3,0)</f>
        <v>2026-Q3</v>
      </c>
      <c r="T1431" s="87" t="n">
        <f aca="false">IF(O1431&gt;0,Q1431/O1431,"")</f>
        <v>0.113636363636364</v>
      </c>
      <c r="U1431" s="84" t="n">
        <f aca="false">IF(O1431&gt;0,O1431,"")</f>
        <v>880</v>
      </c>
    </row>
    <row r="1432" customFormat="false" ht="15" hidden="false" customHeight="false" outlineLevel="0" collapsed="false">
      <c r="A1432" s="81" t="s">
        <v>2075</v>
      </c>
      <c r="B1432" s="82" t="n">
        <v>46278</v>
      </c>
      <c r="C1432" s="81" t="s">
        <v>335</v>
      </c>
      <c r="D1432" s="83" t="str">
        <f aca="false">IFERROR(INDEX(c_Name,MATCH($C1432,c_ID,0)),"غير معرّف")</f>
        <v>نورة الحربي</v>
      </c>
      <c r="E1432" s="83" t="str">
        <f aca="false">IFERROR(INDEX(c_Region,MATCH($C1432,c_ID,0)),"غير معرّف")</f>
        <v>الشرقية</v>
      </c>
      <c r="F1432" s="81" t="s">
        <v>182</v>
      </c>
      <c r="G1432" s="83" t="str">
        <f aca="false">IFERROR(INDEX(p_Name,MATCH($F1432,p_ID,0)),"غير معرّف")</f>
        <v>طقم أوزان</v>
      </c>
      <c r="H1432" s="83" t="str">
        <f aca="false">IFERROR(INDEX(p_Cat,MATCH($F1432,p_ID,0)),"غير معرّف")</f>
        <v>رياضة</v>
      </c>
      <c r="I1432" s="81" t="s">
        <v>461</v>
      </c>
      <c r="J1432" s="81" t="s">
        <v>93</v>
      </c>
      <c r="K1432" s="81" t="n">
        <v>4</v>
      </c>
      <c r="L1432" s="84" t="n">
        <f aca="false">IFERROR(INDEX(p_Price,MATCH($F1432,p_ID,0)),0)</f>
        <v>380</v>
      </c>
      <c r="M1432" s="85" t="n">
        <v>0</v>
      </c>
      <c r="N1432" s="81" t="s">
        <v>644</v>
      </c>
      <c r="O1432" s="84" t="n">
        <f aca="false">IF($N1432="مرتجع",0,K1432*L1432*(1-M1432))</f>
        <v>1520</v>
      </c>
      <c r="P1432" s="84" t="n">
        <f aca="false">IF($N1432="مرتجع",0,K1432*IFERROR(INDEX(p_Cost,MATCH($F1432,p_ID,0)),0))</f>
        <v>840</v>
      </c>
      <c r="Q1432" s="84" t="n">
        <f aca="false">O1432-P1432</f>
        <v>680</v>
      </c>
      <c r="R1432" s="86" t="n">
        <f aca="false">DATE(YEAR(B1432),MONTH(B1432),1)</f>
        <v>46266</v>
      </c>
      <c r="S1432" s="83" t="str">
        <f aca="false">YEAR(B1432)&amp;"-Q"&amp;ROUNDUP(MONTH(B1432)/3,0)</f>
        <v>2026-Q3</v>
      </c>
      <c r="T1432" s="87" t="n">
        <f aca="false">IF(O1432&gt;0,Q1432/O1432,"")</f>
        <v>0.447368421052632</v>
      </c>
      <c r="U1432" s="84" t="n">
        <f aca="false">IF(O1432&gt;0,O1432,"")</f>
        <v>1520</v>
      </c>
    </row>
    <row r="1433" customFormat="false" ht="15" hidden="false" customHeight="false" outlineLevel="0" collapsed="false">
      <c r="A1433" s="81" t="s">
        <v>2076</v>
      </c>
      <c r="B1433" s="82" t="n">
        <v>46278</v>
      </c>
      <c r="C1433" s="81" t="s">
        <v>279</v>
      </c>
      <c r="D1433" s="83" t="str">
        <f aca="false">IFERROR(INDEX(c_Name,MATCH($C1433,c_ID,0)),"غير معرّف")</f>
        <v>لمى القحطاني</v>
      </c>
      <c r="E1433" s="83" t="str">
        <f aca="false">IFERROR(INDEX(c_Region,MATCH($C1433,c_ID,0)),"غير معرّف")</f>
        <v>الجنوبية</v>
      </c>
      <c r="F1433" s="81" t="s">
        <v>167</v>
      </c>
      <c r="G1433" s="83" t="str">
        <f aca="false">IFERROR(INDEX(p_Name,MATCH($F1433,p_ID,0)),"غير معرّف")</f>
        <v>شاشة 27 بوصة</v>
      </c>
      <c r="H1433" s="83" t="str">
        <f aca="false">IFERROR(INDEX(p_Cat,MATCH($F1433,p_ID,0)),"غير معرّف")</f>
        <v>إلكترونيات</v>
      </c>
      <c r="I1433" s="81" t="s">
        <v>467</v>
      </c>
      <c r="J1433" s="81" t="s">
        <v>91</v>
      </c>
      <c r="K1433" s="81" t="n">
        <v>2</v>
      </c>
      <c r="L1433" s="84" t="n">
        <f aca="false">IFERROR(INDEX(p_Price,MATCH($F1433,p_ID,0)),0)</f>
        <v>1100</v>
      </c>
      <c r="M1433" s="85" t="n">
        <v>0.1</v>
      </c>
      <c r="N1433" s="81" t="s">
        <v>644</v>
      </c>
      <c r="O1433" s="84" t="n">
        <f aca="false">IF($N1433="مرتجع",0,K1433*L1433*(1-M1433))</f>
        <v>1980</v>
      </c>
      <c r="P1433" s="84" t="n">
        <f aca="false">IF($N1433="مرتجع",0,K1433*IFERROR(INDEX(p_Cost,MATCH($F1433,p_ID,0)),0))</f>
        <v>1560</v>
      </c>
      <c r="Q1433" s="84" t="n">
        <f aca="false">O1433-P1433</f>
        <v>420</v>
      </c>
      <c r="R1433" s="86" t="n">
        <f aca="false">DATE(YEAR(B1433),MONTH(B1433),1)</f>
        <v>46266</v>
      </c>
      <c r="S1433" s="83" t="str">
        <f aca="false">YEAR(B1433)&amp;"-Q"&amp;ROUNDUP(MONTH(B1433)/3,0)</f>
        <v>2026-Q3</v>
      </c>
      <c r="T1433" s="87" t="n">
        <f aca="false">IF(O1433&gt;0,Q1433/O1433,"")</f>
        <v>0.212121212121212</v>
      </c>
      <c r="U1433" s="84" t="n">
        <f aca="false">IF(O1433&gt;0,O1433,"")</f>
        <v>1980</v>
      </c>
    </row>
    <row r="1434" customFormat="false" ht="15" hidden="false" customHeight="false" outlineLevel="0" collapsed="false">
      <c r="A1434" s="81" t="s">
        <v>2077</v>
      </c>
      <c r="B1434" s="82" t="n">
        <v>46279</v>
      </c>
      <c r="C1434" s="81" t="s">
        <v>361</v>
      </c>
      <c r="D1434" s="83" t="str">
        <f aca="false">IFERROR(INDEX(c_Name,MATCH($C1434,c_ID,0)),"غير معرّف")</f>
        <v>دانة المطيري</v>
      </c>
      <c r="E1434" s="83" t="str">
        <f aca="false">IFERROR(INDEX(c_Region,MATCH($C1434,c_ID,0)),"غير معرّف")</f>
        <v>الشرقية</v>
      </c>
      <c r="F1434" s="81" t="s">
        <v>164</v>
      </c>
      <c r="G1434" s="83" t="str">
        <f aca="false">IFERROR(INDEX(p_Name,MATCH($F1434,p_ID,0)),"غير معرّف")</f>
        <v>هاتف ذكي</v>
      </c>
      <c r="H1434" s="83" t="str">
        <f aca="false">IFERROR(INDEX(p_Cat,MATCH($F1434,p_ID,0)),"غير معرّف")</f>
        <v>إلكترونيات</v>
      </c>
      <c r="I1434" s="81" t="s">
        <v>461</v>
      </c>
      <c r="J1434" s="81" t="s">
        <v>93</v>
      </c>
      <c r="K1434" s="81" t="n">
        <v>1</v>
      </c>
      <c r="L1434" s="84" t="n">
        <f aca="false">IFERROR(INDEX(p_Price,MATCH($F1434,p_ID,0)),0)</f>
        <v>2400</v>
      </c>
      <c r="M1434" s="85" t="n">
        <v>0.05</v>
      </c>
      <c r="N1434" s="81" t="s">
        <v>644</v>
      </c>
      <c r="O1434" s="84" t="n">
        <f aca="false">IF($N1434="مرتجع",0,K1434*L1434*(1-M1434))</f>
        <v>2280</v>
      </c>
      <c r="P1434" s="84" t="n">
        <f aca="false">IF($N1434="مرتجع",0,K1434*IFERROR(INDEX(p_Cost,MATCH($F1434,p_ID,0)),0))</f>
        <v>1750</v>
      </c>
      <c r="Q1434" s="84" t="n">
        <f aca="false">O1434-P1434</f>
        <v>530</v>
      </c>
      <c r="R1434" s="86" t="n">
        <f aca="false">DATE(YEAR(B1434),MONTH(B1434),1)</f>
        <v>46266</v>
      </c>
      <c r="S1434" s="83" t="str">
        <f aca="false">YEAR(B1434)&amp;"-Q"&amp;ROUNDUP(MONTH(B1434)/3,0)</f>
        <v>2026-Q3</v>
      </c>
      <c r="T1434" s="87" t="n">
        <f aca="false">IF(O1434&gt;0,Q1434/O1434,"")</f>
        <v>0.232456140350877</v>
      </c>
      <c r="U1434" s="84" t="n">
        <f aca="false">IF(O1434&gt;0,O1434,"")</f>
        <v>2280</v>
      </c>
    </row>
    <row r="1435" customFormat="false" ht="15" hidden="false" customHeight="false" outlineLevel="0" collapsed="false">
      <c r="A1435" s="81" t="s">
        <v>2078</v>
      </c>
      <c r="B1435" s="82" t="n">
        <v>46279</v>
      </c>
      <c r="C1435" s="81" t="s">
        <v>250</v>
      </c>
      <c r="D1435" s="83" t="str">
        <f aca="false">IFERROR(INDEX(c_Name,MATCH($C1435,c_ID,0)),"غير معرّف")</f>
        <v>ليلى المطيري</v>
      </c>
      <c r="E1435" s="83" t="str">
        <f aca="false">IFERROR(INDEX(c_Region,MATCH($C1435,c_ID,0)),"غير معرّف")</f>
        <v>الغربية</v>
      </c>
      <c r="F1435" s="81" t="s">
        <v>172</v>
      </c>
      <c r="G1435" s="83" t="str">
        <f aca="false">IFERROR(INDEX(p_Name,MATCH($F1435,p_ID,0)),"غير معرّف")</f>
        <v>مكتب عمل</v>
      </c>
      <c r="H1435" s="83" t="str">
        <f aca="false">IFERROR(INDEX(p_Cat,MATCH($F1435,p_ID,0)),"غير معرّف")</f>
        <v>أثاث</v>
      </c>
      <c r="I1435" s="81" t="s">
        <v>455</v>
      </c>
      <c r="J1435" s="81" t="s">
        <v>95</v>
      </c>
      <c r="K1435" s="81" t="n">
        <v>2</v>
      </c>
      <c r="L1435" s="84" t="n">
        <f aca="false">IFERROR(INDEX(p_Price,MATCH($F1435,p_ID,0)),0)</f>
        <v>1200</v>
      </c>
      <c r="M1435" s="85" t="n">
        <v>0.15</v>
      </c>
      <c r="N1435" s="81" t="s">
        <v>650</v>
      </c>
      <c r="O1435" s="84" t="n">
        <f aca="false">IF($N1435="مرتجع",0,K1435*L1435*(1-M1435))</f>
        <v>0</v>
      </c>
      <c r="P1435" s="84" t="n">
        <f aca="false">IF($N1435="مرتجع",0,K1435*IFERROR(INDEX(p_Cost,MATCH($F1435,p_ID,0)),0))</f>
        <v>0</v>
      </c>
      <c r="Q1435" s="84" t="n">
        <f aca="false">O1435-P1435</f>
        <v>0</v>
      </c>
      <c r="R1435" s="86" t="n">
        <f aca="false">DATE(YEAR(B1435),MONTH(B1435),1)</f>
        <v>46266</v>
      </c>
      <c r="S1435" s="83" t="str">
        <f aca="false">YEAR(B1435)&amp;"-Q"&amp;ROUNDUP(MONTH(B1435)/3,0)</f>
        <v>2026-Q3</v>
      </c>
      <c r="T1435" s="87" t="str">
        <f aca="false">IF(O1435&gt;0,Q1435/O1435,"")</f>
        <v/>
      </c>
      <c r="U1435" s="84" t="str">
        <f aca="false">IF(O1435&gt;0,O1435,"")</f>
        <v/>
      </c>
    </row>
    <row r="1436" customFormat="false" ht="15" hidden="false" customHeight="false" outlineLevel="0" collapsed="false">
      <c r="A1436" s="81" t="s">
        <v>2079</v>
      </c>
      <c r="B1436" s="82" t="n">
        <v>46279</v>
      </c>
      <c r="C1436" s="81" t="s">
        <v>404</v>
      </c>
      <c r="D1436" s="83" t="str">
        <f aca="false">IFERROR(INDEX(c_Name,MATCH($C1436,c_ID,0)),"غير معرّف")</f>
        <v>عبدالله الحسيني</v>
      </c>
      <c r="E1436" s="83" t="str">
        <f aca="false">IFERROR(INDEX(c_Region,MATCH($C1436,c_ID,0)),"غير معرّف")</f>
        <v>الشرقية</v>
      </c>
      <c r="F1436" s="81" t="s">
        <v>170</v>
      </c>
      <c r="G1436" s="83" t="str">
        <f aca="false">IFERROR(INDEX(p_Name,MATCH($F1436,p_ID,0)),"غير معرّف")</f>
        <v>مكيف نقال</v>
      </c>
      <c r="H1436" s="83" t="str">
        <f aca="false">IFERROR(INDEX(p_Cat,MATCH($F1436,p_ID,0)),"غير معرّف")</f>
        <v>أجهزة منزلية</v>
      </c>
      <c r="I1436" s="81" t="s">
        <v>463</v>
      </c>
      <c r="J1436" s="81" t="s">
        <v>93</v>
      </c>
      <c r="K1436" s="81" t="n">
        <v>1</v>
      </c>
      <c r="L1436" s="84" t="n">
        <f aca="false">IFERROR(INDEX(p_Price,MATCH($F1436,p_ID,0)),0)</f>
        <v>1900</v>
      </c>
      <c r="M1436" s="85" t="n">
        <v>0</v>
      </c>
      <c r="N1436" s="81" t="s">
        <v>644</v>
      </c>
      <c r="O1436" s="84" t="n">
        <f aca="false">IF($N1436="مرتجع",0,K1436*L1436*(1-M1436))</f>
        <v>1900</v>
      </c>
      <c r="P1436" s="84" t="n">
        <f aca="false">IF($N1436="مرتجع",0,K1436*IFERROR(INDEX(p_Cost,MATCH($F1436,p_ID,0)),0))</f>
        <v>1350</v>
      </c>
      <c r="Q1436" s="84" t="n">
        <f aca="false">O1436-P1436</f>
        <v>550</v>
      </c>
      <c r="R1436" s="86" t="n">
        <f aca="false">DATE(YEAR(B1436),MONTH(B1436),1)</f>
        <v>46266</v>
      </c>
      <c r="S1436" s="83" t="str">
        <f aca="false">YEAR(B1436)&amp;"-Q"&amp;ROUNDUP(MONTH(B1436)/3,0)</f>
        <v>2026-Q3</v>
      </c>
      <c r="T1436" s="87" t="n">
        <f aca="false">IF(O1436&gt;0,Q1436/O1436,"")</f>
        <v>0.289473684210526</v>
      </c>
      <c r="U1436" s="84" t="n">
        <f aca="false">IF(O1436&gt;0,O1436,"")</f>
        <v>1900</v>
      </c>
    </row>
    <row r="1437" customFormat="false" ht="15" hidden="false" customHeight="false" outlineLevel="0" collapsed="false">
      <c r="A1437" s="81" t="s">
        <v>2080</v>
      </c>
      <c r="B1437" s="82" t="n">
        <v>46279</v>
      </c>
      <c r="C1437" s="81" t="s">
        <v>270</v>
      </c>
      <c r="D1437" s="83" t="str">
        <f aca="false">IFERROR(INDEX(c_Name,MATCH($C1437,c_ID,0)),"غير معرّف")</f>
        <v>ريم التميمي</v>
      </c>
      <c r="E1437" s="83" t="str">
        <f aca="false">IFERROR(INDEX(c_Region,MATCH($C1437,c_ID,0)),"غير معرّف")</f>
        <v>الشرقية</v>
      </c>
      <c r="F1437" s="81" t="s">
        <v>165</v>
      </c>
      <c r="G1437" s="83" t="str">
        <f aca="false">IFERROR(INDEX(p_Name,MATCH($F1437,p_ID,0)),"غير معرّف")</f>
        <v>حاسوب محمول</v>
      </c>
      <c r="H1437" s="83" t="str">
        <f aca="false">IFERROR(INDEX(p_Cat,MATCH($F1437,p_ID,0)),"غير معرّف")</f>
        <v>إلكترونيات</v>
      </c>
      <c r="I1437" s="81" t="s">
        <v>461</v>
      </c>
      <c r="J1437" s="81" t="s">
        <v>91</v>
      </c>
      <c r="K1437" s="81" t="n">
        <v>1</v>
      </c>
      <c r="L1437" s="84" t="n">
        <f aca="false">IFERROR(INDEX(p_Price,MATCH($F1437,p_ID,0)),0)</f>
        <v>3800</v>
      </c>
      <c r="M1437" s="85" t="n">
        <v>0.1</v>
      </c>
      <c r="N1437" s="81" t="s">
        <v>644</v>
      </c>
      <c r="O1437" s="84" t="n">
        <f aca="false">IF($N1437="مرتجع",0,K1437*L1437*(1-M1437))</f>
        <v>3420</v>
      </c>
      <c r="P1437" s="84" t="n">
        <f aca="false">IF($N1437="مرتجع",0,K1437*IFERROR(INDEX(p_Cost,MATCH($F1437,p_ID,0)),0))</f>
        <v>2900</v>
      </c>
      <c r="Q1437" s="84" t="n">
        <f aca="false">O1437-P1437</f>
        <v>520</v>
      </c>
      <c r="R1437" s="86" t="n">
        <f aca="false">DATE(YEAR(B1437),MONTH(B1437),1)</f>
        <v>46266</v>
      </c>
      <c r="S1437" s="83" t="str">
        <f aca="false">YEAR(B1437)&amp;"-Q"&amp;ROUNDUP(MONTH(B1437)/3,0)</f>
        <v>2026-Q3</v>
      </c>
      <c r="T1437" s="87" t="n">
        <f aca="false">IF(O1437&gt;0,Q1437/O1437,"")</f>
        <v>0.152046783625731</v>
      </c>
      <c r="U1437" s="84" t="n">
        <f aca="false">IF(O1437&gt;0,O1437,"")</f>
        <v>3420</v>
      </c>
    </row>
    <row r="1438" customFormat="false" ht="15" hidden="false" customHeight="false" outlineLevel="0" collapsed="false">
      <c r="A1438" s="81" t="s">
        <v>2081</v>
      </c>
      <c r="B1438" s="82" t="n">
        <v>46280</v>
      </c>
      <c r="C1438" s="81" t="s">
        <v>287</v>
      </c>
      <c r="D1438" s="83" t="str">
        <f aca="false">IFERROR(INDEX(c_Name,MATCH($C1438,c_ID,0)),"غير معرّف")</f>
        <v>محمد الشهري</v>
      </c>
      <c r="E1438" s="83" t="str">
        <f aca="false">IFERROR(INDEX(c_Region,MATCH($C1438,c_ID,0)),"غير معرّف")</f>
        <v>الغربية</v>
      </c>
      <c r="F1438" s="81" t="s">
        <v>178</v>
      </c>
      <c r="G1438" s="83" t="str">
        <f aca="false">IFERROR(INDEX(p_Name,MATCH($F1438,p_ID,0)),"غير معرّف")</f>
        <v>حقيبة لابتوب</v>
      </c>
      <c r="H1438" s="83" t="str">
        <f aca="false">IFERROR(INDEX(p_Cat,MATCH($F1438,p_ID,0)),"غير معرّف")</f>
        <v>مستلزمات مكتبية</v>
      </c>
      <c r="I1438" s="81" t="s">
        <v>452</v>
      </c>
      <c r="J1438" s="81" t="s">
        <v>91</v>
      </c>
      <c r="K1438" s="81" t="n">
        <v>1</v>
      </c>
      <c r="L1438" s="84" t="n">
        <f aca="false">IFERROR(INDEX(p_Price,MATCH($F1438,p_ID,0)),0)</f>
        <v>260</v>
      </c>
      <c r="M1438" s="85" t="n">
        <v>0</v>
      </c>
      <c r="N1438" s="81" t="s">
        <v>644</v>
      </c>
      <c r="O1438" s="84" t="n">
        <f aca="false">IF($N1438="مرتجع",0,K1438*L1438*(1-M1438))</f>
        <v>260</v>
      </c>
      <c r="P1438" s="84" t="n">
        <f aca="false">IF($N1438="مرتجع",0,K1438*IFERROR(INDEX(p_Cost,MATCH($F1438,p_ID,0)),0))</f>
        <v>120</v>
      </c>
      <c r="Q1438" s="84" t="n">
        <f aca="false">O1438-P1438</f>
        <v>140</v>
      </c>
      <c r="R1438" s="86" t="n">
        <f aca="false">DATE(YEAR(B1438),MONTH(B1438),1)</f>
        <v>46266</v>
      </c>
      <c r="S1438" s="83" t="str">
        <f aca="false">YEAR(B1438)&amp;"-Q"&amp;ROUNDUP(MONTH(B1438)/3,0)</f>
        <v>2026-Q3</v>
      </c>
      <c r="T1438" s="87" t="n">
        <f aca="false">IF(O1438&gt;0,Q1438/O1438,"")</f>
        <v>0.538461538461538</v>
      </c>
      <c r="U1438" s="84" t="n">
        <f aca="false">IF(O1438&gt;0,O1438,"")</f>
        <v>260</v>
      </c>
    </row>
    <row r="1439" customFormat="false" ht="15" hidden="false" customHeight="false" outlineLevel="0" collapsed="false">
      <c r="A1439" s="81" t="s">
        <v>2082</v>
      </c>
      <c r="B1439" s="82" t="n">
        <v>46280</v>
      </c>
      <c r="C1439" s="81" t="s">
        <v>334</v>
      </c>
      <c r="D1439" s="83" t="str">
        <f aca="false">IFERROR(INDEX(c_Name,MATCH($C1439,c_ID,0)),"غير معرّف")</f>
        <v>ناصر الغامدي</v>
      </c>
      <c r="E1439" s="83" t="str">
        <f aca="false">IFERROR(INDEX(c_Region,MATCH($C1439,c_ID,0)),"غير معرّف")</f>
        <v>الغربية</v>
      </c>
      <c r="F1439" s="81" t="s">
        <v>186</v>
      </c>
      <c r="G1439" s="83" t="str">
        <f aca="false">IFERROR(INDEX(p_Name,MATCH($F1439,p_ID,0)),"غير معرّف")</f>
        <v>مجفف شعر</v>
      </c>
      <c r="H1439" s="83" t="str">
        <f aca="false">IFERROR(INDEX(p_Cat,MATCH($F1439,p_ID,0)),"غير معرّف")</f>
        <v>عناية شخصية</v>
      </c>
      <c r="I1439" s="81" t="s">
        <v>458</v>
      </c>
      <c r="J1439" s="81" t="s">
        <v>93</v>
      </c>
      <c r="K1439" s="81" t="n">
        <v>1</v>
      </c>
      <c r="L1439" s="84" t="n">
        <f aca="false">IFERROR(INDEX(p_Price,MATCH($F1439,p_ID,0)),0)</f>
        <v>280</v>
      </c>
      <c r="M1439" s="85" t="n">
        <v>0.05</v>
      </c>
      <c r="N1439" s="81" t="s">
        <v>644</v>
      </c>
      <c r="O1439" s="84" t="n">
        <f aca="false">IF($N1439="مرتجع",0,K1439*L1439*(1-M1439))</f>
        <v>266</v>
      </c>
      <c r="P1439" s="84" t="n">
        <f aca="false">IF($N1439="مرتجع",0,K1439*IFERROR(INDEX(p_Cost,MATCH($F1439,p_ID,0)),0))</f>
        <v>140</v>
      </c>
      <c r="Q1439" s="84" t="n">
        <f aca="false">O1439-P1439</f>
        <v>126</v>
      </c>
      <c r="R1439" s="86" t="n">
        <f aca="false">DATE(YEAR(B1439),MONTH(B1439),1)</f>
        <v>46266</v>
      </c>
      <c r="S1439" s="83" t="str">
        <f aca="false">YEAR(B1439)&amp;"-Q"&amp;ROUNDUP(MONTH(B1439)/3,0)</f>
        <v>2026-Q3</v>
      </c>
      <c r="T1439" s="87" t="n">
        <f aca="false">IF(O1439&gt;0,Q1439/O1439,"")</f>
        <v>0.473684210526316</v>
      </c>
      <c r="U1439" s="84" t="n">
        <f aca="false">IF(O1439&gt;0,O1439,"")</f>
        <v>266</v>
      </c>
    </row>
    <row r="1440" customFormat="false" ht="15" hidden="false" customHeight="false" outlineLevel="0" collapsed="false">
      <c r="A1440" s="81" t="s">
        <v>2083</v>
      </c>
      <c r="B1440" s="82" t="n">
        <v>46280</v>
      </c>
      <c r="C1440" s="81" t="s">
        <v>378</v>
      </c>
      <c r="D1440" s="83" t="str">
        <f aca="false">IFERROR(INDEX(c_Name,MATCH($C1440,c_ID,0)),"غير معرّف")</f>
        <v>هند الغامدي</v>
      </c>
      <c r="E1440" s="83" t="str">
        <f aca="false">IFERROR(INDEX(c_Region,MATCH($C1440,c_ID,0)),"غير معرّف")</f>
        <v>الوسطى</v>
      </c>
      <c r="F1440" s="81" t="s">
        <v>179</v>
      </c>
      <c r="G1440" s="83" t="str">
        <f aca="false">IFERROR(INDEX(p_Name,MATCH($F1440,p_ID,0)),"غير معرّف")</f>
        <v>طقم أدوات مكتبية</v>
      </c>
      <c r="H1440" s="83" t="str">
        <f aca="false">IFERROR(INDEX(p_Cat,MATCH($F1440,p_ID,0)),"غير معرّف")</f>
        <v>مستلزمات مكتبية</v>
      </c>
      <c r="I1440" s="81" t="s">
        <v>446</v>
      </c>
      <c r="J1440" s="81" t="s">
        <v>93</v>
      </c>
      <c r="K1440" s="81" t="n">
        <v>1</v>
      </c>
      <c r="L1440" s="84" t="n">
        <f aca="false">IFERROR(INDEX(p_Price,MATCH($F1440,p_ID,0)),0)</f>
        <v>90</v>
      </c>
      <c r="M1440" s="85" t="n">
        <v>0.05</v>
      </c>
      <c r="N1440" s="81" t="s">
        <v>644</v>
      </c>
      <c r="O1440" s="84" t="n">
        <f aca="false">IF($N1440="مرتجع",0,K1440*L1440*(1-M1440))</f>
        <v>85.5</v>
      </c>
      <c r="P1440" s="84" t="n">
        <f aca="false">IF($N1440="مرتجع",0,K1440*IFERROR(INDEX(p_Cost,MATCH($F1440,p_ID,0)),0))</f>
        <v>45</v>
      </c>
      <c r="Q1440" s="84" t="n">
        <f aca="false">O1440-P1440</f>
        <v>40.5</v>
      </c>
      <c r="R1440" s="86" t="n">
        <f aca="false">DATE(YEAR(B1440),MONTH(B1440),1)</f>
        <v>46266</v>
      </c>
      <c r="S1440" s="83" t="str">
        <f aca="false">YEAR(B1440)&amp;"-Q"&amp;ROUNDUP(MONTH(B1440)/3,0)</f>
        <v>2026-Q3</v>
      </c>
      <c r="T1440" s="87" t="n">
        <f aca="false">IF(O1440&gt;0,Q1440/O1440,"")</f>
        <v>0.473684210526316</v>
      </c>
      <c r="U1440" s="84" t="n">
        <f aca="false">IF(O1440&gt;0,O1440,"")</f>
        <v>85.5</v>
      </c>
    </row>
    <row r="1441" customFormat="false" ht="15" hidden="false" customHeight="false" outlineLevel="0" collapsed="false">
      <c r="A1441" s="81" t="s">
        <v>2084</v>
      </c>
      <c r="B1441" s="82" t="n">
        <v>46280</v>
      </c>
      <c r="C1441" s="81" t="s">
        <v>322</v>
      </c>
      <c r="D1441" s="83" t="str">
        <f aca="false">IFERROR(INDEX(c_Name,MATCH($C1441,c_ID,0)),"غير معرّف")</f>
        <v>نورة البلوي</v>
      </c>
      <c r="E1441" s="83" t="str">
        <f aca="false">IFERROR(INDEX(c_Region,MATCH($C1441,c_ID,0)),"غير معرّف")</f>
        <v>الغربية</v>
      </c>
      <c r="F1441" s="81" t="s">
        <v>179</v>
      </c>
      <c r="G1441" s="83" t="str">
        <f aca="false">IFERROR(INDEX(p_Name,MATCH($F1441,p_ID,0)),"غير معرّف")</f>
        <v>طقم أدوات مكتبية</v>
      </c>
      <c r="H1441" s="83" t="str">
        <f aca="false">IFERROR(INDEX(p_Cat,MATCH($F1441,p_ID,0)),"غير معرّف")</f>
        <v>مستلزمات مكتبية</v>
      </c>
      <c r="I1441" s="81" t="s">
        <v>452</v>
      </c>
      <c r="J1441" s="81" t="s">
        <v>93</v>
      </c>
      <c r="K1441" s="81" t="n">
        <v>4</v>
      </c>
      <c r="L1441" s="84" t="n">
        <f aca="false">IFERROR(INDEX(p_Price,MATCH($F1441,p_ID,0)),0)</f>
        <v>90</v>
      </c>
      <c r="M1441" s="85" t="n">
        <v>0.05</v>
      </c>
      <c r="N1441" s="81" t="s">
        <v>644</v>
      </c>
      <c r="O1441" s="84" t="n">
        <f aca="false">IF($N1441="مرتجع",0,K1441*L1441*(1-M1441))</f>
        <v>342</v>
      </c>
      <c r="P1441" s="84" t="n">
        <f aca="false">IF($N1441="مرتجع",0,K1441*IFERROR(INDEX(p_Cost,MATCH($F1441,p_ID,0)),0))</f>
        <v>180</v>
      </c>
      <c r="Q1441" s="84" t="n">
        <f aca="false">O1441-P1441</f>
        <v>162</v>
      </c>
      <c r="R1441" s="86" t="n">
        <f aca="false">DATE(YEAR(B1441),MONTH(B1441),1)</f>
        <v>46266</v>
      </c>
      <c r="S1441" s="83" t="str">
        <f aca="false">YEAR(B1441)&amp;"-Q"&amp;ROUNDUP(MONTH(B1441)/3,0)</f>
        <v>2026-Q3</v>
      </c>
      <c r="T1441" s="87" t="n">
        <f aca="false">IF(O1441&gt;0,Q1441/O1441,"")</f>
        <v>0.473684210526316</v>
      </c>
      <c r="U1441" s="84" t="n">
        <f aca="false">IF(O1441&gt;0,O1441,"")</f>
        <v>342</v>
      </c>
    </row>
    <row r="1442" customFormat="false" ht="15" hidden="false" customHeight="false" outlineLevel="0" collapsed="false">
      <c r="A1442" s="81" t="s">
        <v>2085</v>
      </c>
      <c r="B1442" s="82" t="n">
        <v>46281</v>
      </c>
      <c r="C1442" s="81" t="s">
        <v>306</v>
      </c>
      <c r="D1442" s="83" t="str">
        <f aca="false">IFERROR(INDEX(c_Name,MATCH($C1442,c_ID,0)),"غير معرّف")</f>
        <v>أحمد العنزي</v>
      </c>
      <c r="E1442" s="83" t="str">
        <f aca="false">IFERROR(INDEX(c_Region,MATCH($C1442,c_ID,0)),"غير معرّف")</f>
        <v>الغربية</v>
      </c>
      <c r="F1442" s="81" t="s">
        <v>175</v>
      </c>
      <c r="G1442" s="83" t="str">
        <f aca="false">IFERROR(INDEX(p_Name,MATCH($F1442,p_ID,0)),"غير معرّف")</f>
        <v>رف كتب</v>
      </c>
      <c r="H1442" s="83" t="str">
        <f aca="false">IFERROR(INDEX(p_Cat,MATCH($F1442,p_ID,0)),"غير معرّف")</f>
        <v>أثاث</v>
      </c>
      <c r="I1442" s="81" t="s">
        <v>458</v>
      </c>
      <c r="J1442" s="81" t="s">
        <v>93</v>
      </c>
      <c r="K1442" s="81" t="n">
        <v>8</v>
      </c>
      <c r="L1442" s="84" t="n">
        <f aca="false">IFERROR(INDEX(p_Price,MATCH($F1442,p_ID,0)),0)</f>
        <v>400</v>
      </c>
      <c r="M1442" s="85" t="n">
        <v>0</v>
      </c>
      <c r="N1442" s="81" t="s">
        <v>644</v>
      </c>
      <c r="O1442" s="84" t="n">
        <f aca="false">IF($N1442="مرتجع",0,K1442*L1442*(1-M1442))</f>
        <v>3200</v>
      </c>
      <c r="P1442" s="84" t="n">
        <f aca="false">IF($N1442="مرتجع",0,K1442*IFERROR(INDEX(p_Cost,MATCH($F1442,p_ID,0)),0))</f>
        <v>1760</v>
      </c>
      <c r="Q1442" s="84" t="n">
        <f aca="false">O1442-P1442</f>
        <v>1440</v>
      </c>
      <c r="R1442" s="86" t="n">
        <f aca="false">DATE(YEAR(B1442),MONTH(B1442),1)</f>
        <v>46266</v>
      </c>
      <c r="S1442" s="83" t="str">
        <f aca="false">YEAR(B1442)&amp;"-Q"&amp;ROUNDUP(MONTH(B1442)/3,0)</f>
        <v>2026-Q3</v>
      </c>
      <c r="T1442" s="87" t="n">
        <f aca="false">IF(O1442&gt;0,Q1442/O1442,"")</f>
        <v>0.45</v>
      </c>
      <c r="U1442" s="84" t="n">
        <f aca="false">IF(O1442&gt;0,O1442,"")</f>
        <v>3200</v>
      </c>
    </row>
    <row r="1443" customFormat="false" ht="15" hidden="false" customHeight="false" outlineLevel="0" collapsed="false">
      <c r="A1443" s="81" t="s">
        <v>2086</v>
      </c>
      <c r="B1443" s="82" t="n">
        <v>46281</v>
      </c>
      <c r="C1443" s="81" t="s">
        <v>277</v>
      </c>
      <c r="D1443" s="83" t="str">
        <f aca="false">IFERROR(INDEX(c_Name,MATCH($C1443,c_ID,0)),"غير معرّف")</f>
        <v>خالد الخالدي</v>
      </c>
      <c r="E1443" s="83" t="str">
        <f aca="false">IFERROR(INDEX(c_Region,MATCH($C1443,c_ID,0)),"غير معرّف")</f>
        <v>الغربية</v>
      </c>
      <c r="F1443" s="81" t="s">
        <v>187</v>
      </c>
      <c r="G1443" s="83" t="str">
        <f aca="false">IFERROR(INDEX(p_Name,MATCH($F1443,p_ID,0)),"غير معرّف")</f>
        <v>جهاز تدليك</v>
      </c>
      <c r="H1443" s="83" t="str">
        <f aca="false">IFERROR(INDEX(p_Cat,MATCH($F1443,p_ID,0)),"غير معرّف")</f>
        <v>عناية شخصية</v>
      </c>
      <c r="I1443" s="81" t="s">
        <v>455</v>
      </c>
      <c r="J1443" s="81" t="s">
        <v>95</v>
      </c>
      <c r="K1443" s="81" t="n">
        <v>4</v>
      </c>
      <c r="L1443" s="84" t="n">
        <f aca="false">IFERROR(INDEX(p_Price,MATCH($F1443,p_ID,0)),0)</f>
        <v>600</v>
      </c>
      <c r="M1443" s="85" t="n">
        <v>0.2</v>
      </c>
      <c r="N1443" s="81" t="s">
        <v>644</v>
      </c>
      <c r="O1443" s="84" t="n">
        <f aca="false">IF($N1443="مرتجع",0,K1443*L1443*(1-M1443))</f>
        <v>1920</v>
      </c>
      <c r="P1443" s="84" t="n">
        <f aca="false">IF($N1443="مرتجع",0,K1443*IFERROR(INDEX(p_Cost,MATCH($F1443,p_ID,0)),0))</f>
        <v>1320</v>
      </c>
      <c r="Q1443" s="84" t="n">
        <f aca="false">O1443-P1443</f>
        <v>600</v>
      </c>
      <c r="R1443" s="86" t="n">
        <f aca="false">DATE(YEAR(B1443),MONTH(B1443),1)</f>
        <v>46266</v>
      </c>
      <c r="S1443" s="83" t="str">
        <f aca="false">YEAR(B1443)&amp;"-Q"&amp;ROUNDUP(MONTH(B1443)/3,0)</f>
        <v>2026-Q3</v>
      </c>
      <c r="T1443" s="87" t="n">
        <f aca="false">IF(O1443&gt;0,Q1443/O1443,"")</f>
        <v>0.3125</v>
      </c>
      <c r="U1443" s="84" t="n">
        <f aca="false">IF(O1443&gt;0,O1443,"")</f>
        <v>1920</v>
      </c>
    </row>
    <row r="1444" customFormat="false" ht="15" hidden="false" customHeight="false" outlineLevel="0" collapsed="false">
      <c r="A1444" s="81" t="s">
        <v>2087</v>
      </c>
      <c r="B1444" s="82" t="n">
        <v>46281</v>
      </c>
      <c r="C1444" s="81" t="s">
        <v>423</v>
      </c>
      <c r="D1444" s="83" t="str">
        <f aca="false">IFERROR(INDEX(c_Name,MATCH($C1444,c_ID,0)),"غير معرّف")</f>
        <v>ناصر المطيري</v>
      </c>
      <c r="E1444" s="83" t="str">
        <f aca="false">IFERROR(INDEX(c_Region,MATCH($C1444,c_ID,0)),"غير معرّف")</f>
        <v>الغربية</v>
      </c>
      <c r="F1444" s="81" t="s">
        <v>174</v>
      </c>
      <c r="G1444" s="83" t="str">
        <f aca="false">IFERROR(INDEX(p_Name,MATCH($F1444,p_ID,0)),"غير معرّف")</f>
        <v>خزانة ملفات</v>
      </c>
      <c r="H1444" s="83" t="str">
        <f aca="false">IFERROR(INDEX(p_Cat,MATCH($F1444,p_ID,0)),"غير معرّف")</f>
        <v>أثاث</v>
      </c>
      <c r="I1444" s="81" t="s">
        <v>458</v>
      </c>
      <c r="J1444" s="81" t="s">
        <v>93</v>
      </c>
      <c r="K1444" s="81" t="n">
        <v>1</v>
      </c>
      <c r="L1444" s="84" t="n">
        <f aca="false">IFERROR(INDEX(p_Price,MATCH($F1444,p_ID,0)),0)</f>
        <v>700</v>
      </c>
      <c r="M1444" s="85" t="n">
        <v>0</v>
      </c>
      <c r="N1444" s="81" t="s">
        <v>644</v>
      </c>
      <c r="O1444" s="84" t="n">
        <f aca="false">IF($N1444="مرتجع",0,K1444*L1444*(1-M1444))</f>
        <v>700</v>
      </c>
      <c r="P1444" s="84" t="n">
        <f aca="false">IF($N1444="مرتجع",0,K1444*IFERROR(INDEX(p_Cost,MATCH($F1444,p_ID,0)),0))</f>
        <v>410</v>
      </c>
      <c r="Q1444" s="84" t="n">
        <f aca="false">O1444-P1444</f>
        <v>290</v>
      </c>
      <c r="R1444" s="86" t="n">
        <f aca="false">DATE(YEAR(B1444),MONTH(B1444),1)</f>
        <v>46266</v>
      </c>
      <c r="S1444" s="83" t="str">
        <f aca="false">YEAR(B1444)&amp;"-Q"&amp;ROUNDUP(MONTH(B1444)/3,0)</f>
        <v>2026-Q3</v>
      </c>
      <c r="T1444" s="87" t="n">
        <f aca="false">IF(O1444&gt;0,Q1444/O1444,"")</f>
        <v>0.414285714285714</v>
      </c>
      <c r="U1444" s="84" t="n">
        <f aca="false">IF(O1444&gt;0,O1444,"")</f>
        <v>700</v>
      </c>
    </row>
    <row r="1445" customFormat="false" ht="15" hidden="false" customHeight="false" outlineLevel="0" collapsed="false">
      <c r="A1445" s="81" t="s">
        <v>2088</v>
      </c>
      <c r="B1445" s="82" t="n">
        <v>46281</v>
      </c>
      <c r="C1445" s="81" t="s">
        <v>294</v>
      </c>
      <c r="D1445" s="83" t="str">
        <f aca="false">IFERROR(INDEX(c_Name,MATCH($C1445,c_ID,0)),"غير معرّف")</f>
        <v>خالد البلوي</v>
      </c>
      <c r="E1445" s="83" t="str">
        <f aca="false">IFERROR(INDEX(c_Region,MATCH($C1445,c_ID,0)),"غير معرّف")</f>
        <v>الوسطى</v>
      </c>
      <c r="F1445" s="81" t="s">
        <v>177</v>
      </c>
      <c r="G1445" s="83" t="str">
        <f aca="false">IFERROR(INDEX(p_Name,MATCH($F1445,p_ID,0)),"غير معرّف")</f>
        <v>ورق A4 (صندوق)</v>
      </c>
      <c r="H1445" s="83" t="str">
        <f aca="false">IFERROR(INDEX(p_Cat,MATCH($F1445,p_ID,0)),"غير معرّف")</f>
        <v>مستلزمات مكتبية</v>
      </c>
      <c r="I1445" s="81" t="s">
        <v>443</v>
      </c>
      <c r="J1445" s="81" t="s">
        <v>95</v>
      </c>
      <c r="K1445" s="81" t="n">
        <v>19</v>
      </c>
      <c r="L1445" s="84" t="n">
        <f aca="false">IFERROR(INDEX(p_Price,MATCH($F1445,p_ID,0)),0)</f>
        <v>140</v>
      </c>
      <c r="M1445" s="85" t="n">
        <v>0.1</v>
      </c>
      <c r="N1445" s="81" t="s">
        <v>644</v>
      </c>
      <c r="O1445" s="84" t="n">
        <f aca="false">IF($N1445="مرتجع",0,K1445*L1445*(1-M1445))</f>
        <v>2394</v>
      </c>
      <c r="P1445" s="84" t="n">
        <f aca="false">IF($N1445="مرتجع",0,K1445*IFERROR(INDEX(p_Cost,MATCH($F1445,p_ID,0)),0))</f>
        <v>1805</v>
      </c>
      <c r="Q1445" s="84" t="n">
        <f aca="false">O1445-P1445</f>
        <v>589</v>
      </c>
      <c r="R1445" s="86" t="n">
        <f aca="false">DATE(YEAR(B1445),MONTH(B1445),1)</f>
        <v>46266</v>
      </c>
      <c r="S1445" s="83" t="str">
        <f aca="false">YEAR(B1445)&amp;"-Q"&amp;ROUNDUP(MONTH(B1445)/3,0)</f>
        <v>2026-Q3</v>
      </c>
      <c r="T1445" s="87" t="n">
        <f aca="false">IF(O1445&gt;0,Q1445/O1445,"")</f>
        <v>0.246031746031746</v>
      </c>
      <c r="U1445" s="84" t="n">
        <f aca="false">IF(O1445&gt;0,O1445,"")</f>
        <v>2394</v>
      </c>
    </row>
    <row r="1446" customFormat="false" ht="15" hidden="false" customHeight="false" outlineLevel="0" collapsed="false">
      <c r="A1446" s="81" t="s">
        <v>2089</v>
      </c>
      <c r="B1446" s="82" t="n">
        <v>46282</v>
      </c>
      <c r="C1446" s="81" t="s">
        <v>281</v>
      </c>
      <c r="D1446" s="83" t="str">
        <f aca="false">IFERROR(INDEX(c_Name,MATCH($C1446,c_ID,0)),"غير معرّف")</f>
        <v>ريم الخالدي</v>
      </c>
      <c r="E1446" s="83" t="str">
        <f aca="false">IFERROR(INDEX(c_Region,MATCH($C1446,c_ID,0)),"غير معرّف")</f>
        <v>الوسطى</v>
      </c>
      <c r="F1446" s="81" t="s">
        <v>182</v>
      </c>
      <c r="G1446" s="83" t="str">
        <f aca="false">IFERROR(INDEX(p_Name,MATCH($F1446,p_ID,0)),"غير معرّف")</f>
        <v>طقم أوزان</v>
      </c>
      <c r="H1446" s="83" t="str">
        <f aca="false">IFERROR(INDEX(p_Cat,MATCH($F1446,p_ID,0)),"غير معرّف")</f>
        <v>رياضة</v>
      </c>
      <c r="I1446" s="81" t="s">
        <v>443</v>
      </c>
      <c r="J1446" s="81" t="s">
        <v>91</v>
      </c>
      <c r="K1446" s="81" t="n">
        <v>2</v>
      </c>
      <c r="L1446" s="84" t="n">
        <f aca="false">IFERROR(INDEX(p_Price,MATCH($F1446,p_ID,0)),0)</f>
        <v>380</v>
      </c>
      <c r="M1446" s="85" t="n">
        <v>0.1</v>
      </c>
      <c r="N1446" s="81" t="s">
        <v>644</v>
      </c>
      <c r="O1446" s="84" t="n">
        <f aca="false">IF($N1446="مرتجع",0,K1446*L1446*(1-M1446))</f>
        <v>684</v>
      </c>
      <c r="P1446" s="84" t="n">
        <f aca="false">IF($N1446="مرتجع",0,K1446*IFERROR(INDEX(p_Cost,MATCH($F1446,p_ID,0)),0))</f>
        <v>420</v>
      </c>
      <c r="Q1446" s="84" t="n">
        <f aca="false">O1446-P1446</f>
        <v>264</v>
      </c>
      <c r="R1446" s="86" t="n">
        <f aca="false">DATE(YEAR(B1446),MONTH(B1446),1)</f>
        <v>46266</v>
      </c>
      <c r="S1446" s="83" t="str">
        <f aca="false">YEAR(B1446)&amp;"-Q"&amp;ROUNDUP(MONTH(B1446)/3,0)</f>
        <v>2026-Q3</v>
      </c>
      <c r="T1446" s="87" t="n">
        <f aca="false">IF(O1446&gt;0,Q1446/O1446,"")</f>
        <v>0.385964912280702</v>
      </c>
      <c r="U1446" s="84" t="n">
        <f aca="false">IF(O1446&gt;0,O1446,"")</f>
        <v>684</v>
      </c>
    </row>
    <row r="1447" customFormat="false" ht="15" hidden="false" customHeight="false" outlineLevel="0" collapsed="false">
      <c r="A1447" s="81" t="s">
        <v>2090</v>
      </c>
      <c r="B1447" s="82" t="n">
        <v>46282</v>
      </c>
      <c r="C1447" s="81" t="s">
        <v>233</v>
      </c>
      <c r="D1447" s="83" t="str">
        <f aca="false">IFERROR(INDEX(c_Name,MATCH($C1447,c_ID,0)),"غير معرّف")</f>
        <v>سلمان الخالدي</v>
      </c>
      <c r="E1447" s="83" t="str">
        <f aca="false">IFERROR(INDEX(c_Region,MATCH($C1447,c_ID,0)),"غير معرّف")</f>
        <v>الشرقية</v>
      </c>
      <c r="F1447" s="81" t="s">
        <v>171</v>
      </c>
      <c r="G1447" s="83" t="str">
        <f aca="false">IFERROR(INDEX(p_Name,MATCH($F1447,p_ID,0)),"غير معرّف")</f>
        <v>قلاية هوائية</v>
      </c>
      <c r="H1447" s="83" t="str">
        <f aca="false">IFERROR(INDEX(p_Cat,MATCH($F1447,p_ID,0)),"غير معرّف")</f>
        <v>أجهزة منزلية</v>
      </c>
      <c r="I1447" s="81" t="s">
        <v>463</v>
      </c>
      <c r="J1447" s="81" t="s">
        <v>91</v>
      </c>
      <c r="K1447" s="81" t="n">
        <v>5</v>
      </c>
      <c r="L1447" s="84" t="n">
        <f aca="false">IFERROR(INDEX(p_Price,MATCH($F1447,p_ID,0)),0)</f>
        <v>520</v>
      </c>
      <c r="M1447" s="85" t="n">
        <v>0.1</v>
      </c>
      <c r="N1447" s="81" t="s">
        <v>644</v>
      </c>
      <c r="O1447" s="84" t="n">
        <f aca="false">IF($N1447="مرتجع",0,K1447*L1447*(1-M1447))</f>
        <v>2340</v>
      </c>
      <c r="P1447" s="84" t="n">
        <f aca="false">IF($N1447="مرتجع",0,K1447*IFERROR(INDEX(p_Cost,MATCH($F1447,p_ID,0)),0))</f>
        <v>1500</v>
      </c>
      <c r="Q1447" s="84" t="n">
        <f aca="false">O1447-P1447</f>
        <v>840</v>
      </c>
      <c r="R1447" s="86" t="n">
        <f aca="false">DATE(YEAR(B1447),MONTH(B1447),1)</f>
        <v>46266</v>
      </c>
      <c r="S1447" s="83" t="str">
        <f aca="false">YEAR(B1447)&amp;"-Q"&amp;ROUNDUP(MONTH(B1447)/3,0)</f>
        <v>2026-Q3</v>
      </c>
      <c r="T1447" s="87" t="n">
        <f aca="false">IF(O1447&gt;0,Q1447/O1447,"")</f>
        <v>0.358974358974359</v>
      </c>
      <c r="U1447" s="84" t="n">
        <f aca="false">IF(O1447&gt;0,O1447,"")</f>
        <v>2340</v>
      </c>
    </row>
    <row r="1448" customFormat="false" ht="15" hidden="false" customHeight="false" outlineLevel="0" collapsed="false">
      <c r="A1448" s="81" t="s">
        <v>2091</v>
      </c>
      <c r="B1448" s="82" t="n">
        <v>46282</v>
      </c>
      <c r="C1448" s="81" t="s">
        <v>402</v>
      </c>
      <c r="D1448" s="83" t="str">
        <f aca="false">IFERROR(INDEX(c_Name,MATCH($C1448,c_ID,0)),"غير معرّف")</f>
        <v>أحمد القحطاني</v>
      </c>
      <c r="E1448" s="83" t="str">
        <f aca="false">IFERROR(INDEX(c_Region,MATCH($C1448,c_ID,0)),"غير معرّف")</f>
        <v>الوسطى</v>
      </c>
      <c r="F1448" s="81" t="s">
        <v>178</v>
      </c>
      <c r="G1448" s="83" t="str">
        <f aca="false">IFERROR(INDEX(p_Name,MATCH($F1448,p_ID,0)),"غير معرّف")</f>
        <v>حقيبة لابتوب</v>
      </c>
      <c r="H1448" s="83" t="str">
        <f aca="false">IFERROR(INDEX(p_Cat,MATCH($F1448,p_ID,0)),"غير معرّف")</f>
        <v>مستلزمات مكتبية</v>
      </c>
      <c r="I1448" s="81" t="s">
        <v>443</v>
      </c>
      <c r="J1448" s="81" t="s">
        <v>95</v>
      </c>
      <c r="K1448" s="81" t="n">
        <v>8</v>
      </c>
      <c r="L1448" s="84" t="n">
        <f aca="false">IFERROR(INDEX(p_Price,MATCH($F1448,p_ID,0)),0)</f>
        <v>260</v>
      </c>
      <c r="M1448" s="85" t="n">
        <v>0.15</v>
      </c>
      <c r="N1448" s="81" t="s">
        <v>650</v>
      </c>
      <c r="O1448" s="84" t="n">
        <f aca="false">IF($N1448="مرتجع",0,K1448*L1448*(1-M1448))</f>
        <v>0</v>
      </c>
      <c r="P1448" s="84" t="n">
        <f aca="false">IF($N1448="مرتجع",0,K1448*IFERROR(INDEX(p_Cost,MATCH($F1448,p_ID,0)),0))</f>
        <v>0</v>
      </c>
      <c r="Q1448" s="84" t="n">
        <f aca="false">O1448-P1448</f>
        <v>0</v>
      </c>
      <c r="R1448" s="86" t="n">
        <f aca="false">DATE(YEAR(B1448),MONTH(B1448),1)</f>
        <v>46266</v>
      </c>
      <c r="S1448" s="83" t="str">
        <f aca="false">YEAR(B1448)&amp;"-Q"&amp;ROUNDUP(MONTH(B1448)/3,0)</f>
        <v>2026-Q3</v>
      </c>
      <c r="T1448" s="87" t="str">
        <f aca="false">IF(O1448&gt;0,Q1448/O1448,"")</f>
        <v/>
      </c>
      <c r="U1448" s="84" t="str">
        <f aca="false">IF(O1448&gt;0,O1448,"")</f>
        <v/>
      </c>
    </row>
    <row r="1449" customFormat="false" ht="15" hidden="false" customHeight="false" outlineLevel="0" collapsed="false">
      <c r="A1449" s="81" t="s">
        <v>2092</v>
      </c>
      <c r="B1449" s="82" t="n">
        <v>46282</v>
      </c>
      <c r="C1449" s="81" t="s">
        <v>388</v>
      </c>
      <c r="D1449" s="83" t="str">
        <f aca="false">IFERROR(INDEX(c_Name,MATCH($C1449,c_ID,0)),"غير معرّف")</f>
        <v>منى الخالدي</v>
      </c>
      <c r="E1449" s="83" t="str">
        <f aca="false">IFERROR(INDEX(c_Region,MATCH($C1449,c_ID,0)),"غير معرّف")</f>
        <v>الجنوبية</v>
      </c>
      <c r="F1449" s="81" t="s">
        <v>187</v>
      </c>
      <c r="G1449" s="83" t="str">
        <f aca="false">IFERROR(INDEX(p_Name,MATCH($F1449,p_ID,0)),"غير معرّف")</f>
        <v>جهاز تدليك</v>
      </c>
      <c r="H1449" s="83" t="str">
        <f aca="false">IFERROR(INDEX(p_Cat,MATCH($F1449,p_ID,0)),"غير معرّف")</f>
        <v>عناية شخصية</v>
      </c>
      <c r="I1449" s="81" t="s">
        <v>467</v>
      </c>
      <c r="J1449" s="81" t="s">
        <v>91</v>
      </c>
      <c r="K1449" s="81" t="n">
        <v>1</v>
      </c>
      <c r="L1449" s="84" t="n">
        <f aca="false">IFERROR(INDEX(p_Price,MATCH($F1449,p_ID,0)),0)</f>
        <v>600</v>
      </c>
      <c r="M1449" s="85" t="n">
        <v>0.05</v>
      </c>
      <c r="N1449" s="81" t="s">
        <v>644</v>
      </c>
      <c r="O1449" s="84" t="n">
        <f aca="false">IF($N1449="مرتجع",0,K1449*L1449*(1-M1449))</f>
        <v>570</v>
      </c>
      <c r="P1449" s="84" t="n">
        <f aca="false">IF($N1449="مرتجع",0,K1449*IFERROR(INDEX(p_Cost,MATCH($F1449,p_ID,0)),0))</f>
        <v>330</v>
      </c>
      <c r="Q1449" s="84" t="n">
        <f aca="false">O1449-P1449</f>
        <v>240</v>
      </c>
      <c r="R1449" s="86" t="n">
        <f aca="false">DATE(YEAR(B1449),MONTH(B1449),1)</f>
        <v>46266</v>
      </c>
      <c r="S1449" s="83" t="str">
        <f aca="false">YEAR(B1449)&amp;"-Q"&amp;ROUNDUP(MONTH(B1449)/3,0)</f>
        <v>2026-Q3</v>
      </c>
      <c r="T1449" s="87" t="n">
        <f aca="false">IF(O1449&gt;0,Q1449/O1449,"")</f>
        <v>0.421052631578947</v>
      </c>
      <c r="U1449" s="84" t="n">
        <f aca="false">IF(O1449&gt;0,O1449,"")</f>
        <v>570</v>
      </c>
    </row>
    <row r="1450" customFormat="false" ht="15" hidden="false" customHeight="false" outlineLevel="0" collapsed="false">
      <c r="A1450" s="81" t="s">
        <v>2093</v>
      </c>
      <c r="B1450" s="82" t="n">
        <v>46282</v>
      </c>
      <c r="C1450" s="81" t="s">
        <v>259</v>
      </c>
      <c r="D1450" s="83" t="str">
        <f aca="false">IFERROR(INDEX(c_Name,MATCH($C1450,c_ID,0)),"غير معرّف")</f>
        <v>عبير العتيبي</v>
      </c>
      <c r="E1450" s="83" t="str">
        <f aca="false">IFERROR(INDEX(c_Region,MATCH($C1450,c_ID,0)),"غير معرّف")</f>
        <v>الوسطى</v>
      </c>
      <c r="F1450" s="81" t="s">
        <v>173</v>
      </c>
      <c r="G1450" s="83" t="str">
        <f aca="false">IFERROR(INDEX(p_Name,MATCH($F1450,p_ID,0)),"غير معرّف")</f>
        <v>كرسي مريح</v>
      </c>
      <c r="H1450" s="83" t="str">
        <f aca="false">IFERROR(INDEX(p_Cat,MATCH($F1450,p_ID,0)),"غير معرّف")</f>
        <v>أثاث</v>
      </c>
      <c r="I1450" s="81" t="s">
        <v>443</v>
      </c>
      <c r="J1450" s="81" t="s">
        <v>91</v>
      </c>
      <c r="K1450" s="81" t="n">
        <v>1</v>
      </c>
      <c r="L1450" s="84" t="n">
        <f aca="false">IFERROR(INDEX(p_Price,MATCH($F1450,p_ID,0)),0)</f>
        <v>850</v>
      </c>
      <c r="M1450" s="85" t="n">
        <v>0</v>
      </c>
      <c r="N1450" s="81" t="s">
        <v>644</v>
      </c>
      <c r="O1450" s="84" t="n">
        <f aca="false">IF($N1450="مرتجع",0,K1450*L1450*(1-M1450))</f>
        <v>850</v>
      </c>
      <c r="P1450" s="84" t="n">
        <f aca="false">IF($N1450="مرتجع",0,K1450*IFERROR(INDEX(p_Cost,MATCH($F1450,p_ID,0)),0))</f>
        <v>480</v>
      </c>
      <c r="Q1450" s="84" t="n">
        <f aca="false">O1450-P1450</f>
        <v>370</v>
      </c>
      <c r="R1450" s="86" t="n">
        <f aca="false">DATE(YEAR(B1450),MONTH(B1450),1)</f>
        <v>46266</v>
      </c>
      <c r="S1450" s="83" t="str">
        <f aca="false">YEAR(B1450)&amp;"-Q"&amp;ROUNDUP(MONTH(B1450)/3,0)</f>
        <v>2026-Q3</v>
      </c>
      <c r="T1450" s="87" t="n">
        <f aca="false">IF(O1450&gt;0,Q1450/O1450,"")</f>
        <v>0.435294117647059</v>
      </c>
      <c r="U1450" s="84" t="n">
        <f aca="false">IF(O1450&gt;0,O1450,"")</f>
        <v>850</v>
      </c>
    </row>
    <row r="1451" customFormat="false" ht="15" hidden="false" customHeight="false" outlineLevel="0" collapsed="false">
      <c r="A1451" s="81" t="s">
        <v>2094</v>
      </c>
      <c r="B1451" s="82" t="n">
        <v>46282</v>
      </c>
      <c r="C1451" s="81" t="s">
        <v>388</v>
      </c>
      <c r="D1451" s="83" t="str">
        <f aca="false">IFERROR(INDEX(c_Name,MATCH($C1451,c_ID,0)),"غير معرّف")</f>
        <v>منى الخالدي</v>
      </c>
      <c r="E1451" s="83" t="str">
        <f aca="false">IFERROR(INDEX(c_Region,MATCH($C1451,c_ID,0)),"غير معرّف")</f>
        <v>الجنوبية</v>
      </c>
      <c r="F1451" s="81" t="s">
        <v>184</v>
      </c>
      <c r="G1451" s="83" t="str">
        <f aca="false">IFERROR(INDEX(p_Name,MATCH($F1451,p_ID,0)),"غير معرّف")</f>
        <v>عطر فاخر</v>
      </c>
      <c r="H1451" s="83" t="str">
        <f aca="false">IFERROR(INDEX(p_Cat,MATCH($F1451,p_ID,0)),"غير معرّف")</f>
        <v>عناية شخصية</v>
      </c>
      <c r="I1451" s="81" t="s">
        <v>467</v>
      </c>
      <c r="J1451" s="81" t="s">
        <v>93</v>
      </c>
      <c r="K1451" s="81" t="n">
        <v>1</v>
      </c>
      <c r="L1451" s="84" t="n">
        <f aca="false">IFERROR(INDEX(p_Price,MATCH($F1451,p_ID,0)),0)</f>
        <v>520</v>
      </c>
      <c r="M1451" s="85" t="n">
        <v>0.2</v>
      </c>
      <c r="N1451" s="81" t="s">
        <v>644</v>
      </c>
      <c r="O1451" s="84" t="n">
        <f aca="false">IF($N1451="مرتجع",0,K1451*L1451*(1-M1451))</f>
        <v>416</v>
      </c>
      <c r="P1451" s="84" t="n">
        <f aca="false">IF($N1451="مرتجع",0,K1451*IFERROR(INDEX(p_Cost,MATCH($F1451,p_ID,0)),0))</f>
        <v>210</v>
      </c>
      <c r="Q1451" s="84" t="n">
        <f aca="false">O1451-P1451</f>
        <v>206</v>
      </c>
      <c r="R1451" s="86" t="n">
        <f aca="false">DATE(YEAR(B1451),MONTH(B1451),1)</f>
        <v>46266</v>
      </c>
      <c r="S1451" s="83" t="str">
        <f aca="false">YEAR(B1451)&amp;"-Q"&amp;ROUNDUP(MONTH(B1451)/3,0)</f>
        <v>2026-Q3</v>
      </c>
      <c r="T1451" s="87" t="n">
        <f aca="false">IF(O1451&gt;0,Q1451/O1451,"")</f>
        <v>0.495192307692308</v>
      </c>
      <c r="U1451" s="84" t="n">
        <f aca="false">IF(O1451&gt;0,O1451,"")</f>
        <v>416</v>
      </c>
    </row>
    <row r="1452" customFormat="false" ht="15" hidden="false" customHeight="false" outlineLevel="0" collapsed="false">
      <c r="A1452" s="81" t="s">
        <v>2095</v>
      </c>
      <c r="B1452" s="82" t="n">
        <v>46282</v>
      </c>
      <c r="C1452" s="81" t="s">
        <v>259</v>
      </c>
      <c r="D1452" s="83" t="str">
        <f aca="false">IFERROR(INDEX(c_Name,MATCH($C1452,c_ID,0)),"غير معرّف")</f>
        <v>عبير العتيبي</v>
      </c>
      <c r="E1452" s="83" t="str">
        <f aca="false">IFERROR(INDEX(c_Region,MATCH($C1452,c_ID,0)),"غير معرّف")</f>
        <v>الوسطى</v>
      </c>
      <c r="F1452" s="81" t="s">
        <v>175</v>
      </c>
      <c r="G1452" s="83" t="str">
        <f aca="false">IFERROR(INDEX(p_Name,MATCH($F1452,p_ID,0)),"غير معرّف")</f>
        <v>رف كتب</v>
      </c>
      <c r="H1452" s="83" t="str">
        <f aca="false">IFERROR(INDEX(p_Cat,MATCH($F1452,p_ID,0)),"غير معرّف")</f>
        <v>أثاث</v>
      </c>
      <c r="I1452" s="81" t="s">
        <v>443</v>
      </c>
      <c r="J1452" s="81" t="s">
        <v>93</v>
      </c>
      <c r="K1452" s="81" t="n">
        <v>1</v>
      </c>
      <c r="L1452" s="84" t="n">
        <f aca="false">IFERROR(INDEX(p_Price,MATCH($F1452,p_ID,0)),0)</f>
        <v>400</v>
      </c>
      <c r="M1452" s="85" t="n">
        <v>0.1</v>
      </c>
      <c r="N1452" s="81" t="s">
        <v>644</v>
      </c>
      <c r="O1452" s="84" t="n">
        <f aca="false">IF($N1452="مرتجع",0,K1452*L1452*(1-M1452))</f>
        <v>360</v>
      </c>
      <c r="P1452" s="84" t="n">
        <f aca="false">IF($N1452="مرتجع",0,K1452*IFERROR(INDEX(p_Cost,MATCH($F1452,p_ID,0)),0))</f>
        <v>220</v>
      </c>
      <c r="Q1452" s="84" t="n">
        <f aca="false">O1452-P1452</f>
        <v>140</v>
      </c>
      <c r="R1452" s="86" t="n">
        <f aca="false">DATE(YEAR(B1452),MONTH(B1452),1)</f>
        <v>46266</v>
      </c>
      <c r="S1452" s="83" t="str">
        <f aca="false">YEAR(B1452)&amp;"-Q"&amp;ROUNDUP(MONTH(B1452)/3,0)</f>
        <v>2026-Q3</v>
      </c>
      <c r="T1452" s="87" t="n">
        <f aca="false">IF(O1452&gt;0,Q1452/O1452,"")</f>
        <v>0.388888888888889</v>
      </c>
      <c r="U1452" s="84" t="n">
        <f aca="false">IF(O1452&gt;0,O1452,"")</f>
        <v>360</v>
      </c>
    </row>
    <row r="1453" customFormat="false" ht="15" hidden="false" customHeight="false" outlineLevel="0" collapsed="false">
      <c r="A1453" s="81" t="s">
        <v>2096</v>
      </c>
      <c r="B1453" s="82" t="n">
        <v>46283</v>
      </c>
      <c r="C1453" s="81" t="s">
        <v>387</v>
      </c>
      <c r="D1453" s="83" t="str">
        <f aca="false">IFERROR(INDEX(c_Name,MATCH($C1453,c_ID,0)),"غير معرّف")</f>
        <v>لمى الشمري</v>
      </c>
      <c r="E1453" s="83" t="str">
        <f aca="false">IFERROR(INDEX(c_Region,MATCH($C1453,c_ID,0)),"غير معرّف")</f>
        <v>الوسطى</v>
      </c>
      <c r="F1453" s="81" t="s">
        <v>183</v>
      </c>
      <c r="G1453" s="83" t="str">
        <f aca="false">IFERROR(INDEX(p_Name,MATCH($F1453,p_ID,0)),"غير معرّف")</f>
        <v>سجادة يوغا</v>
      </c>
      <c r="H1453" s="83" t="str">
        <f aca="false">IFERROR(INDEX(p_Cat,MATCH($F1453,p_ID,0)),"غير معرّف")</f>
        <v>رياضة</v>
      </c>
      <c r="I1453" s="81" t="s">
        <v>449</v>
      </c>
      <c r="J1453" s="81" t="s">
        <v>93</v>
      </c>
      <c r="K1453" s="81" t="n">
        <v>1</v>
      </c>
      <c r="L1453" s="84" t="n">
        <f aca="false">IFERROR(INDEX(p_Price,MATCH($F1453,p_ID,0)),0)</f>
        <v>120</v>
      </c>
      <c r="M1453" s="85" t="n">
        <v>0.1</v>
      </c>
      <c r="N1453" s="81" t="s">
        <v>644</v>
      </c>
      <c r="O1453" s="84" t="n">
        <f aca="false">IF($N1453="مرتجع",0,K1453*L1453*(1-M1453))</f>
        <v>108</v>
      </c>
      <c r="P1453" s="84" t="n">
        <f aca="false">IF($N1453="مرتجع",0,K1453*IFERROR(INDEX(p_Cost,MATCH($F1453,p_ID,0)),0))</f>
        <v>50</v>
      </c>
      <c r="Q1453" s="84" t="n">
        <f aca="false">O1453-P1453</f>
        <v>58</v>
      </c>
      <c r="R1453" s="86" t="n">
        <f aca="false">DATE(YEAR(B1453),MONTH(B1453),1)</f>
        <v>46266</v>
      </c>
      <c r="S1453" s="83" t="str">
        <f aca="false">YEAR(B1453)&amp;"-Q"&amp;ROUNDUP(MONTH(B1453)/3,0)</f>
        <v>2026-Q3</v>
      </c>
      <c r="T1453" s="87" t="n">
        <f aca="false">IF(O1453&gt;0,Q1453/O1453,"")</f>
        <v>0.537037037037037</v>
      </c>
      <c r="U1453" s="84" t="n">
        <f aca="false">IF(O1453&gt;0,O1453,"")</f>
        <v>108</v>
      </c>
    </row>
    <row r="1454" customFormat="false" ht="15" hidden="false" customHeight="false" outlineLevel="0" collapsed="false">
      <c r="A1454" s="81" t="s">
        <v>2097</v>
      </c>
      <c r="B1454" s="82" t="n">
        <v>46283</v>
      </c>
      <c r="C1454" s="81" t="s">
        <v>261</v>
      </c>
      <c r="D1454" s="83" t="str">
        <f aca="false">IFERROR(INDEX(c_Name,MATCH($C1454,c_ID,0)),"غير معرّف")</f>
        <v>ياسر الدوسري</v>
      </c>
      <c r="E1454" s="83" t="str">
        <f aca="false">IFERROR(INDEX(c_Region,MATCH($C1454,c_ID,0)),"غير معرّف")</f>
        <v>الجنوبية</v>
      </c>
      <c r="F1454" s="81" t="s">
        <v>183</v>
      </c>
      <c r="G1454" s="83" t="str">
        <f aca="false">IFERROR(INDEX(p_Name,MATCH($F1454,p_ID,0)),"غير معرّف")</f>
        <v>سجادة يوغا</v>
      </c>
      <c r="H1454" s="83" t="str">
        <f aca="false">IFERROR(INDEX(p_Cat,MATCH($F1454,p_ID,0)),"غير معرّف")</f>
        <v>رياضة</v>
      </c>
      <c r="I1454" s="81" t="s">
        <v>467</v>
      </c>
      <c r="J1454" s="81" t="s">
        <v>91</v>
      </c>
      <c r="K1454" s="81" t="n">
        <v>2</v>
      </c>
      <c r="L1454" s="84" t="n">
        <f aca="false">IFERROR(INDEX(p_Price,MATCH($F1454,p_ID,0)),0)</f>
        <v>120</v>
      </c>
      <c r="M1454" s="85" t="n">
        <v>0.05</v>
      </c>
      <c r="N1454" s="81" t="s">
        <v>644</v>
      </c>
      <c r="O1454" s="84" t="n">
        <f aca="false">IF($N1454="مرتجع",0,K1454*L1454*(1-M1454))</f>
        <v>228</v>
      </c>
      <c r="P1454" s="84" t="n">
        <f aca="false">IF($N1454="مرتجع",0,K1454*IFERROR(INDEX(p_Cost,MATCH($F1454,p_ID,0)),0))</f>
        <v>100</v>
      </c>
      <c r="Q1454" s="84" t="n">
        <f aca="false">O1454-P1454</f>
        <v>128</v>
      </c>
      <c r="R1454" s="86" t="n">
        <f aca="false">DATE(YEAR(B1454),MONTH(B1454),1)</f>
        <v>46266</v>
      </c>
      <c r="S1454" s="83" t="str">
        <f aca="false">YEAR(B1454)&amp;"-Q"&amp;ROUNDUP(MONTH(B1454)/3,0)</f>
        <v>2026-Q3</v>
      </c>
      <c r="T1454" s="87" t="n">
        <f aca="false">IF(O1454&gt;0,Q1454/O1454,"")</f>
        <v>0.56140350877193</v>
      </c>
      <c r="U1454" s="84" t="n">
        <f aca="false">IF(O1454&gt;0,O1454,"")</f>
        <v>228</v>
      </c>
    </row>
    <row r="1455" customFormat="false" ht="15" hidden="false" customHeight="false" outlineLevel="0" collapsed="false">
      <c r="A1455" s="81" t="s">
        <v>2098</v>
      </c>
      <c r="B1455" s="82" t="n">
        <v>46284</v>
      </c>
      <c r="C1455" s="81" t="s">
        <v>273</v>
      </c>
      <c r="D1455" s="83" t="str">
        <f aca="false">IFERROR(INDEX(c_Name,MATCH($C1455,c_ID,0)),"غير معرّف")</f>
        <v>سلمان التميمي</v>
      </c>
      <c r="E1455" s="83" t="str">
        <f aca="false">IFERROR(INDEX(c_Region,MATCH($C1455,c_ID,0)),"غير معرّف")</f>
        <v>الشرقية</v>
      </c>
      <c r="F1455" s="81" t="s">
        <v>184</v>
      </c>
      <c r="G1455" s="83" t="str">
        <f aca="false">IFERROR(INDEX(p_Name,MATCH($F1455,p_ID,0)),"غير معرّف")</f>
        <v>عطر فاخر</v>
      </c>
      <c r="H1455" s="83" t="str">
        <f aca="false">IFERROR(INDEX(p_Cat,MATCH($F1455,p_ID,0)),"غير معرّف")</f>
        <v>عناية شخصية</v>
      </c>
      <c r="I1455" s="81" t="s">
        <v>461</v>
      </c>
      <c r="J1455" s="81" t="s">
        <v>91</v>
      </c>
      <c r="K1455" s="81" t="n">
        <v>3</v>
      </c>
      <c r="L1455" s="84" t="n">
        <f aca="false">IFERROR(INDEX(p_Price,MATCH($F1455,p_ID,0)),0)</f>
        <v>520</v>
      </c>
      <c r="M1455" s="85" t="n">
        <v>0.1</v>
      </c>
      <c r="N1455" s="81" t="s">
        <v>644</v>
      </c>
      <c r="O1455" s="84" t="n">
        <f aca="false">IF($N1455="مرتجع",0,K1455*L1455*(1-M1455))</f>
        <v>1404</v>
      </c>
      <c r="P1455" s="84" t="n">
        <f aca="false">IF($N1455="مرتجع",0,K1455*IFERROR(INDEX(p_Cost,MATCH($F1455,p_ID,0)),0))</f>
        <v>630</v>
      </c>
      <c r="Q1455" s="84" t="n">
        <f aca="false">O1455-P1455</f>
        <v>774</v>
      </c>
      <c r="R1455" s="86" t="n">
        <f aca="false">DATE(YEAR(B1455),MONTH(B1455),1)</f>
        <v>46266</v>
      </c>
      <c r="S1455" s="83" t="str">
        <f aca="false">YEAR(B1455)&amp;"-Q"&amp;ROUNDUP(MONTH(B1455)/3,0)</f>
        <v>2026-Q3</v>
      </c>
      <c r="T1455" s="87" t="n">
        <f aca="false">IF(O1455&gt;0,Q1455/O1455,"")</f>
        <v>0.551282051282051</v>
      </c>
      <c r="U1455" s="84" t="n">
        <f aca="false">IF(O1455&gt;0,O1455,"")</f>
        <v>1404</v>
      </c>
    </row>
    <row r="1456" customFormat="false" ht="15" hidden="false" customHeight="false" outlineLevel="0" collapsed="false">
      <c r="A1456" s="81" t="s">
        <v>2099</v>
      </c>
      <c r="B1456" s="82" t="n">
        <v>46284</v>
      </c>
      <c r="C1456" s="81" t="s">
        <v>356</v>
      </c>
      <c r="D1456" s="83" t="str">
        <f aca="false">IFERROR(INDEX(c_Name,MATCH($C1456,c_ID,0)),"غير معرّف")</f>
        <v>هند البلوي</v>
      </c>
      <c r="E1456" s="83" t="str">
        <f aca="false">IFERROR(INDEX(c_Region,MATCH($C1456,c_ID,0)),"غير معرّف")</f>
        <v>الغربية</v>
      </c>
      <c r="F1456" s="81" t="s">
        <v>187</v>
      </c>
      <c r="G1456" s="83" t="str">
        <f aca="false">IFERROR(INDEX(p_Name,MATCH($F1456,p_ID,0)),"غير معرّف")</f>
        <v>جهاز تدليك</v>
      </c>
      <c r="H1456" s="83" t="str">
        <f aca="false">IFERROR(INDEX(p_Cat,MATCH($F1456,p_ID,0)),"غير معرّف")</f>
        <v>عناية شخصية</v>
      </c>
      <c r="I1456" s="81" t="s">
        <v>455</v>
      </c>
      <c r="J1456" s="81" t="s">
        <v>91</v>
      </c>
      <c r="K1456" s="81" t="n">
        <v>1</v>
      </c>
      <c r="L1456" s="84" t="n">
        <f aca="false">IFERROR(INDEX(p_Price,MATCH($F1456,p_ID,0)),0)</f>
        <v>600</v>
      </c>
      <c r="M1456" s="85" t="n">
        <v>0</v>
      </c>
      <c r="N1456" s="81" t="s">
        <v>644</v>
      </c>
      <c r="O1456" s="84" t="n">
        <f aca="false">IF($N1456="مرتجع",0,K1456*L1456*(1-M1456))</f>
        <v>600</v>
      </c>
      <c r="P1456" s="84" t="n">
        <f aca="false">IF($N1456="مرتجع",0,K1456*IFERROR(INDEX(p_Cost,MATCH($F1456,p_ID,0)),0))</f>
        <v>330</v>
      </c>
      <c r="Q1456" s="84" t="n">
        <f aca="false">O1456-P1456</f>
        <v>270</v>
      </c>
      <c r="R1456" s="86" t="n">
        <f aca="false">DATE(YEAR(B1456),MONTH(B1456),1)</f>
        <v>46266</v>
      </c>
      <c r="S1456" s="83" t="str">
        <f aca="false">YEAR(B1456)&amp;"-Q"&amp;ROUNDUP(MONTH(B1456)/3,0)</f>
        <v>2026-Q3</v>
      </c>
      <c r="T1456" s="87" t="n">
        <f aca="false">IF(O1456&gt;0,Q1456/O1456,"")</f>
        <v>0.45</v>
      </c>
      <c r="U1456" s="84" t="n">
        <f aca="false">IF(O1456&gt;0,O1456,"")</f>
        <v>600</v>
      </c>
    </row>
    <row r="1457" customFormat="false" ht="15" hidden="false" customHeight="false" outlineLevel="0" collapsed="false">
      <c r="A1457" s="81" t="s">
        <v>2100</v>
      </c>
      <c r="B1457" s="82" t="n">
        <v>46284</v>
      </c>
      <c r="C1457" s="81" t="s">
        <v>311</v>
      </c>
      <c r="D1457" s="83" t="str">
        <f aca="false">IFERROR(INDEX(c_Name,MATCH($C1457,c_ID,0)),"غير معرّف")</f>
        <v>لمى الحسيني</v>
      </c>
      <c r="E1457" s="83" t="str">
        <f aca="false">IFERROR(INDEX(c_Region,MATCH($C1457,c_ID,0)),"غير معرّف")</f>
        <v>الوسطى</v>
      </c>
      <c r="F1457" s="81" t="s">
        <v>181</v>
      </c>
      <c r="G1457" s="83" t="str">
        <f aca="false">IFERROR(INDEX(p_Name,MATCH($F1457,p_ID,0)),"غير معرّف")</f>
        <v>دراجة ثابتة</v>
      </c>
      <c r="H1457" s="83" t="str">
        <f aca="false">IFERROR(INDEX(p_Cat,MATCH($F1457,p_ID,0)),"غير معرّف")</f>
        <v>رياضة</v>
      </c>
      <c r="I1457" s="81" t="s">
        <v>443</v>
      </c>
      <c r="J1457" s="81" t="s">
        <v>93</v>
      </c>
      <c r="K1457" s="81" t="n">
        <v>1</v>
      </c>
      <c r="L1457" s="84" t="n">
        <f aca="false">IFERROR(INDEX(p_Price,MATCH($F1457,p_ID,0)),0)</f>
        <v>1800</v>
      </c>
      <c r="M1457" s="85" t="n">
        <v>0.05</v>
      </c>
      <c r="N1457" s="81" t="s">
        <v>644</v>
      </c>
      <c r="O1457" s="84" t="n">
        <f aca="false">IF($N1457="مرتجع",0,K1457*L1457*(1-M1457))</f>
        <v>1710</v>
      </c>
      <c r="P1457" s="84" t="n">
        <f aca="false">IF($N1457="مرتجع",0,K1457*IFERROR(INDEX(p_Cost,MATCH($F1457,p_ID,0)),0))</f>
        <v>1200</v>
      </c>
      <c r="Q1457" s="84" t="n">
        <f aca="false">O1457-P1457</f>
        <v>510</v>
      </c>
      <c r="R1457" s="86" t="n">
        <f aca="false">DATE(YEAR(B1457),MONTH(B1457),1)</f>
        <v>46266</v>
      </c>
      <c r="S1457" s="83" t="str">
        <f aca="false">YEAR(B1457)&amp;"-Q"&amp;ROUNDUP(MONTH(B1457)/3,0)</f>
        <v>2026-Q3</v>
      </c>
      <c r="T1457" s="87" t="n">
        <f aca="false">IF(O1457&gt;0,Q1457/O1457,"")</f>
        <v>0.298245614035088</v>
      </c>
      <c r="U1457" s="84" t="n">
        <f aca="false">IF(O1457&gt;0,O1457,"")</f>
        <v>1710</v>
      </c>
    </row>
    <row r="1458" customFormat="false" ht="15" hidden="false" customHeight="false" outlineLevel="0" collapsed="false">
      <c r="A1458" s="81" t="s">
        <v>2101</v>
      </c>
      <c r="B1458" s="82" t="n">
        <v>46285</v>
      </c>
      <c r="C1458" s="81" t="s">
        <v>335</v>
      </c>
      <c r="D1458" s="83" t="str">
        <f aca="false">IFERROR(INDEX(c_Name,MATCH($C1458,c_ID,0)),"غير معرّف")</f>
        <v>نورة الحربي</v>
      </c>
      <c r="E1458" s="83" t="str">
        <f aca="false">IFERROR(INDEX(c_Region,MATCH($C1458,c_ID,0)),"غير معرّف")</f>
        <v>الشرقية</v>
      </c>
      <c r="F1458" s="81" t="s">
        <v>182</v>
      </c>
      <c r="G1458" s="83" t="str">
        <f aca="false">IFERROR(INDEX(p_Name,MATCH($F1458,p_ID,0)),"غير معرّف")</f>
        <v>طقم أوزان</v>
      </c>
      <c r="H1458" s="83" t="str">
        <f aca="false">IFERROR(INDEX(p_Cat,MATCH($F1458,p_ID,0)),"غير معرّف")</f>
        <v>رياضة</v>
      </c>
      <c r="I1458" s="81" t="s">
        <v>461</v>
      </c>
      <c r="J1458" s="81" t="s">
        <v>93</v>
      </c>
      <c r="K1458" s="81" t="n">
        <v>1</v>
      </c>
      <c r="L1458" s="84" t="n">
        <f aca="false">IFERROR(INDEX(p_Price,MATCH($F1458,p_ID,0)),0)</f>
        <v>380</v>
      </c>
      <c r="M1458" s="85" t="n">
        <v>0</v>
      </c>
      <c r="N1458" s="81" t="s">
        <v>644</v>
      </c>
      <c r="O1458" s="84" t="n">
        <f aca="false">IF($N1458="مرتجع",0,K1458*L1458*(1-M1458))</f>
        <v>380</v>
      </c>
      <c r="P1458" s="84" t="n">
        <f aca="false">IF($N1458="مرتجع",0,K1458*IFERROR(INDEX(p_Cost,MATCH($F1458,p_ID,0)),0))</f>
        <v>210</v>
      </c>
      <c r="Q1458" s="84" t="n">
        <f aca="false">O1458-P1458</f>
        <v>170</v>
      </c>
      <c r="R1458" s="86" t="n">
        <f aca="false">DATE(YEAR(B1458),MONTH(B1458),1)</f>
        <v>46266</v>
      </c>
      <c r="S1458" s="83" t="str">
        <f aca="false">YEAR(B1458)&amp;"-Q"&amp;ROUNDUP(MONTH(B1458)/3,0)</f>
        <v>2026-Q3</v>
      </c>
      <c r="T1458" s="87" t="n">
        <f aca="false">IF(O1458&gt;0,Q1458/O1458,"")</f>
        <v>0.447368421052632</v>
      </c>
      <c r="U1458" s="84" t="n">
        <f aca="false">IF(O1458&gt;0,O1458,"")</f>
        <v>380</v>
      </c>
    </row>
    <row r="1459" customFormat="false" ht="15" hidden="false" customHeight="false" outlineLevel="0" collapsed="false">
      <c r="A1459" s="81" t="s">
        <v>2102</v>
      </c>
      <c r="B1459" s="82" t="n">
        <v>46285</v>
      </c>
      <c r="C1459" s="81" t="s">
        <v>349</v>
      </c>
      <c r="D1459" s="83" t="str">
        <f aca="false">IFERROR(INDEX(c_Name,MATCH($C1459,c_ID,0)),"غير معرّف")</f>
        <v>خالد الزهراني</v>
      </c>
      <c r="E1459" s="83" t="str">
        <f aca="false">IFERROR(INDEX(c_Region,MATCH($C1459,c_ID,0)),"غير معرّف")</f>
        <v>الوسطى</v>
      </c>
      <c r="F1459" s="81" t="s">
        <v>168</v>
      </c>
      <c r="G1459" s="83" t="str">
        <f aca="false">IFERROR(INDEX(p_Name,MATCH($F1459,p_ID,0)),"غير معرّف")</f>
        <v>مكنسة كهربائية</v>
      </c>
      <c r="H1459" s="83" t="str">
        <f aca="false">IFERROR(INDEX(p_Cat,MATCH($F1459,p_ID,0)),"غير معرّف")</f>
        <v>أجهزة منزلية</v>
      </c>
      <c r="I1459" s="81" t="s">
        <v>449</v>
      </c>
      <c r="J1459" s="81" t="s">
        <v>91</v>
      </c>
      <c r="K1459" s="81" t="n">
        <v>4</v>
      </c>
      <c r="L1459" s="84" t="n">
        <f aca="false">IFERROR(INDEX(p_Price,MATCH($F1459,p_ID,0)),0)</f>
        <v>650</v>
      </c>
      <c r="M1459" s="85" t="n">
        <v>0.05</v>
      </c>
      <c r="N1459" s="81" t="s">
        <v>644</v>
      </c>
      <c r="O1459" s="84" t="n">
        <f aca="false">IF($N1459="مرتجع",0,K1459*L1459*(1-M1459))</f>
        <v>2470</v>
      </c>
      <c r="P1459" s="84" t="n">
        <f aca="false">IF($N1459="مرتجع",0,K1459*IFERROR(INDEX(p_Cost,MATCH($F1459,p_ID,0)),0))</f>
        <v>1680</v>
      </c>
      <c r="Q1459" s="84" t="n">
        <f aca="false">O1459-P1459</f>
        <v>790</v>
      </c>
      <c r="R1459" s="86" t="n">
        <f aca="false">DATE(YEAR(B1459),MONTH(B1459),1)</f>
        <v>46266</v>
      </c>
      <c r="S1459" s="83" t="str">
        <f aca="false">YEAR(B1459)&amp;"-Q"&amp;ROUNDUP(MONTH(B1459)/3,0)</f>
        <v>2026-Q3</v>
      </c>
      <c r="T1459" s="87" t="n">
        <f aca="false">IF(O1459&gt;0,Q1459/O1459,"")</f>
        <v>0.319838056680162</v>
      </c>
      <c r="U1459" s="84" t="n">
        <f aca="false">IF(O1459&gt;0,O1459,"")</f>
        <v>2470</v>
      </c>
    </row>
    <row r="1460" customFormat="false" ht="15" hidden="false" customHeight="false" outlineLevel="0" collapsed="false">
      <c r="A1460" s="81" t="s">
        <v>2103</v>
      </c>
      <c r="B1460" s="82" t="n">
        <v>46285</v>
      </c>
      <c r="C1460" s="81" t="s">
        <v>299</v>
      </c>
      <c r="D1460" s="83" t="str">
        <f aca="false">IFERROR(INDEX(c_Name,MATCH($C1460,c_ID,0)),"غير معرّف")</f>
        <v>جود الخالدي</v>
      </c>
      <c r="E1460" s="83" t="str">
        <f aca="false">IFERROR(INDEX(c_Region,MATCH($C1460,c_ID,0)),"غير معرّف")</f>
        <v>الوسطى</v>
      </c>
      <c r="F1460" s="81" t="s">
        <v>164</v>
      </c>
      <c r="G1460" s="83" t="str">
        <f aca="false">IFERROR(INDEX(p_Name,MATCH($F1460,p_ID,0)),"غير معرّف")</f>
        <v>هاتف ذكي</v>
      </c>
      <c r="H1460" s="83" t="str">
        <f aca="false">IFERROR(INDEX(p_Cat,MATCH($F1460,p_ID,0)),"غير معرّف")</f>
        <v>إلكترونيات</v>
      </c>
      <c r="I1460" s="81" t="s">
        <v>443</v>
      </c>
      <c r="J1460" s="81" t="s">
        <v>91</v>
      </c>
      <c r="K1460" s="81" t="n">
        <v>1</v>
      </c>
      <c r="L1460" s="84" t="n">
        <f aca="false">IFERROR(INDEX(p_Price,MATCH($F1460,p_ID,0)),0)</f>
        <v>2400</v>
      </c>
      <c r="M1460" s="85" t="n">
        <v>0</v>
      </c>
      <c r="N1460" s="81" t="s">
        <v>644</v>
      </c>
      <c r="O1460" s="84" t="n">
        <f aca="false">IF($N1460="مرتجع",0,K1460*L1460*(1-M1460))</f>
        <v>2400</v>
      </c>
      <c r="P1460" s="84" t="n">
        <f aca="false">IF($N1460="مرتجع",0,K1460*IFERROR(INDEX(p_Cost,MATCH($F1460,p_ID,0)),0))</f>
        <v>1750</v>
      </c>
      <c r="Q1460" s="84" t="n">
        <f aca="false">O1460-P1460</f>
        <v>650</v>
      </c>
      <c r="R1460" s="86" t="n">
        <f aca="false">DATE(YEAR(B1460),MONTH(B1460),1)</f>
        <v>46266</v>
      </c>
      <c r="S1460" s="83" t="str">
        <f aca="false">YEAR(B1460)&amp;"-Q"&amp;ROUNDUP(MONTH(B1460)/3,0)</f>
        <v>2026-Q3</v>
      </c>
      <c r="T1460" s="87" t="n">
        <f aca="false">IF(O1460&gt;0,Q1460/O1460,"")</f>
        <v>0.270833333333333</v>
      </c>
      <c r="U1460" s="84" t="n">
        <f aca="false">IF(O1460&gt;0,O1460,"")</f>
        <v>2400</v>
      </c>
    </row>
    <row r="1461" customFormat="false" ht="15" hidden="false" customHeight="false" outlineLevel="0" collapsed="false">
      <c r="A1461" s="81" t="s">
        <v>2104</v>
      </c>
      <c r="B1461" s="82" t="n">
        <v>46286</v>
      </c>
      <c r="C1461" s="81" t="s">
        <v>287</v>
      </c>
      <c r="D1461" s="83" t="str">
        <f aca="false">IFERROR(INDEX(c_Name,MATCH($C1461,c_ID,0)),"غير معرّف")</f>
        <v>محمد الشهري</v>
      </c>
      <c r="E1461" s="83" t="str">
        <f aca="false">IFERROR(INDEX(c_Region,MATCH($C1461,c_ID,0)),"غير معرّف")</f>
        <v>الغربية</v>
      </c>
      <c r="F1461" s="81" t="s">
        <v>179</v>
      </c>
      <c r="G1461" s="83" t="str">
        <f aca="false">IFERROR(INDEX(p_Name,MATCH($F1461,p_ID,0)),"غير معرّف")</f>
        <v>طقم أدوات مكتبية</v>
      </c>
      <c r="H1461" s="83" t="str">
        <f aca="false">IFERROR(INDEX(p_Cat,MATCH($F1461,p_ID,0)),"غير معرّف")</f>
        <v>مستلزمات مكتبية</v>
      </c>
      <c r="I1461" s="81" t="s">
        <v>455</v>
      </c>
      <c r="J1461" s="81" t="s">
        <v>93</v>
      </c>
      <c r="K1461" s="81" t="n">
        <v>1</v>
      </c>
      <c r="L1461" s="84" t="n">
        <f aca="false">IFERROR(INDEX(p_Price,MATCH($F1461,p_ID,0)),0)</f>
        <v>90</v>
      </c>
      <c r="M1461" s="85" t="n">
        <v>0</v>
      </c>
      <c r="N1461" s="81" t="s">
        <v>644</v>
      </c>
      <c r="O1461" s="84" t="n">
        <f aca="false">IF($N1461="مرتجع",0,K1461*L1461*(1-M1461))</f>
        <v>90</v>
      </c>
      <c r="P1461" s="84" t="n">
        <f aca="false">IF($N1461="مرتجع",0,K1461*IFERROR(INDEX(p_Cost,MATCH($F1461,p_ID,0)),0))</f>
        <v>45</v>
      </c>
      <c r="Q1461" s="84" t="n">
        <f aca="false">O1461-P1461</f>
        <v>45</v>
      </c>
      <c r="R1461" s="86" t="n">
        <f aca="false">DATE(YEAR(B1461),MONTH(B1461),1)</f>
        <v>46266</v>
      </c>
      <c r="S1461" s="83" t="str">
        <f aca="false">YEAR(B1461)&amp;"-Q"&amp;ROUNDUP(MONTH(B1461)/3,0)</f>
        <v>2026-Q3</v>
      </c>
      <c r="T1461" s="87" t="n">
        <f aca="false">IF(O1461&gt;0,Q1461/O1461,"")</f>
        <v>0.5</v>
      </c>
      <c r="U1461" s="84" t="n">
        <f aca="false">IF(O1461&gt;0,O1461,"")</f>
        <v>90</v>
      </c>
    </row>
    <row r="1462" customFormat="false" ht="15" hidden="false" customHeight="false" outlineLevel="0" collapsed="false">
      <c r="A1462" s="81" t="s">
        <v>2105</v>
      </c>
      <c r="B1462" s="82" t="n">
        <v>46286</v>
      </c>
      <c r="C1462" s="81" t="s">
        <v>235</v>
      </c>
      <c r="D1462" s="83" t="str">
        <f aca="false">IFERROR(INDEX(c_Name,MATCH($C1462,c_ID,0)),"غير معرّف")</f>
        <v>ليلى الزهراني</v>
      </c>
      <c r="E1462" s="83" t="str">
        <f aca="false">IFERROR(INDEX(c_Region,MATCH($C1462,c_ID,0)),"غير معرّف")</f>
        <v>الشرقية</v>
      </c>
      <c r="F1462" s="81" t="s">
        <v>169</v>
      </c>
      <c r="G1462" s="83" t="str">
        <f aca="false">IFERROR(INDEX(p_Name,MATCH($F1462,p_ID,0)),"غير معرّف")</f>
        <v>خلاط</v>
      </c>
      <c r="H1462" s="83" t="str">
        <f aca="false">IFERROR(INDEX(p_Cat,MATCH($F1462,p_ID,0)),"غير معرّف")</f>
        <v>أجهزة منزلية</v>
      </c>
      <c r="I1462" s="81" t="s">
        <v>463</v>
      </c>
      <c r="J1462" s="81" t="s">
        <v>91</v>
      </c>
      <c r="K1462" s="81" t="n">
        <v>1</v>
      </c>
      <c r="L1462" s="84" t="n">
        <f aca="false">IFERROR(INDEX(p_Price,MATCH($F1462,p_ID,0)),0)</f>
        <v>300</v>
      </c>
      <c r="M1462" s="85" t="n">
        <v>0</v>
      </c>
      <c r="N1462" s="81" t="s">
        <v>644</v>
      </c>
      <c r="O1462" s="84" t="n">
        <f aca="false">IF($N1462="مرتجع",0,K1462*L1462*(1-M1462))</f>
        <v>300</v>
      </c>
      <c r="P1462" s="84" t="n">
        <f aca="false">IF($N1462="مرتجع",0,K1462*IFERROR(INDEX(p_Cost,MATCH($F1462,p_ID,0)),0))</f>
        <v>175</v>
      </c>
      <c r="Q1462" s="84" t="n">
        <f aca="false">O1462-P1462</f>
        <v>125</v>
      </c>
      <c r="R1462" s="86" t="n">
        <f aca="false">DATE(YEAR(B1462),MONTH(B1462),1)</f>
        <v>46266</v>
      </c>
      <c r="S1462" s="83" t="str">
        <f aca="false">YEAR(B1462)&amp;"-Q"&amp;ROUNDUP(MONTH(B1462)/3,0)</f>
        <v>2026-Q3</v>
      </c>
      <c r="T1462" s="87" t="n">
        <f aca="false">IF(O1462&gt;0,Q1462/O1462,"")</f>
        <v>0.416666666666667</v>
      </c>
      <c r="U1462" s="84" t="n">
        <f aca="false">IF(O1462&gt;0,O1462,"")</f>
        <v>300</v>
      </c>
    </row>
    <row r="1463" customFormat="false" ht="15" hidden="false" customHeight="false" outlineLevel="0" collapsed="false">
      <c r="A1463" s="81" t="s">
        <v>2106</v>
      </c>
      <c r="B1463" s="82" t="n">
        <v>46287</v>
      </c>
      <c r="C1463" s="81" t="s">
        <v>311</v>
      </c>
      <c r="D1463" s="83" t="str">
        <f aca="false">IFERROR(INDEX(c_Name,MATCH($C1463,c_ID,0)),"غير معرّف")</f>
        <v>لمى الحسيني</v>
      </c>
      <c r="E1463" s="83" t="str">
        <f aca="false">IFERROR(INDEX(c_Region,MATCH($C1463,c_ID,0)),"غير معرّف")</f>
        <v>الوسطى</v>
      </c>
      <c r="F1463" s="81" t="s">
        <v>181</v>
      </c>
      <c r="G1463" s="83" t="str">
        <f aca="false">IFERROR(INDEX(p_Name,MATCH($F1463,p_ID,0)),"غير معرّف")</f>
        <v>دراجة ثابتة</v>
      </c>
      <c r="H1463" s="83" t="str">
        <f aca="false">IFERROR(INDEX(p_Cat,MATCH($F1463,p_ID,0)),"غير معرّف")</f>
        <v>رياضة</v>
      </c>
      <c r="I1463" s="81" t="s">
        <v>443</v>
      </c>
      <c r="J1463" s="81" t="s">
        <v>93</v>
      </c>
      <c r="K1463" s="81" t="n">
        <v>1</v>
      </c>
      <c r="L1463" s="84" t="n">
        <f aca="false">IFERROR(INDEX(p_Price,MATCH($F1463,p_ID,0)),0)</f>
        <v>1800</v>
      </c>
      <c r="M1463" s="85" t="n">
        <v>0</v>
      </c>
      <c r="N1463" s="81" t="s">
        <v>644</v>
      </c>
      <c r="O1463" s="84" t="n">
        <f aca="false">IF($N1463="مرتجع",0,K1463*L1463*(1-M1463))</f>
        <v>1800</v>
      </c>
      <c r="P1463" s="84" t="n">
        <f aca="false">IF($N1463="مرتجع",0,K1463*IFERROR(INDEX(p_Cost,MATCH($F1463,p_ID,0)),0))</f>
        <v>1200</v>
      </c>
      <c r="Q1463" s="84" t="n">
        <f aca="false">O1463-P1463</f>
        <v>600</v>
      </c>
      <c r="R1463" s="86" t="n">
        <f aca="false">DATE(YEAR(B1463),MONTH(B1463),1)</f>
        <v>46266</v>
      </c>
      <c r="S1463" s="83" t="str">
        <f aca="false">YEAR(B1463)&amp;"-Q"&amp;ROUNDUP(MONTH(B1463)/3,0)</f>
        <v>2026-Q3</v>
      </c>
      <c r="T1463" s="87" t="n">
        <f aca="false">IF(O1463&gt;0,Q1463/O1463,"")</f>
        <v>0.333333333333333</v>
      </c>
      <c r="U1463" s="84" t="n">
        <f aca="false">IF(O1463&gt;0,O1463,"")</f>
        <v>1800</v>
      </c>
    </row>
    <row r="1464" customFormat="false" ht="15" hidden="false" customHeight="false" outlineLevel="0" collapsed="false">
      <c r="A1464" s="81" t="s">
        <v>2107</v>
      </c>
      <c r="B1464" s="82" t="n">
        <v>46287</v>
      </c>
      <c r="C1464" s="81" t="s">
        <v>364</v>
      </c>
      <c r="D1464" s="83" t="str">
        <f aca="false">IFERROR(INDEX(c_Name,MATCH($C1464,c_ID,0)),"غير معرّف")</f>
        <v>عبير الدوسري</v>
      </c>
      <c r="E1464" s="83" t="str">
        <f aca="false">IFERROR(INDEX(c_Region,MATCH($C1464,c_ID,0)),"غير معرّف")</f>
        <v>الشرقية</v>
      </c>
      <c r="F1464" s="81" t="s">
        <v>164</v>
      </c>
      <c r="G1464" s="83" t="str">
        <f aca="false">IFERROR(INDEX(p_Name,MATCH($F1464,p_ID,0)),"غير معرّف")</f>
        <v>هاتف ذكي</v>
      </c>
      <c r="H1464" s="83" t="str">
        <f aca="false">IFERROR(INDEX(p_Cat,MATCH($F1464,p_ID,0)),"غير معرّف")</f>
        <v>إلكترونيات</v>
      </c>
      <c r="I1464" s="81" t="s">
        <v>461</v>
      </c>
      <c r="J1464" s="81" t="s">
        <v>91</v>
      </c>
      <c r="K1464" s="81" t="n">
        <v>1</v>
      </c>
      <c r="L1464" s="84" t="n">
        <f aca="false">IFERROR(INDEX(p_Price,MATCH($F1464,p_ID,0)),0)</f>
        <v>2400</v>
      </c>
      <c r="M1464" s="85" t="n">
        <v>0.05</v>
      </c>
      <c r="N1464" s="81" t="s">
        <v>644</v>
      </c>
      <c r="O1464" s="84" t="n">
        <f aca="false">IF($N1464="مرتجع",0,K1464*L1464*(1-M1464))</f>
        <v>2280</v>
      </c>
      <c r="P1464" s="84" t="n">
        <f aca="false">IF($N1464="مرتجع",0,K1464*IFERROR(INDEX(p_Cost,MATCH($F1464,p_ID,0)),0))</f>
        <v>1750</v>
      </c>
      <c r="Q1464" s="84" t="n">
        <f aca="false">O1464-P1464</f>
        <v>530</v>
      </c>
      <c r="R1464" s="86" t="n">
        <f aca="false">DATE(YEAR(B1464),MONTH(B1464),1)</f>
        <v>46266</v>
      </c>
      <c r="S1464" s="83" t="str">
        <f aca="false">YEAR(B1464)&amp;"-Q"&amp;ROUNDUP(MONTH(B1464)/3,0)</f>
        <v>2026-Q3</v>
      </c>
      <c r="T1464" s="87" t="n">
        <f aca="false">IF(O1464&gt;0,Q1464/O1464,"")</f>
        <v>0.232456140350877</v>
      </c>
      <c r="U1464" s="84" t="n">
        <f aca="false">IF(O1464&gt;0,O1464,"")</f>
        <v>2280</v>
      </c>
    </row>
    <row r="1465" customFormat="false" ht="15" hidden="false" customHeight="false" outlineLevel="0" collapsed="false">
      <c r="A1465" s="81" t="s">
        <v>2108</v>
      </c>
      <c r="B1465" s="82" t="n">
        <v>46288</v>
      </c>
      <c r="C1465" s="81" t="s">
        <v>281</v>
      </c>
      <c r="D1465" s="83" t="str">
        <f aca="false">IFERROR(INDEX(c_Name,MATCH($C1465,c_ID,0)),"غير معرّف")</f>
        <v>ريم الخالدي</v>
      </c>
      <c r="E1465" s="83" t="str">
        <f aca="false">IFERROR(INDEX(c_Region,MATCH($C1465,c_ID,0)),"غير معرّف")</f>
        <v>الوسطى</v>
      </c>
      <c r="F1465" s="81" t="s">
        <v>186</v>
      </c>
      <c r="G1465" s="83" t="str">
        <f aca="false">IFERROR(INDEX(p_Name,MATCH($F1465,p_ID,0)),"غير معرّف")</f>
        <v>مجفف شعر</v>
      </c>
      <c r="H1465" s="83" t="str">
        <f aca="false">IFERROR(INDEX(p_Cat,MATCH($F1465,p_ID,0)),"غير معرّف")</f>
        <v>عناية شخصية</v>
      </c>
      <c r="I1465" s="81" t="s">
        <v>449</v>
      </c>
      <c r="J1465" s="81" t="s">
        <v>93</v>
      </c>
      <c r="K1465" s="81" t="n">
        <v>1</v>
      </c>
      <c r="L1465" s="84" t="n">
        <f aca="false">IFERROR(INDEX(p_Price,MATCH($F1465,p_ID,0)),0)</f>
        <v>280</v>
      </c>
      <c r="M1465" s="85" t="n">
        <v>0.1</v>
      </c>
      <c r="N1465" s="81" t="s">
        <v>644</v>
      </c>
      <c r="O1465" s="84" t="n">
        <f aca="false">IF($N1465="مرتجع",0,K1465*L1465*(1-M1465))</f>
        <v>252</v>
      </c>
      <c r="P1465" s="84" t="n">
        <f aca="false">IF($N1465="مرتجع",0,K1465*IFERROR(INDEX(p_Cost,MATCH($F1465,p_ID,0)),0))</f>
        <v>140</v>
      </c>
      <c r="Q1465" s="84" t="n">
        <f aca="false">O1465-P1465</f>
        <v>112</v>
      </c>
      <c r="R1465" s="86" t="n">
        <f aca="false">DATE(YEAR(B1465),MONTH(B1465),1)</f>
        <v>46266</v>
      </c>
      <c r="S1465" s="83" t="str">
        <f aca="false">YEAR(B1465)&amp;"-Q"&amp;ROUNDUP(MONTH(B1465)/3,0)</f>
        <v>2026-Q3</v>
      </c>
      <c r="T1465" s="87" t="n">
        <f aca="false">IF(O1465&gt;0,Q1465/O1465,"")</f>
        <v>0.444444444444444</v>
      </c>
      <c r="U1465" s="84" t="n">
        <f aca="false">IF(O1465&gt;0,O1465,"")</f>
        <v>252</v>
      </c>
    </row>
    <row r="1466" customFormat="false" ht="15" hidden="false" customHeight="false" outlineLevel="0" collapsed="false">
      <c r="A1466" s="81" t="s">
        <v>2109</v>
      </c>
      <c r="B1466" s="82" t="n">
        <v>46288</v>
      </c>
      <c r="C1466" s="81" t="s">
        <v>415</v>
      </c>
      <c r="D1466" s="83" t="str">
        <f aca="false">IFERROR(INDEX(c_Name,MATCH($C1466,c_ID,0)),"غير معرّف")</f>
        <v>سارة القحطاني</v>
      </c>
      <c r="E1466" s="83" t="str">
        <f aca="false">IFERROR(INDEX(c_Region,MATCH($C1466,c_ID,0)),"غير معرّف")</f>
        <v>الشرقية</v>
      </c>
      <c r="F1466" s="81" t="s">
        <v>183</v>
      </c>
      <c r="G1466" s="83" t="str">
        <f aca="false">IFERROR(INDEX(p_Name,MATCH($F1466,p_ID,0)),"غير معرّف")</f>
        <v>سجادة يوغا</v>
      </c>
      <c r="H1466" s="83" t="str">
        <f aca="false">IFERROR(INDEX(p_Cat,MATCH($F1466,p_ID,0)),"غير معرّف")</f>
        <v>رياضة</v>
      </c>
      <c r="I1466" s="81" t="s">
        <v>461</v>
      </c>
      <c r="J1466" s="81" t="s">
        <v>91</v>
      </c>
      <c r="K1466" s="81" t="n">
        <v>1</v>
      </c>
      <c r="L1466" s="84" t="n">
        <f aca="false">IFERROR(INDEX(p_Price,MATCH($F1466,p_ID,0)),0)</f>
        <v>120</v>
      </c>
      <c r="M1466" s="85" t="n">
        <v>0.05</v>
      </c>
      <c r="N1466" s="81" t="s">
        <v>644</v>
      </c>
      <c r="O1466" s="84" t="n">
        <f aca="false">IF($N1466="مرتجع",0,K1466*L1466*(1-M1466))</f>
        <v>114</v>
      </c>
      <c r="P1466" s="84" t="n">
        <f aca="false">IF($N1466="مرتجع",0,K1466*IFERROR(INDEX(p_Cost,MATCH($F1466,p_ID,0)),0))</f>
        <v>50</v>
      </c>
      <c r="Q1466" s="84" t="n">
        <f aca="false">O1466-P1466</f>
        <v>64</v>
      </c>
      <c r="R1466" s="86" t="n">
        <f aca="false">DATE(YEAR(B1466),MONTH(B1466),1)</f>
        <v>46266</v>
      </c>
      <c r="S1466" s="83" t="str">
        <f aca="false">YEAR(B1466)&amp;"-Q"&amp;ROUNDUP(MONTH(B1466)/3,0)</f>
        <v>2026-Q3</v>
      </c>
      <c r="T1466" s="87" t="n">
        <f aca="false">IF(O1466&gt;0,Q1466/O1466,"")</f>
        <v>0.56140350877193</v>
      </c>
      <c r="U1466" s="84" t="n">
        <f aca="false">IF(O1466&gt;0,O1466,"")</f>
        <v>114</v>
      </c>
    </row>
    <row r="1467" customFormat="false" ht="15" hidden="false" customHeight="false" outlineLevel="0" collapsed="false">
      <c r="A1467" s="81" t="s">
        <v>2110</v>
      </c>
      <c r="B1467" s="82" t="n">
        <v>46288</v>
      </c>
      <c r="C1467" s="81" t="s">
        <v>420</v>
      </c>
      <c r="D1467" s="83" t="str">
        <f aca="false">IFERROR(INDEX(c_Name,MATCH($C1467,c_ID,0)),"غير معرّف")</f>
        <v>عبدالله الدوسري</v>
      </c>
      <c r="E1467" s="83" t="str">
        <f aca="false">IFERROR(INDEX(c_Region,MATCH($C1467,c_ID,0)),"غير معرّف")</f>
        <v>الجنوبية</v>
      </c>
      <c r="F1467" s="81" t="s">
        <v>186</v>
      </c>
      <c r="G1467" s="83" t="str">
        <f aca="false">IFERROR(INDEX(p_Name,MATCH($F1467,p_ID,0)),"غير معرّف")</f>
        <v>مجفف شعر</v>
      </c>
      <c r="H1467" s="83" t="str">
        <f aca="false">IFERROR(INDEX(p_Cat,MATCH($F1467,p_ID,0)),"غير معرّف")</f>
        <v>عناية شخصية</v>
      </c>
      <c r="I1467" s="81" t="s">
        <v>465</v>
      </c>
      <c r="J1467" s="81" t="s">
        <v>91</v>
      </c>
      <c r="K1467" s="81" t="n">
        <v>1</v>
      </c>
      <c r="L1467" s="84" t="n">
        <f aca="false">IFERROR(INDEX(p_Price,MATCH($F1467,p_ID,0)),0)</f>
        <v>280</v>
      </c>
      <c r="M1467" s="85" t="n">
        <v>0.05</v>
      </c>
      <c r="N1467" s="81" t="s">
        <v>644</v>
      </c>
      <c r="O1467" s="84" t="n">
        <f aca="false">IF($N1467="مرتجع",0,K1467*L1467*(1-M1467))</f>
        <v>266</v>
      </c>
      <c r="P1467" s="84" t="n">
        <f aca="false">IF($N1467="مرتجع",0,K1467*IFERROR(INDEX(p_Cost,MATCH($F1467,p_ID,0)),0))</f>
        <v>140</v>
      </c>
      <c r="Q1467" s="84" t="n">
        <f aca="false">O1467-P1467</f>
        <v>126</v>
      </c>
      <c r="R1467" s="86" t="n">
        <f aca="false">DATE(YEAR(B1467),MONTH(B1467),1)</f>
        <v>46266</v>
      </c>
      <c r="S1467" s="83" t="str">
        <f aca="false">YEAR(B1467)&amp;"-Q"&amp;ROUNDUP(MONTH(B1467)/3,0)</f>
        <v>2026-Q3</v>
      </c>
      <c r="T1467" s="87" t="n">
        <f aca="false">IF(O1467&gt;0,Q1467/O1467,"")</f>
        <v>0.473684210526316</v>
      </c>
      <c r="U1467" s="84" t="n">
        <f aca="false">IF(O1467&gt;0,O1467,"")</f>
        <v>266</v>
      </c>
    </row>
    <row r="1468" customFormat="false" ht="15" hidden="false" customHeight="false" outlineLevel="0" collapsed="false">
      <c r="A1468" s="81" t="s">
        <v>2111</v>
      </c>
      <c r="B1468" s="82" t="n">
        <v>46289</v>
      </c>
      <c r="C1468" s="81" t="s">
        <v>404</v>
      </c>
      <c r="D1468" s="83" t="str">
        <f aca="false">IFERROR(INDEX(c_Name,MATCH($C1468,c_ID,0)),"غير معرّف")</f>
        <v>عبدالله الحسيني</v>
      </c>
      <c r="E1468" s="83" t="str">
        <f aca="false">IFERROR(INDEX(c_Region,MATCH($C1468,c_ID,0)),"غير معرّف")</f>
        <v>الشرقية</v>
      </c>
      <c r="F1468" s="81" t="s">
        <v>178</v>
      </c>
      <c r="G1468" s="83" t="str">
        <f aca="false">IFERROR(INDEX(p_Name,MATCH($F1468,p_ID,0)),"غير معرّف")</f>
        <v>حقيبة لابتوب</v>
      </c>
      <c r="H1468" s="83" t="str">
        <f aca="false">IFERROR(INDEX(p_Cat,MATCH($F1468,p_ID,0)),"غير معرّف")</f>
        <v>مستلزمات مكتبية</v>
      </c>
      <c r="I1468" s="81" t="s">
        <v>461</v>
      </c>
      <c r="J1468" s="81" t="s">
        <v>93</v>
      </c>
      <c r="K1468" s="81" t="n">
        <v>2</v>
      </c>
      <c r="L1468" s="84" t="n">
        <f aca="false">IFERROR(INDEX(p_Price,MATCH($F1468,p_ID,0)),0)</f>
        <v>260</v>
      </c>
      <c r="M1468" s="85" t="n">
        <v>0.05</v>
      </c>
      <c r="N1468" s="81" t="s">
        <v>644</v>
      </c>
      <c r="O1468" s="84" t="n">
        <f aca="false">IF($N1468="مرتجع",0,K1468*L1468*(1-M1468))</f>
        <v>494</v>
      </c>
      <c r="P1468" s="84" t="n">
        <f aca="false">IF($N1468="مرتجع",0,K1468*IFERROR(INDEX(p_Cost,MATCH($F1468,p_ID,0)),0))</f>
        <v>240</v>
      </c>
      <c r="Q1468" s="84" t="n">
        <f aca="false">O1468-P1468</f>
        <v>254</v>
      </c>
      <c r="R1468" s="86" t="n">
        <f aca="false">DATE(YEAR(B1468),MONTH(B1468),1)</f>
        <v>46266</v>
      </c>
      <c r="S1468" s="83" t="str">
        <f aca="false">YEAR(B1468)&amp;"-Q"&amp;ROUNDUP(MONTH(B1468)/3,0)</f>
        <v>2026-Q3</v>
      </c>
      <c r="T1468" s="87" t="n">
        <f aca="false">IF(O1468&gt;0,Q1468/O1468,"")</f>
        <v>0.51417004048583</v>
      </c>
      <c r="U1468" s="84" t="n">
        <f aca="false">IF(O1468&gt;0,O1468,"")</f>
        <v>494</v>
      </c>
    </row>
    <row r="1469" customFormat="false" ht="15" hidden="false" customHeight="false" outlineLevel="0" collapsed="false">
      <c r="A1469" s="81" t="s">
        <v>2112</v>
      </c>
      <c r="B1469" s="82" t="n">
        <v>46289</v>
      </c>
      <c r="C1469" s="81" t="s">
        <v>252</v>
      </c>
      <c r="D1469" s="83" t="str">
        <f aca="false">IFERROR(INDEX(c_Name,MATCH($C1469,c_ID,0)),"غير معرّف")</f>
        <v>جود الغامدي</v>
      </c>
      <c r="E1469" s="83" t="str">
        <f aca="false">IFERROR(INDEX(c_Region,MATCH($C1469,c_ID,0)),"غير معرّف")</f>
        <v>الجنوبية</v>
      </c>
      <c r="F1469" s="81" t="s">
        <v>166</v>
      </c>
      <c r="G1469" s="83" t="str">
        <f aca="false">IFERROR(INDEX(p_Name,MATCH($F1469,p_ID,0)),"غير معرّف")</f>
        <v>سماعات لاسلكية</v>
      </c>
      <c r="H1469" s="83" t="str">
        <f aca="false">IFERROR(INDEX(p_Cat,MATCH($F1469,p_ID,0)),"غير معرّف")</f>
        <v>إلكترونيات</v>
      </c>
      <c r="I1469" s="81" t="s">
        <v>465</v>
      </c>
      <c r="J1469" s="81" t="s">
        <v>93</v>
      </c>
      <c r="K1469" s="81" t="n">
        <v>1</v>
      </c>
      <c r="L1469" s="84" t="n">
        <f aca="false">IFERROR(INDEX(p_Price,MATCH($F1469,p_ID,0)),0)</f>
        <v>450</v>
      </c>
      <c r="M1469" s="85" t="n">
        <v>0.05</v>
      </c>
      <c r="N1469" s="81" t="s">
        <v>644</v>
      </c>
      <c r="O1469" s="84" t="n">
        <f aca="false">IF($N1469="مرتجع",0,K1469*L1469*(1-M1469))</f>
        <v>427.5</v>
      </c>
      <c r="P1469" s="84" t="n">
        <f aca="false">IF($N1469="مرتجع",0,K1469*IFERROR(INDEX(p_Cost,MATCH($F1469,p_ID,0)),0))</f>
        <v>260</v>
      </c>
      <c r="Q1469" s="84" t="n">
        <f aca="false">O1469-P1469</f>
        <v>167.5</v>
      </c>
      <c r="R1469" s="86" t="n">
        <f aca="false">DATE(YEAR(B1469),MONTH(B1469),1)</f>
        <v>46266</v>
      </c>
      <c r="S1469" s="83" t="str">
        <f aca="false">YEAR(B1469)&amp;"-Q"&amp;ROUNDUP(MONTH(B1469)/3,0)</f>
        <v>2026-Q3</v>
      </c>
      <c r="T1469" s="87" t="n">
        <f aca="false">IF(O1469&gt;0,Q1469/O1469,"")</f>
        <v>0.391812865497076</v>
      </c>
      <c r="U1469" s="84" t="n">
        <f aca="false">IF(O1469&gt;0,O1469,"")</f>
        <v>427.5</v>
      </c>
    </row>
    <row r="1470" customFormat="false" ht="15" hidden="false" customHeight="false" outlineLevel="0" collapsed="false">
      <c r="A1470" s="81" t="s">
        <v>2113</v>
      </c>
      <c r="B1470" s="82" t="n">
        <v>46289</v>
      </c>
      <c r="C1470" s="81" t="s">
        <v>338</v>
      </c>
      <c r="D1470" s="83" t="str">
        <f aca="false">IFERROR(INDEX(c_Name,MATCH($C1470,c_ID,0)),"غير معرّف")</f>
        <v>سارة الزهراني</v>
      </c>
      <c r="E1470" s="83" t="str">
        <f aca="false">IFERROR(INDEX(c_Region,MATCH($C1470,c_ID,0)),"غير معرّف")</f>
        <v>الغربية</v>
      </c>
      <c r="F1470" s="81" t="s">
        <v>167</v>
      </c>
      <c r="G1470" s="83" t="str">
        <f aca="false">IFERROR(INDEX(p_Name,MATCH($F1470,p_ID,0)),"غير معرّف")</f>
        <v>شاشة 27 بوصة</v>
      </c>
      <c r="H1470" s="83" t="str">
        <f aca="false">IFERROR(INDEX(p_Cat,MATCH($F1470,p_ID,0)),"غير معرّف")</f>
        <v>إلكترونيات</v>
      </c>
      <c r="I1470" s="81" t="s">
        <v>458</v>
      </c>
      <c r="J1470" s="81" t="s">
        <v>93</v>
      </c>
      <c r="K1470" s="81" t="n">
        <v>1</v>
      </c>
      <c r="L1470" s="84" t="n">
        <f aca="false">IFERROR(INDEX(p_Price,MATCH($F1470,p_ID,0)),0)</f>
        <v>1100</v>
      </c>
      <c r="M1470" s="85" t="n">
        <v>0.05</v>
      </c>
      <c r="N1470" s="81" t="s">
        <v>644</v>
      </c>
      <c r="O1470" s="84" t="n">
        <f aca="false">IF($N1470="مرتجع",0,K1470*L1470*(1-M1470))</f>
        <v>1045</v>
      </c>
      <c r="P1470" s="84" t="n">
        <f aca="false">IF($N1470="مرتجع",0,K1470*IFERROR(INDEX(p_Cost,MATCH($F1470,p_ID,0)),0))</f>
        <v>780</v>
      </c>
      <c r="Q1470" s="84" t="n">
        <f aca="false">O1470-P1470</f>
        <v>265</v>
      </c>
      <c r="R1470" s="86" t="n">
        <f aca="false">DATE(YEAR(B1470),MONTH(B1470),1)</f>
        <v>46266</v>
      </c>
      <c r="S1470" s="83" t="str">
        <f aca="false">YEAR(B1470)&amp;"-Q"&amp;ROUNDUP(MONTH(B1470)/3,0)</f>
        <v>2026-Q3</v>
      </c>
      <c r="T1470" s="87" t="n">
        <f aca="false">IF(O1470&gt;0,Q1470/O1470,"")</f>
        <v>0.253588516746412</v>
      </c>
      <c r="U1470" s="84" t="n">
        <f aca="false">IF(O1470&gt;0,O1470,"")</f>
        <v>1045</v>
      </c>
    </row>
    <row r="1471" customFormat="false" ht="15" hidden="false" customHeight="false" outlineLevel="0" collapsed="false">
      <c r="A1471" s="81" t="s">
        <v>2114</v>
      </c>
      <c r="B1471" s="82" t="n">
        <v>46289</v>
      </c>
      <c r="C1471" s="81" t="s">
        <v>249</v>
      </c>
      <c r="D1471" s="83" t="str">
        <f aca="false">IFERROR(INDEX(c_Name,MATCH($C1471,c_ID,0)),"غير معرّف")</f>
        <v>ريم الحسيني</v>
      </c>
      <c r="E1471" s="83" t="str">
        <f aca="false">IFERROR(INDEX(c_Region,MATCH($C1471,c_ID,0)),"غير معرّف")</f>
        <v>الوسطى</v>
      </c>
      <c r="F1471" s="81" t="s">
        <v>167</v>
      </c>
      <c r="G1471" s="83" t="str">
        <f aca="false">IFERROR(INDEX(p_Name,MATCH($F1471,p_ID,0)),"غير معرّف")</f>
        <v>شاشة 27 بوصة</v>
      </c>
      <c r="H1471" s="83" t="str">
        <f aca="false">IFERROR(INDEX(p_Cat,MATCH($F1471,p_ID,0)),"غير معرّف")</f>
        <v>إلكترونيات</v>
      </c>
      <c r="I1471" s="81" t="s">
        <v>449</v>
      </c>
      <c r="J1471" s="81" t="s">
        <v>91</v>
      </c>
      <c r="K1471" s="81" t="n">
        <v>2</v>
      </c>
      <c r="L1471" s="84" t="n">
        <f aca="false">IFERROR(INDEX(p_Price,MATCH($F1471,p_ID,0)),0)</f>
        <v>1100</v>
      </c>
      <c r="M1471" s="85" t="n">
        <v>0.05</v>
      </c>
      <c r="N1471" s="81" t="s">
        <v>644</v>
      </c>
      <c r="O1471" s="84" t="n">
        <f aca="false">IF($N1471="مرتجع",0,K1471*L1471*(1-M1471))</f>
        <v>2090</v>
      </c>
      <c r="P1471" s="84" t="n">
        <f aca="false">IF($N1471="مرتجع",0,K1471*IFERROR(INDEX(p_Cost,MATCH($F1471,p_ID,0)),0))</f>
        <v>1560</v>
      </c>
      <c r="Q1471" s="84" t="n">
        <f aca="false">O1471-P1471</f>
        <v>530</v>
      </c>
      <c r="R1471" s="86" t="n">
        <f aca="false">DATE(YEAR(B1471),MONTH(B1471),1)</f>
        <v>46266</v>
      </c>
      <c r="S1471" s="83" t="str">
        <f aca="false">YEAR(B1471)&amp;"-Q"&amp;ROUNDUP(MONTH(B1471)/3,0)</f>
        <v>2026-Q3</v>
      </c>
      <c r="T1471" s="87" t="n">
        <f aca="false">IF(O1471&gt;0,Q1471/O1471,"")</f>
        <v>0.253588516746412</v>
      </c>
      <c r="U1471" s="84" t="n">
        <f aca="false">IF(O1471&gt;0,O1471,"")</f>
        <v>2090</v>
      </c>
    </row>
    <row r="1472" customFormat="false" ht="15" hidden="false" customHeight="false" outlineLevel="0" collapsed="false">
      <c r="A1472" s="81" t="s">
        <v>2115</v>
      </c>
      <c r="B1472" s="82" t="n">
        <v>46289</v>
      </c>
      <c r="C1472" s="81" t="s">
        <v>354</v>
      </c>
      <c r="D1472" s="83" t="str">
        <f aca="false">IFERROR(INDEX(c_Name,MATCH($C1472,c_ID,0)),"غير معرّف")</f>
        <v>عبير الشمري</v>
      </c>
      <c r="E1472" s="83" t="str">
        <f aca="false">IFERROR(INDEX(c_Region,MATCH($C1472,c_ID,0)),"غير معرّف")</f>
        <v>الجنوبية</v>
      </c>
      <c r="F1472" s="81" t="s">
        <v>182</v>
      </c>
      <c r="G1472" s="83" t="str">
        <f aca="false">IFERROR(INDEX(p_Name,MATCH($F1472,p_ID,0)),"غير معرّف")</f>
        <v>طقم أوزان</v>
      </c>
      <c r="H1472" s="83" t="str">
        <f aca="false">IFERROR(INDEX(p_Cat,MATCH($F1472,p_ID,0)),"غير معرّف")</f>
        <v>رياضة</v>
      </c>
      <c r="I1472" s="81" t="s">
        <v>467</v>
      </c>
      <c r="J1472" s="81" t="s">
        <v>91</v>
      </c>
      <c r="K1472" s="81" t="n">
        <v>3</v>
      </c>
      <c r="L1472" s="84" t="n">
        <f aca="false">IFERROR(INDEX(p_Price,MATCH($F1472,p_ID,0)),0)</f>
        <v>380</v>
      </c>
      <c r="M1472" s="85" t="n">
        <v>0.05</v>
      </c>
      <c r="N1472" s="81" t="s">
        <v>644</v>
      </c>
      <c r="O1472" s="84" t="n">
        <f aca="false">IF($N1472="مرتجع",0,K1472*L1472*(1-M1472))</f>
        <v>1083</v>
      </c>
      <c r="P1472" s="84" t="n">
        <f aca="false">IF($N1472="مرتجع",0,K1472*IFERROR(INDEX(p_Cost,MATCH($F1472,p_ID,0)),0))</f>
        <v>630</v>
      </c>
      <c r="Q1472" s="84" t="n">
        <f aca="false">O1472-P1472</f>
        <v>453</v>
      </c>
      <c r="R1472" s="86" t="n">
        <f aca="false">DATE(YEAR(B1472),MONTH(B1472),1)</f>
        <v>46266</v>
      </c>
      <c r="S1472" s="83" t="str">
        <f aca="false">YEAR(B1472)&amp;"-Q"&amp;ROUNDUP(MONTH(B1472)/3,0)</f>
        <v>2026-Q3</v>
      </c>
      <c r="T1472" s="87" t="n">
        <f aca="false">IF(O1472&gt;0,Q1472/O1472,"")</f>
        <v>0.418282548476454</v>
      </c>
      <c r="U1472" s="84" t="n">
        <f aca="false">IF(O1472&gt;0,O1472,"")</f>
        <v>1083</v>
      </c>
    </row>
    <row r="1473" customFormat="false" ht="15" hidden="false" customHeight="false" outlineLevel="0" collapsed="false">
      <c r="A1473" s="81" t="s">
        <v>2116</v>
      </c>
      <c r="B1473" s="82" t="n">
        <v>46289</v>
      </c>
      <c r="C1473" s="81" t="s">
        <v>281</v>
      </c>
      <c r="D1473" s="83" t="str">
        <f aca="false">IFERROR(INDEX(c_Name,MATCH($C1473,c_ID,0)),"غير معرّف")</f>
        <v>ريم الخالدي</v>
      </c>
      <c r="E1473" s="83" t="str">
        <f aca="false">IFERROR(INDEX(c_Region,MATCH($C1473,c_ID,0)),"غير معرّف")</f>
        <v>الوسطى</v>
      </c>
      <c r="F1473" s="81" t="s">
        <v>165</v>
      </c>
      <c r="G1473" s="83" t="str">
        <f aca="false">IFERROR(INDEX(p_Name,MATCH($F1473,p_ID,0)),"غير معرّف")</f>
        <v>حاسوب محمول</v>
      </c>
      <c r="H1473" s="83" t="str">
        <f aca="false">IFERROR(INDEX(p_Cat,MATCH($F1473,p_ID,0)),"غير معرّف")</f>
        <v>إلكترونيات</v>
      </c>
      <c r="I1473" s="81" t="s">
        <v>449</v>
      </c>
      <c r="J1473" s="81" t="s">
        <v>91</v>
      </c>
      <c r="K1473" s="81" t="n">
        <v>1</v>
      </c>
      <c r="L1473" s="84" t="n">
        <f aca="false">IFERROR(INDEX(p_Price,MATCH($F1473,p_ID,0)),0)</f>
        <v>3800</v>
      </c>
      <c r="M1473" s="85" t="n">
        <v>0</v>
      </c>
      <c r="N1473" s="81" t="s">
        <v>644</v>
      </c>
      <c r="O1473" s="84" t="n">
        <f aca="false">IF($N1473="مرتجع",0,K1473*L1473*(1-M1473))</f>
        <v>3800</v>
      </c>
      <c r="P1473" s="84" t="n">
        <f aca="false">IF($N1473="مرتجع",0,K1473*IFERROR(INDEX(p_Cost,MATCH($F1473,p_ID,0)),0))</f>
        <v>2900</v>
      </c>
      <c r="Q1473" s="84" t="n">
        <f aca="false">O1473-P1473</f>
        <v>900</v>
      </c>
      <c r="R1473" s="86" t="n">
        <f aca="false">DATE(YEAR(B1473),MONTH(B1473),1)</f>
        <v>46266</v>
      </c>
      <c r="S1473" s="83" t="str">
        <f aca="false">YEAR(B1473)&amp;"-Q"&amp;ROUNDUP(MONTH(B1473)/3,0)</f>
        <v>2026-Q3</v>
      </c>
      <c r="T1473" s="87" t="n">
        <f aca="false">IF(O1473&gt;0,Q1473/O1473,"")</f>
        <v>0.236842105263158</v>
      </c>
      <c r="U1473" s="84" t="n">
        <f aca="false">IF(O1473&gt;0,O1473,"")</f>
        <v>3800</v>
      </c>
    </row>
    <row r="1474" customFormat="false" ht="15" hidden="false" customHeight="false" outlineLevel="0" collapsed="false">
      <c r="A1474" s="81" t="s">
        <v>2117</v>
      </c>
      <c r="B1474" s="82" t="n">
        <v>46290</v>
      </c>
      <c r="C1474" s="81" t="s">
        <v>430</v>
      </c>
      <c r="D1474" s="83" t="str">
        <f aca="false">IFERROR(INDEX(c_Name,MATCH($C1474,c_ID,0)),"غير معرّف")</f>
        <v>ليلى الحربي</v>
      </c>
      <c r="E1474" s="83" t="str">
        <f aca="false">IFERROR(INDEX(c_Region,MATCH($C1474,c_ID,0)),"غير معرّف")</f>
        <v>الجنوبية</v>
      </c>
      <c r="F1474" s="81" t="s">
        <v>177</v>
      </c>
      <c r="G1474" s="83" t="str">
        <f aca="false">IFERROR(INDEX(p_Name,MATCH($F1474,p_ID,0)),"غير معرّف")</f>
        <v>ورق A4 (صندوق)</v>
      </c>
      <c r="H1474" s="83" t="str">
        <f aca="false">IFERROR(INDEX(p_Cat,MATCH($F1474,p_ID,0)),"غير معرّف")</f>
        <v>مستلزمات مكتبية</v>
      </c>
      <c r="I1474" s="81" t="s">
        <v>465</v>
      </c>
      <c r="J1474" s="81" t="s">
        <v>93</v>
      </c>
      <c r="K1474" s="81" t="n">
        <v>7</v>
      </c>
      <c r="L1474" s="84" t="n">
        <f aca="false">IFERROR(INDEX(p_Price,MATCH($F1474,p_ID,0)),0)</f>
        <v>140</v>
      </c>
      <c r="M1474" s="85" t="n">
        <v>0</v>
      </c>
      <c r="N1474" s="81" t="s">
        <v>644</v>
      </c>
      <c r="O1474" s="84" t="n">
        <f aca="false">IF($N1474="مرتجع",0,K1474*L1474*(1-M1474))</f>
        <v>980</v>
      </c>
      <c r="P1474" s="84" t="n">
        <f aca="false">IF($N1474="مرتجع",0,K1474*IFERROR(INDEX(p_Cost,MATCH($F1474,p_ID,0)),0))</f>
        <v>665</v>
      </c>
      <c r="Q1474" s="84" t="n">
        <f aca="false">O1474-P1474</f>
        <v>315</v>
      </c>
      <c r="R1474" s="86" t="n">
        <f aca="false">DATE(YEAR(B1474),MONTH(B1474),1)</f>
        <v>46266</v>
      </c>
      <c r="S1474" s="83" t="str">
        <f aca="false">YEAR(B1474)&amp;"-Q"&amp;ROUNDUP(MONTH(B1474)/3,0)</f>
        <v>2026-Q3</v>
      </c>
      <c r="T1474" s="87" t="n">
        <f aca="false">IF(O1474&gt;0,Q1474/O1474,"")</f>
        <v>0.321428571428571</v>
      </c>
      <c r="U1474" s="84" t="n">
        <f aca="false">IF(O1474&gt;0,O1474,"")</f>
        <v>980</v>
      </c>
    </row>
    <row r="1475" customFormat="false" ht="15" hidden="false" customHeight="false" outlineLevel="0" collapsed="false">
      <c r="A1475" s="81" t="s">
        <v>2118</v>
      </c>
      <c r="B1475" s="82" t="n">
        <v>46290</v>
      </c>
      <c r="C1475" s="81" t="s">
        <v>394</v>
      </c>
      <c r="D1475" s="83" t="str">
        <f aca="false">IFERROR(INDEX(c_Name,MATCH($C1475,c_ID,0)),"غير معرّف")</f>
        <v>طارق الغامدي</v>
      </c>
      <c r="E1475" s="83" t="str">
        <f aca="false">IFERROR(INDEX(c_Region,MATCH($C1475,c_ID,0)),"غير معرّف")</f>
        <v>الشرقية</v>
      </c>
      <c r="F1475" s="81" t="s">
        <v>186</v>
      </c>
      <c r="G1475" s="83" t="str">
        <f aca="false">IFERROR(INDEX(p_Name,MATCH($F1475,p_ID,0)),"غير معرّف")</f>
        <v>مجفف شعر</v>
      </c>
      <c r="H1475" s="83" t="str">
        <f aca="false">IFERROR(INDEX(p_Cat,MATCH($F1475,p_ID,0)),"غير معرّف")</f>
        <v>عناية شخصية</v>
      </c>
      <c r="I1475" s="81" t="s">
        <v>461</v>
      </c>
      <c r="J1475" s="81" t="s">
        <v>91</v>
      </c>
      <c r="K1475" s="81" t="n">
        <v>3</v>
      </c>
      <c r="L1475" s="84" t="n">
        <f aca="false">IFERROR(INDEX(p_Price,MATCH($F1475,p_ID,0)),0)</f>
        <v>280</v>
      </c>
      <c r="M1475" s="85" t="n">
        <v>0.05</v>
      </c>
      <c r="N1475" s="81" t="s">
        <v>644</v>
      </c>
      <c r="O1475" s="84" t="n">
        <f aca="false">IF($N1475="مرتجع",0,K1475*L1475*(1-M1475))</f>
        <v>798</v>
      </c>
      <c r="P1475" s="84" t="n">
        <f aca="false">IF($N1475="مرتجع",0,K1475*IFERROR(INDEX(p_Cost,MATCH($F1475,p_ID,0)),0))</f>
        <v>420</v>
      </c>
      <c r="Q1475" s="84" t="n">
        <f aca="false">O1475-P1475</f>
        <v>378</v>
      </c>
      <c r="R1475" s="86" t="n">
        <f aca="false">DATE(YEAR(B1475),MONTH(B1475),1)</f>
        <v>46266</v>
      </c>
      <c r="S1475" s="83" t="str">
        <f aca="false">YEAR(B1475)&amp;"-Q"&amp;ROUNDUP(MONTH(B1475)/3,0)</f>
        <v>2026-Q3</v>
      </c>
      <c r="T1475" s="87" t="n">
        <f aca="false">IF(O1475&gt;0,Q1475/O1475,"")</f>
        <v>0.473684210526316</v>
      </c>
      <c r="U1475" s="84" t="n">
        <f aca="false">IF(O1475&gt;0,O1475,"")</f>
        <v>798</v>
      </c>
    </row>
    <row r="1476" customFormat="false" ht="15" hidden="false" customHeight="false" outlineLevel="0" collapsed="false">
      <c r="A1476" s="81" t="s">
        <v>2119</v>
      </c>
      <c r="B1476" s="82" t="n">
        <v>46290</v>
      </c>
      <c r="C1476" s="81" t="s">
        <v>326</v>
      </c>
      <c r="D1476" s="83" t="str">
        <f aca="false">IFERROR(INDEX(c_Name,MATCH($C1476,c_ID,0)),"غير معرّف")</f>
        <v>دانة القحطاني</v>
      </c>
      <c r="E1476" s="83" t="str">
        <f aca="false">IFERROR(INDEX(c_Region,MATCH($C1476,c_ID,0)),"غير معرّف")</f>
        <v>الوسطى</v>
      </c>
      <c r="F1476" s="81" t="s">
        <v>164</v>
      </c>
      <c r="G1476" s="83" t="str">
        <f aca="false">IFERROR(INDEX(p_Name,MATCH($F1476,p_ID,0)),"غير معرّف")</f>
        <v>هاتف ذكي</v>
      </c>
      <c r="H1476" s="83" t="str">
        <f aca="false">IFERROR(INDEX(p_Cat,MATCH($F1476,p_ID,0)),"غير معرّف")</f>
        <v>إلكترونيات</v>
      </c>
      <c r="I1476" s="81" t="s">
        <v>443</v>
      </c>
      <c r="J1476" s="81" t="s">
        <v>91</v>
      </c>
      <c r="K1476" s="81" t="n">
        <v>1</v>
      </c>
      <c r="L1476" s="84" t="n">
        <f aca="false">IFERROR(INDEX(p_Price,MATCH($F1476,p_ID,0)),0)</f>
        <v>2400</v>
      </c>
      <c r="M1476" s="85" t="n">
        <v>0.05</v>
      </c>
      <c r="N1476" s="81" t="s">
        <v>644</v>
      </c>
      <c r="O1476" s="84" t="n">
        <f aca="false">IF($N1476="مرتجع",0,K1476*L1476*(1-M1476))</f>
        <v>2280</v>
      </c>
      <c r="P1476" s="84" t="n">
        <f aca="false">IF($N1476="مرتجع",0,K1476*IFERROR(INDEX(p_Cost,MATCH($F1476,p_ID,0)),0))</f>
        <v>1750</v>
      </c>
      <c r="Q1476" s="84" t="n">
        <f aca="false">O1476-P1476</f>
        <v>530</v>
      </c>
      <c r="R1476" s="86" t="n">
        <f aca="false">DATE(YEAR(B1476),MONTH(B1476),1)</f>
        <v>46266</v>
      </c>
      <c r="S1476" s="83" t="str">
        <f aca="false">YEAR(B1476)&amp;"-Q"&amp;ROUNDUP(MONTH(B1476)/3,0)</f>
        <v>2026-Q3</v>
      </c>
      <c r="T1476" s="87" t="n">
        <f aca="false">IF(O1476&gt;0,Q1476/O1476,"")</f>
        <v>0.232456140350877</v>
      </c>
      <c r="U1476" s="84" t="n">
        <f aca="false">IF(O1476&gt;0,O1476,"")</f>
        <v>2280</v>
      </c>
    </row>
    <row r="1477" customFormat="false" ht="15" hidden="false" customHeight="false" outlineLevel="0" collapsed="false">
      <c r="A1477" s="81" t="s">
        <v>2120</v>
      </c>
      <c r="B1477" s="82" t="n">
        <v>46290</v>
      </c>
      <c r="C1477" s="81" t="s">
        <v>243</v>
      </c>
      <c r="D1477" s="83" t="str">
        <f aca="false">IFERROR(INDEX(c_Name,MATCH($C1477,c_ID,0)),"غير معرّف")</f>
        <v>محمد الحربي</v>
      </c>
      <c r="E1477" s="83" t="str">
        <f aca="false">IFERROR(INDEX(c_Region,MATCH($C1477,c_ID,0)),"غير معرّف")</f>
        <v>الغربية</v>
      </c>
      <c r="F1477" s="81" t="s">
        <v>180</v>
      </c>
      <c r="G1477" s="83" t="str">
        <f aca="false">IFERROR(INDEX(p_Name,MATCH($F1477,p_ID,0)),"غير معرّف")</f>
        <v>جهاز مشي</v>
      </c>
      <c r="H1477" s="83" t="str">
        <f aca="false">IFERROR(INDEX(p_Cat,MATCH($F1477,p_ID,0)),"غير معرّف")</f>
        <v>رياضة</v>
      </c>
      <c r="I1477" s="81" t="s">
        <v>452</v>
      </c>
      <c r="J1477" s="81" t="s">
        <v>93</v>
      </c>
      <c r="K1477" s="81" t="n">
        <v>1</v>
      </c>
      <c r="L1477" s="84" t="n">
        <f aca="false">IFERROR(INDEX(p_Price,MATCH($F1477,p_ID,0)),0)</f>
        <v>3200</v>
      </c>
      <c r="M1477" s="85" t="n">
        <v>0</v>
      </c>
      <c r="N1477" s="81" t="s">
        <v>644</v>
      </c>
      <c r="O1477" s="84" t="n">
        <f aca="false">IF($N1477="مرتجع",0,K1477*L1477*(1-M1477))</f>
        <v>3200</v>
      </c>
      <c r="P1477" s="84" t="n">
        <f aca="false">IF($N1477="مرتجع",0,K1477*IFERROR(INDEX(p_Cost,MATCH($F1477,p_ID,0)),0))</f>
        <v>2200</v>
      </c>
      <c r="Q1477" s="84" t="n">
        <f aca="false">O1477-P1477</f>
        <v>1000</v>
      </c>
      <c r="R1477" s="86" t="n">
        <f aca="false">DATE(YEAR(B1477),MONTH(B1477),1)</f>
        <v>46266</v>
      </c>
      <c r="S1477" s="83" t="str">
        <f aca="false">YEAR(B1477)&amp;"-Q"&amp;ROUNDUP(MONTH(B1477)/3,0)</f>
        <v>2026-Q3</v>
      </c>
      <c r="T1477" s="87" t="n">
        <f aca="false">IF(O1477&gt;0,Q1477/O1477,"")</f>
        <v>0.3125</v>
      </c>
      <c r="U1477" s="84" t="n">
        <f aca="false">IF(O1477&gt;0,O1477,"")</f>
        <v>3200</v>
      </c>
    </row>
    <row r="1478" customFormat="false" ht="15" hidden="false" customHeight="false" outlineLevel="0" collapsed="false">
      <c r="A1478" s="81" t="s">
        <v>2121</v>
      </c>
      <c r="B1478" s="82" t="n">
        <v>46290</v>
      </c>
      <c r="C1478" s="81" t="s">
        <v>385</v>
      </c>
      <c r="D1478" s="83" t="str">
        <f aca="false">IFERROR(INDEX(c_Name,MATCH($C1478,c_ID,0)),"غير معرّف")</f>
        <v>سارة الشهري</v>
      </c>
      <c r="E1478" s="83" t="str">
        <f aca="false">IFERROR(INDEX(c_Region,MATCH($C1478,c_ID,0)),"غير معرّف")</f>
        <v>الشرقية</v>
      </c>
      <c r="F1478" s="81" t="s">
        <v>181</v>
      </c>
      <c r="G1478" s="83" t="str">
        <f aca="false">IFERROR(INDEX(p_Name,MATCH($F1478,p_ID,0)),"غير معرّف")</f>
        <v>دراجة ثابتة</v>
      </c>
      <c r="H1478" s="83" t="str">
        <f aca="false">IFERROR(INDEX(p_Cat,MATCH($F1478,p_ID,0)),"غير معرّف")</f>
        <v>رياضة</v>
      </c>
      <c r="I1478" s="81" t="s">
        <v>461</v>
      </c>
      <c r="J1478" s="81" t="s">
        <v>93</v>
      </c>
      <c r="K1478" s="81" t="n">
        <v>1</v>
      </c>
      <c r="L1478" s="84" t="n">
        <f aca="false">IFERROR(INDEX(p_Price,MATCH($F1478,p_ID,0)),0)</f>
        <v>1800</v>
      </c>
      <c r="M1478" s="85" t="n">
        <v>0.05</v>
      </c>
      <c r="N1478" s="81" t="s">
        <v>644</v>
      </c>
      <c r="O1478" s="84" t="n">
        <f aca="false">IF($N1478="مرتجع",0,K1478*L1478*(1-M1478))</f>
        <v>1710</v>
      </c>
      <c r="P1478" s="84" t="n">
        <f aca="false">IF($N1478="مرتجع",0,K1478*IFERROR(INDEX(p_Cost,MATCH($F1478,p_ID,0)),0))</f>
        <v>1200</v>
      </c>
      <c r="Q1478" s="84" t="n">
        <f aca="false">O1478-P1478</f>
        <v>510</v>
      </c>
      <c r="R1478" s="86" t="n">
        <f aca="false">DATE(YEAR(B1478),MONTH(B1478),1)</f>
        <v>46266</v>
      </c>
      <c r="S1478" s="83" t="str">
        <f aca="false">YEAR(B1478)&amp;"-Q"&amp;ROUNDUP(MONTH(B1478)/3,0)</f>
        <v>2026-Q3</v>
      </c>
      <c r="T1478" s="87" t="n">
        <f aca="false">IF(O1478&gt;0,Q1478/O1478,"")</f>
        <v>0.298245614035088</v>
      </c>
      <c r="U1478" s="84" t="n">
        <f aca="false">IF(O1478&gt;0,O1478,"")</f>
        <v>1710</v>
      </c>
    </row>
    <row r="1479" customFormat="false" ht="15" hidden="false" customHeight="false" outlineLevel="0" collapsed="false">
      <c r="A1479" s="81" t="s">
        <v>2122</v>
      </c>
      <c r="B1479" s="82" t="n">
        <v>46290</v>
      </c>
      <c r="C1479" s="81" t="s">
        <v>361</v>
      </c>
      <c r="D1479" s="83" t="str">
        <f aca="false">IFERROR(INDEX(c_Name,MATCH($C1479,c_ID,0)),"غير معرّف")</f>
        <v>دانة المطيري</v>
      </c>
      <c r="E1479" s="83" t="str">
        <f aca="false">IFERROR(INDEX(c_Region,MATCH($C1479,c_ID,0)),"غير معرّف")</f>
        <v>الشرقية</v>
      </c>
      <c r="F1479" s="81" t="s">
        <v>177</v>
      </c>
      <c r="G1479" s="83" t="str">
        <f aca="false">IFERROR(INDEX(p_Name,MATCH($F1479,p_ID,0)),"غير معرّف")</f>
        <v>ورق A4 (صندوق)</v>
      </c>
      <c r="H1479" s="83" t="str">
        <f aca="false">IFERROR(INDEX(p_Cat,MATCH($F1479,p_ID,0)),"غير معرّف")</f>
        <v>مستلزمات مكتبية</v>
      </c>
      <c r="I1479" s="81" t="s">
        <v>463</v>
      </c>
      <c r="J1479" s="81" t="s">
        <v>93</v>
      </c>
      <c r="K1479" s="81" t="n">
        <v>4</v>
      </c>
      <c r="L1479" s="84" t="n">
        <f aca="false">IFERROR(INDEX(p_Price,MATCH($F1479,p_ID,0)),0)</f>
        <v>140</v>
      </c>
      <c r="M1479" s="85" t="n">
        <v>0</v>
      </c>
      <c r="N1479" s="81" t="s">
        <v>644</v>
      </c>
      <c r="O1479" s="84" t="n">
        <f aca="false">IF($N1479="مرتجع",0,K1479*L1479*(1-M1479))</f>
        <v>560</v>
      </c>
      <c r="P1479" s="84" t="n">
        <f aca="false">IF($N1479="مرتجع",0,K1479*IFERROR(INDEX(p_Cost,MATCH($F1479,p_ID,0)),0))</f>
        <v>380</v>
      </c>
      <c r="Q1479" s="84" t="n">
        <f aca="false">O1479-P1479</f>
        <v>180</v>
      </c>
      <c r="R1479" s="86" t="n">
        <f aca="false">DATE(YEAR(B1479),MONTH(B1479),1)</f>
        <v>46266</v>
      </c>
      <c r="S1479" s="83" t="str">
        <f aca="false">YEAR(B1479)&amp;"-Q"&amp;ROUNDUP(MONTH(B1479)/3,0)</f>
        <v>2026-Q3</v>
      </c>
      <c r="T1479" s="87" t="n">
        <f aca="false">IF(O1479&gt;0,Q1479/O1479,"")</f>
        <v>0.321428571428571</v>
      </c>
      <c r="U1479" s="84" t="n">
        <f aca="false">IF(O1479&gt;0,O1479,"")</f>
        <v>560</v>
      </c>
    </row>
    <row r="1480" customFormat="false" ht="15" hidden="false" customHeight="false" outlineLevel="0" collapsed="false">
      <c r="A1480" s="81" t="s">
        <v>2123</v>
      </c>
      <c r="B1480" s="82" t="n">
        <v>46291</v>
      </c>
      <c r="C1480" s="81" t="s">
        <v>355</v>
      </c>
      <c r="D1480" s="83" t="str">
        <f aca="false">IFERROR(INDEX(c_Name,MATCH($C1480,c_ID,0)),"غير معرّف")</f>
        <v>جود القحطاني</v>
      </c>
      <c r="E1480" s="83" t="str">
        <f aca="false">IFERROR(INDEX(c_Region,MATCH($C1480,c_ID,0)),"غير معرّف")</f>
        <v>الجنوبية</v>
      </c>
      <c r="F1480" s="81" t="s">
        <v>179</v>
      </c>
      <c r="G1480" s="83" t="str">
        <f aca="false">IFERROR(INDEX(p_Name,MATCH($F1480,p_ID,0)),"غير معرّف")</f>
        <v>طقم أدوات مكتبية</v>
      </c>
      <c r="H1480" s="83" t="str">
        <f aca="false">IFERROR(INDEX(p_Cat,MATCH($F1480,p_ID,0)),"غير معرّف")</f>
        <v>مستلزمات مكتبية</v>
      </c>
      <c r="I1480" s="81" t="s">
        <v>465</v>
      </c>
      <c r="J1480" s="81" t="s">
        <v>93</v>
      </c>
      <c r="K1480" s="81" t="n">
        <v>7</v>
      </c>
      <c r="L1480" s="84" t="n">
        <f aca="false">IFERROR(INDEX(p_Price,MATCH($F1480,p_ID,0)),0)</f>
        <v>90</v>
      </c>
      <c r="M1480" s="85" t="n">
        <v>0</v>
      </c>
      <c r="N1480" s="81" t="s">
        <v>644</v>
      </c>
      <c r="O1480" s="84" t="n">
        <f aca="false">IF($N1480="مرتجع",0,K1480*L1480*(1-M1480))</f>
        <v>630</v>
      </c>
      <c r="P1480" s="84" t="n">
        <f aca="false">IF($N1480="مرتجع",0,K1480*IFERROR(INDEX(p_Cost,MATCH($F1480,p_ID,0)),0))</f>
        <v>315</v>
      </c>
      <c r="Q1480" s="84" t="n">
        <f aca="false">O1480-P1480</f>
        <v>315</v>
      </c>
      <c r="R1480" s="86" t="n">
        <f aca="false">DATE(YEAR(B1480),MONTH(B1480),1)</f>
        <v>46266</v>
      </c>
      <c r="S1480" s="83" t="str">
        <f aca="false">YEAR(B1480)&amp;"-Q"&amp;ROUNDUP(MONTH(B1480)/3,0)</f>
        <v>2026-Q3</v>
      </c>
      <c r="T1480" s="87" t="n">
        <f aca="false">IF(O1480&gt;0,Q1480/O1480,"")</f>
        <v>0.5</v>
      </c>
      <c r="U1480" s="84" t="n">
        <f aca="false">IF(O1480&gt;0,O1480,"")</f>
        <v>630</v>
      </c>
    </row>
    <row r="1481" customFormat="false" ht="15" hidden="false" customHeight="false" outlineLevel="0" collapsed="false">
      <c r="A1481" s="81" t="s">
        <v>2124</v>
      </c>
      <c r="B1481" s="82" t="n">
        <v>46291</v>
      </c>
      <c r="C1481" s="81" t="s">
        <v>246</v>
      </c>
      <c r="D1481" s="83" t="str">
        <f aca="false">IFERROR(INDEX(c_Name,MATCH($C1481,c_ID,0)),"غير معرّف")</f>
        <v>ياسر العتيبي</v>
      </c>
      <c r="E1481" s="83" t="str">
        <f aca="false">IFERROR(INDEX(c_Region,MATCH($C1481,c_ID,0)),"غير معرّف")</f>
        <v>الجنوبية</v>
      </c>
      <c r="F1481" s="81" t="s">
        <v>170</v>
      </c>
      <c r="G1481" s="83" t="str">
        <f aca="false">IFERROR(INDEX(p_Name,MATCH($F1481,p_ID,0)),"غير معرّف")</f>
        <v>مكيف نقال</v>
      </c>
      <c r="H1481" s="83" t="str">
        <f aca="false">IFERROR(INDEX(p_Cat,MATCH($F1481,p_ID,0)),"غير معرّف")</f>
        <v>أجهزة منزلية</v>
      </c>
      <c r="I1481" s="81" t="s">
        <v>467</v>
      </c>
      <c r="J1481" s="81" t="s">
        <v>93</v>
      </c>
      <c r="K1481" s="81" t="n">
        <v>1</v>
      </c>
      <c r="L1481" s="84" t="n">
        <f aca="false">IFERROR(INDEX(p_Price,MATCH($F1481,p_ID,0)),0)</f>
        <v>1900</v>
      </c>
      <c r="M1481" s="85" t="n">
        <v>0.05</v>
      </c>
      <c r="N1481" s="81" t="s">
        <v>644</v>
      </c>
      <c r="O1481" s="84" t="n">
        <f aca="false">IF($N1481="مرتجع",0,K1481*L1481*(1-M1481))</f>
        <v>1805</v>
      </c>
      <c r="P1481" s="84" t="n">
        <f aca="false">IF($N1481="مرتجع",0,K1481*IFERROR(INDEX(p_Cost,MATCH($F1481,p_ID,0)),0))</f>
        <v>1350</v>
      </c>
      <c r="Q1481" s="84" t="n">
        <f aca="false">O1481-P1481</f>
        <v>455</v>
      </c>
      <c r="R1481" s="86" t="n">
        <f aca="false">DATE(YEAR(B1481),MONTH(B1481),1)</f>
        <v>46266</v>
      </c>
      <c r="S1481" s="83" t="str">
        <f aca="false">YEAR(B1481)&amp;"-Q"&amp;ROUNDUP(MONTH(B1481)/3,0)</f>
        <v>2026-Q3</v>
      </c>
      <c r="T1481" s="87" t="n">
        <f aca="false">IF(O1481&gt;0,Q1481/O1481,"")</f>
        <v>0.25207756232687</v>
      </c>
      <c r="U1481" s="84" t="n">
        <f aca="false">IF(O1481&gt;0,O1481,"")</f>
        <v>1805</v>
      </c>
    </row>
    <row r="1482" customFormat="false" ht="15" hidden="false" customHeight="false" outlineLevel="0" collapsed="false">
      <c r="A1482" s="81" t="s">
        <v>2125</v>
      </c>
      <c r="B1482" s="82" t="n">
        <v>46291</v>
      </c>
      <c r="C1482" s="81" t="s">
        <v>293</v>
      </c>
      <c r="D1482" s="83" t="str">
        <f aca="false">IFERROR(INDEX(c_Name,MATCH($C1482,c_ID,0)),"غير معرّف")</f>
        <v>سارة الغامدي</v>
      </c>
      <c r="E1482" s="83" t="str">
        <f aca="false">IFERROR(INDEX(c_Region,MATCH($C1482,c_ID,0)),"غير معرّف")</f>
        <v>الوسطى</v>
      </c>
      <c r="F1482" s="81" t="s">
        <v>172</v>
      </c>
      <c r="G1482" s="83" t="str">
        <f aca="false">IFERROR(INDEX(p_Name,MATCH($F1482,p_ID,0)),"غير معرّف")</f>
        <v>مكتب عمل</v>
      </c>
      <c r="H1482" s="83" t="str">
        <f aca="false">IFERROR(INDEX(p_Cat,MATCH($F1482,p_ID,0)),"غير معرّف")</f>
        <v>أثاث</v>
      </c>
      <c r="I1482" s="81" t="s">
        <v>446</v>
      </c>
      <c r="J1482" s="81" t="s">
        <v>93</v>
      </c>
      <c r="K1482" s="81" t="n">
        <v>1</v>
      </c>
      <c r="L1482" s="84" t="n">
        <f aca="false">IFERROR(INDEX(p_Price,MATCH($F1482,p_ID,0)),0)</f>
        <v>1200</v>
      </c>
      <c r="M1482" s="85" t="n">
        <v>0.15</v>
      </c>
      <c r="N1482" s="81" t="s">
        <v>644</v>
      </c>
      <c r="O1482" s="84" t="n">
        <f aca="false">IF($N1482="مرتجع",0,K1482*L1482*(1-M1482))</f>
        <v>1020</v>
      </c>
      <c r="P1482" s="84" t="n">
        <f aca="false">IF($N1482="مرتجع",0,K1482*IFERROR(INDEX(p_Cost,MATCH($F1482,p_ID,0)),0))</f>
        <v>700</v>
      </c>
      <c r="Q1482" s="84" t="n">
        <f aca="false">O1482-P1482</f>
        <v>320</v>
      </c>
      <c r="R1482" s="86" t="n">
        <f aca="false">DATE(YEAR(B1482),MONTH(B1482),1)</f>
        <v>46266</v>
      </c>
      <c r="S1482" s="83" t="str">
        <f aca="false">YEAR(B1482)&amp;"-Q"&amp;ROUNDUP(MONTH(B1482)/3,0)</f>
        <v>2026-Q3</v>
      </c>
      <c r="T1482" s="87" t="n">
        <f aca="false">IF(O1482&gt;0,Q1482/O1482,"")</f>
        <v>0.313725490196078</v>
      </c>
      <c r="U1482" s="84" t="n">
        <f aca="false">IF(O1482&gt;0,O1482,"")</f>
        <v>1020</v>
      </c>
    </row>
    <row r="1483" customFormat="false" ht="15" hidden="false" customHeight="false" outlineLevel="0" collapsed="false">
      <c r="A1483" s="81" t="s">
        <v>2126</v>
      </c>
      <c r="B1483" s="82" t="n">
        <v>46291</v>
      </c>
      <c r="C1483" s="81" t="s">
        <v>399</v>
      </c>
      <c r="D1483" s="83" t="str">
        <f aca="false">IFERROR(INDEX(c_Name,MATCH($C1483,c_ID,0)),"غير معرّف")</f>
        <v>سارة الشمري</v>
      </c>
      <c r="E1483" s="83" t="str">
        <f aca="false">IFERROR(INDEX(c_Region,MATCH($C1483,c_ID,0)),"غير معرّف")</f>
        <v>الوسطى</v>
      </c>
      <c r="F1483" s="81" t="s">
        <v>179</v>
      </c>
      <c r="G1483" s="83" t="str">
        <f aca="false">IFERROR(INDEX(p_Name,MATCH($F1483,p_ID,0)),"غير معرّف")</f>
        <v>طقم أدوات مكتبية</v>
      </c>
      <c r="H1483" s="83" t="str">
        <f aca="false">IFERROR(INDEX(p_Cat,MATCH($F1483,p_ID,0)),"غير معرّف")</f>
        <v>مستلزمات مكتبية</v>
      </c>
      <c r="I1483" s="81" t="s">
        <v>446</v>
      </c>
      <c r="J1483" s="81" t="s">
        <v>95</v>
      </c>
      <c r="K1483" s="81" t="n">
        <v>6</v>
      </c>
      <c r="L1483" s="84" t="n">
        <f aca="false">IFERROR(INDEX(p_Price,MATCH($F1483,p_ID,0)),0)</f>
        <v>90</v>
      </c>
      <c r="M1483" s="85" t="n">
        <v>0</v>
      </c>
      <c r="N1483" s="81" t="s">
        <v>644</v>
      </c>
      <c r="O1483" s="84" t="n">
        <f aca="false">IF($N1483="مرتجع",0,K1483*L1483*(1-M1483))</f>
        <v>540</v>
      </c>
      <c r="P1483" s="84" t="n">
        <f aca="false">IF($N1483="مرتجع",0,K1483*IFERROR(INDEX(p_Cost,MATCH($F1483,p_ID,0)),0))</f>
        <v>270</v>
      </c>
      <c r="Q1483" s="84" t="n">
        <f aca="false">O1483-P1483</f>
        <v>270</v>
      </c>
      <c r="R1483" s="86" t="n">
        <f aca="false">DATE(YEAR(B1483),MONTH(B1483),1)</f>
        <v>46266</v>
      </c>
      <c r="S1483" s="83" t="str">
        <f aca="false">YEAR(B1483)&amp;"-Q"&amp;ROUNDUP(MONTH(B1483)/3,0)</f>
        <v>2026-Q3</v>
      </c>
      <c r="T1483" s="87" t="n">
        <f aca="false">IF(O1483&gt;0,Q1483/O1483,"")</f>
        <v>0.5</v>
      </c>
      <c r="U1483" s="84" t="n">
        <f aca="false">IF(O1483&gt;0,O1483,"")</f>
        <v>540</v>
      </c>
    </row>
    <row r="1484" customFormat="false" ht="15" hidden="false" customHeight="false" outlineLevel="0" collapsed="false">
      <c r="A1484" s="81" t="s">
        <v>2127</v>
      </c>
      <c r="B1484" s="82" t="n">
        <v>46291</v>
      </c>
      <c r="C1484" s="81" t="s">
        <v>291</v>
      </c>
      <c r="D1484" s="83" t="str">
        <f aca="false">IFERROR(INDEX(c_Name,MATCH($C1484,c_ID,0)),"غير معرّف")</f>
        <v>ياسر الشمري</v>
      </c>
      <c r="E1484" s="83" t="str">
        <f aca="false">IFERROR(INDEX(c_Region,MATCH($C1484,c_ID,0)),"غير معرّف")</f>
        <v>الوسطى</v>
      </c>
      <c r="F1484" s="81" t="s">
        <v>169</v>
      </c>
      <c r="G1484" s="83" t="str">
        <f aca="false">IFERROR(INDEX(p_Name,MATCH($F1484,p_ID,0)),"غير معرّف")</f>
        <v>خلاط</v>
      </c>
      <c r="H1484" s="83" t="str">
        <f aca="false">IFERROR(INDEX(p_Cat,MATCH($F1484,p_ID,0)),"غير معرّف")</f>
        <v>أجهزة منزلية</v>
      </c>
      <c r="I1484" s="81" t="s">
        <v>446</v>
      </c>
      <c r="J1484" s="81" t="s">
        <v>93</v>
      </c>
      <c r="K1484" s="81" t="n">
        <v>1</v>
      </c>
      <c r="L1484" s="84" t="n">
        <f aca="false">IFERROR(INDEX(p_Price,MATCH($F1484,p_ID,0)),0)</f>
        <v>300</v>
      </c>
      <c r="M1484" s="85" t="n">
        <v>0</v>
      </c>
      <c r="N1484" s="81" t="s">
        <v>644</v>
      </c>
      <c r="O1484" s="84" t="n">
        <f aca="false">IF($N1484="مرتجع",0,K1484*L1484*(1-M1484))</f>
        <v>300</v>
      </c>
      <c r="P1484" s="84" t="n">
        <f aca="false">IF($N1484="مرتجع",0,K1484*IFERROR(INDEX(p_Cost,MATCH($F1484,p_ID,0)),0))</f>
        <v>175</v>
      </c>
      <c r="Q1484" s="84" t="n">
        <f aca="false">O1484-P1484</f>
        <v>125</v>
      </c>
      <c r="R1484" s="86" t="n">
        <f aca="false">DATE(YEAR(B1484),MONTH(B1484),1)</f>
        <v>46266</v>
      </c>
      <c r="S1484" s="83" t="str">
        <f aca="false">YEAR(B1484)&amp;"-Q"&amp;ROUNDUP(MONTH(B1484)/3,0)</f>
        <v>2026-Q3</v>
      </c>
      <c r="T1484" s="87" t="n">
        <f aca="false">IF(O1484&gt;0,Q1484/O1484,"")</f>
        <v>0.416666666666667</v>
      </c>
      <c r="U1484" s="84" t="n">
        <f aca="false">IF(O1484&gt;0,O1484,"")</f>
        <v>300</v>
      </c>
    </row>
    <row r="1485" customFormat="false" ht="15" hidden="false" customHeight="false" outlineLevel="0" collapsed="false">
      <c r="A1485" s="81" t="s">
        <v>2128</v>
      </c>
      <c r="B1485" s="82" t="n">
        <v>46291</v>
      </c>
      <c r="C1485" s="81" t="s">
        <v>404</v>
      </c>
      <c r="D1485" s="83" t="str">
        <f aca="false">IFERROR(INDEX(c_Name,MATCH($C1485,c_ID,0)),"غير معرّف")</f>
        <v>عبدالله الحسيني</v>
      </c>
      <c r="E1485" s="83" t="str">
        <f aca="false">IFERROR(INDEX(c_Region,MATCH($C1485,c_ID,0)),"غير معرّف")</f>
        <v>الشرقية</v>
      </c>
      <c r="F1485" s="81" t="s">
        <v>179</v>
      </c>
      <c r="G1485" s="83" t="str">
        <f aca="false">IFERROR(INDEX(p_Name,MATCH($F1485,p_ID,0)),"غير معرّف")</f>
        <v>طقم أدوات مكتبية</v>
      </c>
      <c r="H1485" s="83" t="str">
        <f aca="false">IFERROR(INDEX(p_Cat,MATCH($F1485,p_ID,0)),"غير معرّف")</f>
        <v>مستلزمات مكتبية</v>
      </c>
      <c r="I1485" s="81" t="s">
        <v>461</v>
      </c>
      <c r="J1485" s="81" t="s">
        <v>93</v>
      </c>
      <c r="K1485" s="81" t="n">
        <v>1</v>
      </c>
      <c r="L1485" s="84" t="n">
        <f aca="false">IFERROR(INDEX(p_Price,MATCH($F1485,p_ID,0)),0)</f>
        <v>90</v>
      </c>
      <c r="M1485" s="85" t="n">
        <v>0.05</v>
      </c>
      <c r="N1485" s="81" t="s">
        <v>644</v>
      </c>
      <c r="O1485" s="84" t="n">
        <f aca="false">IF($N1485="مرتجع",0,K1485*L1485*(1-M1485))</f>
        <v>85.5</v>
      </c>
      <c r="P1485" s="84" t="n">
        <f aca="false">IF($N1485="مرتجع",0,K1485*IFERROR(INDEX(p_Cost,MATCH($F1485,p_ID,0)),0))</f>
        <v>45</v>
      </c>
      <c r="Q1485" s="84" t="n">
        <f aca="false">O1485-P1485</f>
        <v>40.5</v>
      </c>
      <c r="R1485" s="86" t="n">
        <f aca="false">DATE(YEAR(B1485),MONTH(B1485),1)</f>
        <v>46266</v>
      </c>
      <c r="S1485" s="83" t="str">
        <f aca="false">YEAR(B1485)&amp;"-Q"&amp;ROUNDUP(MONTH(B1485)/3,0)</f>
        <v>2026-Q3</v>
      </c>
      <c r="T1485" s="87" t="n">
        <f aca="false">IF(O1485&gt;0,Q1485/O1485,"")</f>
        <v>0.473684210526316</v>
      </c>
      <c r="U1485" s="84" t="n">
        <f aca="false">IF(O1485&gt;0,O1485,"")</f>
        <v>85.5</v>
      </c>
    </row>
    <row r="1486" customFormat="false" ht="15" hidden="false" customHeight="false" outlineLevel="0" collapsed="false">
      <c r="A1486" s="81" t="s">
        <v>2129</v>
      </c>
      <c r="B1486" s="82" t="n">
        <v>46291</v>
      </c>
      <c r="C1486" s="81" t="s">
        <v>295</v>
      </c>
      <c r="D1486" s="83" t="str">
        <f aca="false">IFERROR(INDEX(c_Name,MATCH($C1486,c_ID,0)),"غير معرّف")</f>
        <v>عبير الزهراني</v>
      </c>
      <c r="E1486" s="83" t="str">
        <f aca="false">IFERROR(INDEX(c_Region,MATCH($C1486,c_ID,0)),"غير معرّف")</f>
        <v>الوسطى</v>
      </c>
      <c r="F1486" s="81" t="s">
        <v>178</v>
      </c>
      <c r="G1486" s="83" t="str">
        <f aca="false">IFERROR(INDEX(p_Name,MATCH($F1486,p_ID,0)),"غير معرّف")</f>
        <v>حقيبة لابتوب</v>
      </c>
      <c r="H1486" s="83" t="str">
        <f aca="false">IFERROR(INDEX(p_Cat,MATCH($F1486,p_ID,0)),"غير معرّف")</f>
        <v>مستلزمات مكتبية</v>
      </c>
      <c r="I1486" s="81" t="s">
        <v>443</v>
      </c>
      <c r="J1486" s="81" t="s">
        <v>93</v>
      </c>
      <c r="K1486" s="81" t="n">
        <v>6</v>
      </c>
      <c r="L1486" s="84" t="n">
        <f aca="false">IFERROR(INDEX(p_Price,MATCH($F1486,p_ID,0)),0)</f>
        <v>260</v>
      </c>
      <c r="M1486" s="85" t="n">
        <v>0</v>
      </c>
      <c r="N1486" s="81" t="s">
        <v>644</v>
      </c>
      <c r="O1486" s="84" t="n">
        <f aca="false">IF($N1486="مرتجع",0,K1486*L1486*(1-M1486))</f>
        <v>1560</v>
      </c>
      <c r="P1486" s="84" t="n">
        <f aca="false">IF($N1486="مرتجع",0,K1486*IFERROR(INDEX(p_Cost,MATCH($F1486,p_ID,0)),0))</f>
        <v>720</v>
      </c>
      <c r="Q1486" s="84" t="n">
        <f aca="false">O1486-P1486</f>
        <v>840</v>
      </c>
      <c r="R1486" s="86" t="n">
        <f aca="false">DATE(YEAR(B1486),MONTH(B1486),1)</f>
        <v>46266</v>
      </c>
      <c r="S1486" s="83" t="str">
        <f aca="false">YEAR(B1486)&amp;"-Q"&amp;ROUNDUP(MONTH(B1486)/3,0)</f>
        <v>2026-Q3</v>
      </c>
      <c r="T1486" s="87" t="n">
        <f aca="false">IF(O1486&gt;0,Q1486/O1486,"")</f>
        <v>0.538461538461538</v>
      </c>
      <c r="U1486" s="84" t="n">
        <f aca="false">IF(O1486&gt;0,O1486,"")</f>
        <v>1560</v>
      </c>
    </row>
    <row r="1487" customFormat="false" ht="15" hidden="false" customHeight="false" outlineLevel="0" collapsed="false">
      <c r="A1487" s="81" t="s">
        <v>2130</v>
      </c>
      <c r="B1487" s="82" t="n">
        <v>46292</v>
      </c>
      <c r="C1487" s="81" t="s">
        <v>249</v>
      </c>
      <c r="D1487" s="83" t="str">
        <f aca="false">IFERROR(INDEX(c_Name,MATCH($C1487,c_ID,0)),"غير معرّف")</f>
        <v>ريم الحسيني</v>
      </c>
      <c r="E1487" s="83" t="str">
        <f aca="false">IFERROR(INDEX(c_Region,MATCH($C1487,c_ID,0)),"غير معرّف")</f>
        <v>الوسطى</v>
      </c>
      <c r="F1487" s="81" t="s">
        <v>183</v>
      </c>
      <c r="G1487" s="83" t="str">
        <f aca="false">IFERROR(INDEX(p_Name,MATCH($F1487,p_ID,0)),"غير معرّف")</f>
        <v>سجادة يوغا</v>
      </c>
      <c r="H1487" s="83" t="str">
        <f aca="false">IFERROR(INDEX(p_Cat,MATCH($F1487,p_ID,0)),"غير معرّف")</f>
        <v>رياضة</v>
      </c>
      <c r="I1487" s="81" t="s">
        <v>449</v>
      </c>
      <c r="J1487" s="81" t="s">
        <v>91</v>
      </c>
      <c r="K1487" s="81" t="n">
        <v>1</v>
      </c>
      <c r="L1487" s="84" t="n">
        <f aca="false">IFERROR(INDEX(p_Price,MATCH($F1487,p_ID,0)),0)</f>
        <v>120</v>
      </c>
      <c r="M1487" s="85" t="n">
        <v>0.1</v>
      </c>
      <c r="N1487" s="81" t="s">
        <v>644</v>
      </c>
      <c r="O1487" s="84" t="n">
        <f aca="false">IF($N1487="مرتجع",0,K1487*L1487*(1-M1487))</f>
        <v>108</v>
      </c>
      <c r="P1487" s="84" t="n">
        <f aca="false">IF($N1487="مرتجع",0,K1487*IFERROR(INDEX(p_Cost,MATCH($F1487,p_ID,0)),0))</f>
        <v>50</v>
      </c>
      <c r="Q1487" s="84" t="n">
        <f aca="false">O1487-P1487</f>
        <v>58</v>
      </c>
      <c r="R1487" s="86" t="n">
        <f aca="false">DATE(YEAR(B1487),MONTH(B1487),1)</f>
        <v>46266</v>
      </c>
      <c r="S1487" s="83" t="str">
        <f aca="false">YEAR(B1487)&amp;"-Q"&amp;ROUNDUP(MONTH(B1487)/3,0)</f>
        <v>2026-Q3</v>
      </c>
      <c r="T1487" s="87" t="n">
        <f aca="false">IF(O1487&gt;0,Q1487/O1487,"")</f>
        <v>0.537037037037037</v>
      </c>
      <c r="U1487" s="84" t="n">
        <f aca="false">IF(O1487&gt;0,O1487,"")</f>
        <v>108</v>
      </c>
    </row>
    <row r="1488" customFormat="false" ht="15" hidden="false" customHeight="false" outlineLevel="0" collapsed="false">
      <c r="A1488" s="81" t="s">
        <v>2131</v>
      </c>
      <c r="B1488" s="82" t="n">
        <v>46292</v>
      </c>
      <c r="C1488" s="81" t="s">
        <v>382</v>
      </c>
      <c r="D1488" s="83" t="str">
        <f aca="false">IFERROR(INDEX(c_Name,MATCH($C1488,c_ID,0)),"غير معرّف")</f>
        <v>دانة العتيبي</v>
      </c>
      <c r="E1488" s="83" t="str">
        <f aca="false">IFERROR(INDEX(c_Region,MATCH($C1488,c_ID,0)),"غير معرّف")</f>
        <v>الشرقية</v>
      </c>
      <c r="F1488" s="81" t="s">
        <v>177</v>
      </c>
      <c r="G1488" s="83" t="str">
        <f aca="false">IFERROR(INDEX(p_Name,MATCH($F1488,p_ID,0)),"غير معرّف")</f>
        <v>ورق A4 (صندوق)</v>
      </c>
      <c r="H1488" s="83" t="str">
        <f aca="false">IFERROR(INDEX(p_Cat,MATCH($F1488,p_ID,0)),"غير معرّف")</f>
        <v>مستلزمات مكتبية</v>
      </c>
      <c r="I1488" s="81" t="s">
        <v>463</v>
      </c>
      <c r="J1488" s="81" t="s">
        <v>95</v>
      </c>
      <c r="K1488" s="81" t="n">
        <v>19</v>
      </c>
      <c r="L1488" s="84" t="n">
        <f aca="false">IFERROR(INDEX(p_Price,MATCH($F1488,p_ID,0)),0)</f>
        <v>140</v>
      </c>
      <c r="M1488" s="85" t="n">
        <v>0.1</v>
      </c>
      <c r="N1488" s="81" t="s">
        <v>644</v>
      </c>
      <c r="O1488" s="84" t="n">
        <f aca="false">IF($N1488="مرتجع",0,K1488*L1488*(1-M1488))</f>
        <v>2394</v>
      </c>
      <c r="P1488" s="84" t="n">
        <f aca="false">IF($N1488="مرتجع",0,K1488*IFERROR(INDEX(p_Cost,MATCH($F1488,p_ID,0)),0))</f>
        <v>1805</v>
      </c>
      <c r="Q1488" s="84" t="n">
        <f aca="false">O1488-P1488</f>
        <v>589</v>
      </c>
      <c r="R1488" s="86" t="n">
        <f aca="false">DATE(YEAR(B1488),MONTH(B1488),1)</f>
        <v>46266</v>
      </c>
      <c r="S1488" s="83" t="str">
        <f aca="false">YEAR(B1488)&amp;"-Q"&amp;ROUNDUP(MONTH(B1488)/3,0)</f>
        <v>2026-Q3</v>
      </c>
      <c r="T1488" s="87" t="n">
        <f aca="false">IF(O1488&gt;0,Q1488/O1488,"")</f>
        <v>0.246031746031746</v>
      </c>
      <c r="U1488" s="84" t="n">
        <f aca="false">IF(O1488&gt;0,O1488,"")</f>
        <v>2394</v>
      </c>
    </row>
    <row r="1489" customFormat="false" ht="15" hidden="false" customHeight="false" outlineLevel="0" collapsed="false">
      <c r="A1489" s="81" t="s">
        <v>2132</v>
      </c>
      <c r="B1489" s="82" t="n">
        <v>46293</v>
      </c>
      <c r="C1489" s="81" t="s">
        <v>315</v>
      </c>
      <c r="D1489" s="83" t="str">
        <f aca="false">IFERROR(INDEX(c_Name,MATCH($C1489,c_ID,0)),"غير معرّف")</f>
        <v>أحمد الحربي</v>
      </c>
      <c r="E1489" s="83" t="str">
        <f aca="false">IFERROR(INDEX(c_Region,MATCH($C1489,c_ID,0)),"غير معرّف")</f>
        <v>الغربية</v>
      </c>
      <c r="F1489" s="81" t="s">
        <v>179</v>
      </c>
      <c r="G1489" s="83" t="str">
        <f aca="false">IFERROR(INDEX(p_Name,MATCH($F1489,p_ID,0)),"غير معرّف")</f>
        <v>طقم أدوات مكتبية</v>
      </c>
      <c r="H1489" s="83" t="str">
        <f aca="false">IFERROR(INDEX(p_Cat,MATCH($F1489,p_ID,0)),"غير معرّف")</f>
        <v>مستلزمات مكتبية</v>
      </c>
      <c r="I1489" s="81" t="s">
        <v>455</v>
      </c>
      <c r="J1489" s="81" t="s">
        <v>93</v>
      </c>
      <c r="K1489" s="81" t="n">
        <v>18</v>
      </c>
      <c r="L1489" s="84" t="n">
        <f aca="false">IFERROR(INDEX(p_Price,MATCH($F1489,p_ID,0)),0)</f>
        <v>90</v>
      </c>
      <c r="M1489" s="85" t="n">
        <v>0.2</v>
      </c>
      <c r="N1489" s="81" t="s">
        <v>644</v>
      </c>
      <c r="O1489" s="84" t="n">
        <f aca="false">IF($N1489="مرتجع",0,K1489*L1489*(1-M1489))</f>
        <v>1296</v>
      </c>
      <c r="P1489" s="84" t="n">
        <f aca="false">IF($N1489="مرتجع",0,K1489*IFERROR(INDEX(p_Cost,MATCH($F1489,p_ID,0)),0))</f>
        <v>810</v>
      </c>
      <c r="Q1489" s="84" t="n">
        <f aca="false">O1489-P1489</f>
        <v>486</v>
      </c>
      <c r="R1489" s="86" t="n">
        <f aca="false">DATE(YEAR(B1489),MONTH(B1489),1)</f>
        <v>46266</v>
      </c>
      <c r="S1489" s="83" t="str">
        <f aca="false">YEAR(B1489)&amp;"-Q"&amp;ROUNDUP(MONTH(B1489)/3,0)</f>
        <v>2026-Q3</v>
      </c>
      <c r="T1489" s="87" t="n">
        <f aca="false">IF(O1489&gt;0,Q1489/O1489,"")</f>
        <v>0.375</v>
      </c>
      <c r="U1489" s="84" t="n">
        <f aca="false">IF(O1489&gt;0,O1489,"")</f>
        <v>1296</v>
      </c>
    </row>
    <row r="1490" customFormat="false" ht="15" hidden="false" customHeight="false" outlineLevel="0" collapsed="false">
      <c r="A1490" s="81" t="s">
        <v>2133</v>
      </c>
      <c r="B1490" s="82" t="n">
        <v>46293</v>
      </c>
      <c r="C1490" s="81" t="s">
        <v>294</v>
      </c>
      <c r="D1490" s="83" t="str">
        <f aca="false">IFERROR(INDEX(c_Name,MATCH($C1490,c_ID,0)),"غير معرّف")</f>
        <v>خالد البلوي</v>
      </c>
      <c r="E1490" s="83" t="str">
        <f aca="false">IFERROR(INDEX(c_Region,MATCH($C1490,c_ID,0)),"غير معرّف")</f>
        <v>الوسطى</v>
      </c>
      <c r="F1490" s="81" t="s">
        <v>175</v>
      </c>
      <c r="G1490" s="83" t="str">
        <f aca="false">IFERROR(INDEX(p_Name,MATCH($F1490,p_ID,0)),"غير معرّف")</f>
        <v>رف كتب</v>
      </c>
      <c r="H1490" s="83" t="str">
        <f aca="false">IFERROR(INDEX(p_Cat,MATCH($F1490,p_ID,0)),"غير معرّف")</f>
        <v>أثاث</v>
      </c>
      <c r="I1490" s="81" t="s">
        <v>446</v>
      </c>
      <c r="J1490" s="81" t="s">
        <v>95</v>
      </c>
      <c r="K1490" s="81" t="n">
        <v>8</v>
      </c>
      <c r="L1490" s="84" t="n">
        <f aca="false">IFERROR(INDEX(p_Price,MATCH($F1490,p_ID,0)),0)</f>
        <v>400</v>
      </c>
      <c r="M1490" s="85" t="n">
        <v>0.15</v>
      </c>
      <c r="N1490" s="81" t="s">
        <v>644</v>
      </c>
      <c r="O1490" s="84" t="n">
        <f aca="false">IF($N1490="مرتجع",0,K1490*L1490*(1-M1490))</f>
        <v>2720</v>
      </c>
      <c r="P1490" s="84" t="n">
        <f aca="false">IF($N1490="مرتجع",0,K1490*IFERROR(INDEX(p_Cost,MATCH($F1490,p_ID,0)),0))</f>
        <v>1760</v>
      </c>
      <c r="Q1490" s="84" t="n">
        <f aca="false">O1490-P1490</f>
        <v>960</v>
      </c>
      <c r="R1490" s="86" t="n">
        <f aca="false">DATE(YEAR(B1490),MONTH(B1490),1)</f>
        <v>46266</v>
      </c>
      <c r="S1490" s="83" t="str">
        <f aca="false">YEAR(B1490)&amp;"-Q"&amp;ROUNDUP(MONTH(B1490)/3,0)</f>
        <v>2026-Q3</v>
      </c>
      <c r="T1490" s="87" t="n">
        <f aca="false">IF(O1490&gt;0,Q1490/O1490,"")</f>
        <v>0.352941176470588</v>
      </c>
      <c r="U1490" s="84" t="n">
        <f aca="false">IF(O1490&gt;0,O1490,"")</f>
        <v>2720</v>
      </c>
    </row>
    <row r="1491" customFormat="false" ht="15" hidden="false" customHeight="false" outlineLevel="0" collapsed="false">
      <c r="A1491" s="81" t="s">
        <v>2134</v>
      </c>
      <c r="B1491" s="82" t="n">
        <v>46293</v>
      </c>
      <c r="C1491" s="81" t="s">
        <v>275</v>
      </c>
      <c r="D1491" s="83" t="str">
        <f aca="false">IFERROR(INDEX(c_Name,MATCH($C1491,c_ID,0)),"غير معرّف")</f>
        <v>طارق البلوي</v>
      </c>
      <c r="E1491" s="83" t="str">
        <f aca="false">IFERROR(INDEX(c_Region,MATCH($C1491,c_ID,0)),"غير معرّف")</f>
        <v>الشرقية</v>
      </c>
      <c r="F1491" s="81" t="s">
        <v>185</v>
      </c>
      <c r="G1491" s="83" t="str">
        <f aca="false">IFERROR(INDEX(p_Name,MATCH($F1491,p_ID,0)),"غير معرّف")</f>
        <v>ماكينة حلاقة</v>
      </c>
      <c r="H1491" s="83" t="str">
        <f aca="false">IFERROR(INDEX(p_Cat,MATCH($F1491,p_ID,0)),"غير معرّف")</f>
        <v>عناية شخصية</v>
      </c>
      <c r="I1491" s="81" t="s">
        <v>461</v>
      </c>
      <c r="J1491" s="81" t="s">
        <v>91</v>
      </c>
      <c r="K1491" s="81" t="n">
        <v>1</v>
      </c>
      <c r="L1491" s="84" t="n">
        <f aca="false">IFERROR(INDEX(p_Price,MATCH($F1491,p_ID,0)),0)</f>
        <v>340</v>
      </c>
      <c r="M1491" s="85" t="n">
        <v>0.05</v>
      </c>
      <c r="N1491" s="81" t="s">
        <v>644</v>
      </c>
      <c r="O1491" s="84" t="n">
        <f aca="false">IF($N1491="مرتجع",0,K1491*L1491*(1-M1491))</f>
        <v>323</v>
      </c>
      <c r="P1491" s="84" t="n">
        <f aca="false">IF($N1491="مرتجع",0,K1491*IFERROR(INDEX(p_Cost,MATCH($F1491,p_ID,0)),0))</f>
        <v>170</v>
      </c>
      <c r="Q1491" s="84" t="n">
        <f aca="false">O1491-P1491</f>
        <v>153</v>
      </c>
      <c r="R1491" s="86" t="n">
        <f aca="false">DATE(YEAR(B1491),MONTH(B1491),1)</f>
        <v>46266</v>
      </c>
      <c r="S1491" s="83" t="str">
        <f aca="false">YEAR(B1491)&amp;"-Q"&amp;ROUNDUP(MONTH(B1491)/3,0)</f>
        <v>2026-Q3</v>
      </c>
      <c r="T1491" s="87" t="n">
        <f aca="false">IF(O1491&gt;0,Q1491/O1491,"")</f>
        <v>0.473684210526316</v>
      </c>
      <c r="U1491" s="84" t="n">
        <f aca="false">IF(O1491&gt;0,O1491,"")</f>
        <v>323</v>
      </c>
    </row>
    <row r="1492" customFormat="false" ht="15" hidden="false" customHeight="false" outlineLevel="0" collapsed="false">
      <c r="A1492" s="81" t="s">
        <v>2135</v>
      </c>
      <c r="B1492" s="82" t="n">
        <v>46293</v>
      </c>
      <c r="C1492" s="81" t="s">
        <v>423</v>
      </c>
      <c r="D1492" s="83" t="str">
        <f aca="false">IFERROR(INDEX(c_Name,MATCH($C1492,c_ID,0)),"غير معرّف")</f>
        <v>ناصر المطيري</v>
      </c>
      <c r="E1492" s="83" t="str">
        <f aca="false">IFERROR(INDEX(c_Region,MATCH($C1492,c_ID,0)),"غير معرّف")</f>
        <v>الغربية</v>
      </c>
      <c r="F1492" s="81" t="s">
        <v>177</v>
      </c>
      <c r="G1492" s="83" t="str">
        <f aca="false">IFERROR(INDEX(p_Name,MATCH($F1492,p_ID,0)),"غير معرّف")</f>
        <v>ورق A4 (صندوق)</v>
      </c>
      <c r="H1492" s="83" t="str">
        <f aca="false">IFERROR(INDEX(p_Cat,MATCH($F1492,p_ID,0)),"غير معرّف")</f>
        <v>مستلزمات مكتبية</v>
      </c>
      <c r="I1492" s="81" t="s">
        <v>458</v>
      </c>
      <c r="J1492" s="81" t="s">
        <v>91</v>
      </c>
      <c r="K1492" s="81" t="n">
        <v>2</v>
      </c>
      <c r="L1492" s="84" t="n">
        <f aca="false">IFERROR(INDEX(p_Price,MATCH($F1492,p_ID,0)),0)</f>
        <v>140</v>
      </c>
      <c r="M1492" s="85" t="n">
        <v>0.15</v>
      </c>
      <c r="N1492" s="81" t="s">
        <v>644</v>
      </c>
      <c r="O1492" s="84" t="n">
        <f aca="false">IF($N1492="مرتجع",0,K1492*L1492*(1-M1492))</f>
        <v>238</v>
      </c>
      <c r="P1492" s="84" t="n">
        <f aca="false">IF($N1492="مرتجع",0,K1492*IFERROR(INDEX(p_Cost,MATCH($F1492,p_ID,0)),0))</f>
        <v>190</v>
      </c>
      <c r="Q1492" s="84" t="n">
        <f aca="false">O1492-P1492</f>
        <v>48</v>
      </c>
      <c r="R1492" s="86" t="n">
        <f aca="false">DATE(YEAR(B1492),MONTH(B1492),1)</f>
        <v>46266</v>
      </c>
      <c r="S1492" s="83" t="str">
        <f aca="false">YEAR(B1492)&amp;"-Q"&amp;ROUNDUP(MONTH(B1492)/3,0)</f>
        <v>2026-Q3</v>
      </c>
      <c r="T1492" s="87" t="n">
        <f aca="false">IF(O1492&gt;0,Q1492/O1492,"")</f>
        <v>0.201680672268908</v>
      </c>
      <c r="U1492" s="84" t="n">
        <f aca="false">IF(O1492&gt;0,O1492,"")</f>
        <v>238</v>
      </c>
    </row>
    <row r="1493" customFormat="false" ht="15" hidden="false" customHeight="false" outlineLevel="0" collapsed="false">
      <c r="A1493" s="81" t="s">
        <v>2136</v>
      </c>
      <c r="B1493" s="82" t="n">
        <v>46294</v>
      </c>
      <c r="C1493" s="81" t="s">
        <v>294</v>
      </c>
      <c r="D1493" s="83" t="str">
        <f aca="false">IFERROR(INDEX(c_Name,MATCH($C1493,c_ID,0)),"غير معرّف")</f>
        <v>خالد البلوي</v>
      </c>
      <c r="E1493" s="83" t="str">
        <f aca="false">IFERROR(INDEX(c_Region,MATCH($C1493,c_ID,0)),"غير معرّف")</f>
        <v>الوسطى</v>
      </c>
      <c r="F1493" s="81" t="s">
        <v>178</v>
      </c>
      <c r="G1493" s="83" t="str">
        <f aca="false">IFERROR(INDEX(p_Name,MATCH($F1493,p_ID,0)),"غير معرّف")</f>
        <v>حقيبة لابتوب</v>
      </c>
      <c r="H1493" s="83" t="str">
        <f aca="false">IFERROR(INDEX(p_Cat,MATCH($F1493,p_ID,0)),"غير معرّف")</f>
        <v>مستلزمات مكتبية</v>
      </c>
      <c r="I1493" s="81" t="s">
        <v>446</v>
      </c>
      <c r="J1493" s="81" t="s">
        <v>95</v>
      </c>
      <c r="K1493" s="81" t="n">
        <v>19</v>
      </c>
      <c r="L1493" s="84" t="n">
        <f aca="false">IFERROR(INDEX(p_Price,MATCH($F1493,p_ID,0)),0)</f>
        <v>260</v>
      </c>
      <c r="M1493" s="85" t="n">
        <v>0.05</v>
      </c>
      <c r="N1493" s="81" t="s">
        <v>644</v>
      </c>
      <c r="O1493" s="84" t="n">
        <f aca="false">IF($N1493="مرتجع",0,K1493*L1493*(1-M1493))</f>
        <v>4693</v>
      </c>
      <c r="P1493" s="84" t="n">
        <f aca="false">IF($N1493="مرتجع",0,K1493*IFERROR(INDEX(p_Cost,MATCH($F1493,p_ID,0)),0))</f>
        <v>2280</v>
      </c>
      <c r="Q1493" s="84" t="n">
        <f aca="false">O1493-P1493</f>
        <v>2413</v>
      </c>
      <c r="R1493" s="86" t="n">
        <f aca="false">DATE(YEAR(B1493),MONTH(B1493),1)</f>
        <v>46266</v>
      </c>
      <c r="S1493" s="83" t="str">
        <f aca="false">YEAR(B1493)&amp;"-Q"&amp;ROUNDUP(MONTH(B1493)/3,0)</f>
        <v>2026-Q3</v>
      </c>
      <c r="T1493" s="87" t="n">
        <f aca="false">IF(O1493&gt;0,Q1493/O1493,"")</f>
        <v>0.51417004048583</v>
      </c>
      <c r="U1493" s="84" t="n">
        <f aca="false">IF(O1493&gt;0,O1493,"")</f>
        <v>4693</v>
      </c>
    </row>
    <row r="1494" customFormat="false" ht="15" hidden="false" customHeight="false" outlineLevel="0" collapsed="false">
      <c r="A1494" s="81" t="s">
        <v>2137</v>
      </c>
      <c r="B1494" s="82" t="n">
        <v>46294</v>
      </c>
      <c r="C1494" s="81" t="s">
        <v>324</v>
      </c>
      <c r="D1494" s="83" t="str">
        <f aca="false">IFERROR(INDEX(c_Name,MATCH($C1494,c_ID,0)),"غير معرّف")</f>
        <v>عبير الحسيني</v>
      </c>
      <c r="E1494" s="83" t="str">
        <f aca="false">IFERROR(INDEX(c_Region,MATCH($C1494,c_ID,0)),"غير معرّف")</f>
        <v>الشرقية</v>
      </c>
      <c r="F1494" s="81" t="s">
        <v>172</v>
      </c>
      <c r="G1494" s="83" t="str">
        <f aca="false">IFERROR(INDEX(p_Name,MATCH($F1494,p_ID,0)),"غير معرّف")</f>
        <v>مكتب عمل</v>
      </c>
      <c r="H1494" s="83" t="str">
        <f aca="false">IFERROR(INDEX(p_Cat,MATCH($F1494,p_ID,0)),"غير معرّف")</f>
        <v>أثاث</v>
      </c>
      <c r="I1494" s="81" t="s">
        <v>463</v>
      </c>
      <c r="J1494" s="81" t="s">
        <v>95</v>
      </c>
      <c r="K1494" s="81" t="n">
        <v>5</v>
      </c>
      <c r="L1494" s="84" t="n">
        <f aca="false">IFERROR(INDEX(p_Price,MATCH($F1494,p_ID,0)),0)</f>
        <v>1200</v>
      </c>
      <c r="M1494" s="85" t="n">
        <v>0.15</v>
      </c>
      <c r="N1494" s="81" t="s">
        <v>644</v>
      </c>
      <c r="O1494" s="84" t="n">
        <f aca="false">IF($N1494="مرتجع",0,K1494*L1494*(1-M1494))</f>
        <v>5100</v>
      </c>
      <c r="P1494" s="84" t="n">
        <f aca="false">IF($N1494="مرتجع",0,K1494*IFERROR(INDEX(p_Cost,MATCH($F1494,p_ID,0)),0))</f>
        <v>3500</v>
      </c>
      <c r="Q1494" s="84" t="n">
        <f aca="false">O1494-P1494</f>
        <v>1600</v>
      </c>
      <c r="R1494" s="86" t="n">
        <f aca="false">DATE(YEAR(B1494),MONTH(B1494),1)</f>
        <v>46266</v>
      </c>
      <c r="S1494" s="83" t="str">
        <f aca="false">YEAR(B1494)&amp;"-Q"&amp;ROUNDUP(MONTH(B1494)/3,0)</f>
        <v>2026-Q3</v>
      </c>
      <c r="T1494" s="87" t="n">
        <f aca="false">IF(O1494&gt;0,Q1494/O1494,"")</f>
        <v>0.313725490196078</v>
      </c>
      <c r="U1494" s="84" t="n">
        <f aca="false">IF(O1494&gt;0,O1494,"")</f>
        <v>5100</v>
      </c>
    </row>
    <row r="1495" customFormat="false" ht="15" hidden="false" customHeight="false" outlineLevel="0" collapsed="false">
      <c r="A1495" s="81" t="s">
        <v>2138</v>
      </c>
      <c r="B1495" s="82" t="n">
        <v>46295</v>
      </c>
      <c r="C1495" s="81" t="s">
        <v>326</v>
      </c>
      <c r="D1495" s="83" t="str">
        <f aca="false">IFERROR(INDEX(c_Name,MATCH($C1495,c_ID,0)),"غير معرّف")</f>
        <v>دانة القحطاني</v>
      </c>
      <c r="E1495" s="83" t="str">
        <f aca="false">IFERROR(INDEX(c_Region,MATCH($C1495,c_ID,0)),"غير معرّف")</f>
        <v>الوسطى</v>
      </c>
      <c r="F1495" s="81" t="s">
        <v>184</v>
      </c>
      <c r="G1495" s="83" t="str">
        <f aca="false">IFERROR(INDEX(p_Name,MATCH($F1495,p_ID,0)),"غير معرّف")</f>
        <v>عطر فاخر</v>
      </c>
      <c r="H1495" s="83" t="str">
        <f aca="false">IFERROR(INDEX(p_Cat,MATCH($F1495,p_ID,0)),"غير معرّف")</f>
        <v>عناية شخصية</v>
      </c>
      <c r="I1495" s="81" t="s">
        <v>443</v>
      </c>
      <c r="J1495" s="81" t="s">
        <v>93</v>
      </c>
      <c r="K1495" s="81" t="n">
        <v>5</v>
      </c>
      <c r="L1495" s="84" t="n">
        <f aca="false">IFERROR(INDEX(p_Price,MATCH($F1495,p_ID,0)),0)</f>
        <v>520</v>
      </c>
      <c r="M1495" s="85" t="n">
        <v>0</v>
      </c>
      <c r="N1495" s="81" t="s">
        <v>644</v>
      </c>
      <c r="O1495" s="84" t="n">
        <f aca="false">IF($N1495="مرتجع",0,K1495*L1495*(1-M1495))</f>
        <v>2600</v>
      </c>
      <c r="P1495" s="84" t="n">
        <f aca="false">IF($N1495="مرتجع",0,K1495*IFERROR(INDEX(p_Cost,MATCH($F1495,p_ID,0)),0))</f>
        <v>1050</v>
      </c>
      <c r="Q1495" s="84" t="n">
        <f aca="false">O1495-P1495</f>
        <v>1550</v>
      </c>
      <c r="R1495" s="86" t="n">
        <f aca="false">DATE(YEAR(B1495),MONTH(B1495),1)</f>
        <v>46266</v>
      </c>
      <c r="S1495" s="83" t="str">
        <f aca="false">YEAR(B1495)&amp;"-Q"&amp;ROUNDUP(MONTH(B1495)/3,0)</f>
        <v>2026-Q3</v>
      </c>
      <c r="T1495" s="87" t="n">
        <f aca="false">IF(O1495&gt;0,Q1495/O1495,"")</f>
        <v>0.596153846153846</v>
      </c>
      <c r="U1495" s="84" t="n">
        <f aca="false">IF(O1495&gt;0,O1495,"")</f>
        <v>2600</v>
      </c>
    </row>
    <row r="1496" customFormat="false" ht="15" hidden="false" customHeight="false" outlineLevel="0" collapsed="false">
      <c r="A1496" s="81" t="s">
        <v>2139</v>
      </c>
      <c r="B1496" s="82" t="n">
        <v>46295</v>
      </c>
      <c r="C1496" s="81" t="s">
        <v>335</v>
      </c>
      <c r="D1496" s="83" t="str">
        <f aca="false">IFERROR(INDEX(c_Name,MATCH($C1496,c_ID,0)),"غير معرّف")</f>
        <v>نورة الحربي</v>
      </c>
      <c r="E1496" s="83" t="str">
        <f aca="false">IFERROR(INDEX(c_Region,MATCH($C1496,c_ID,0)),"غير معرّف")</f>
        <v>الشرقية</v>
      </c>
      <c r="F1496" s="81" t="s">
        <v>184</v>
      </c>
      <c r="G1496" s="83" t="str">
        <f aca="false">IFERROR(INDEX(p_Name,MATCH($F1496,p_ID,0)),"غير معرّف")</f>
        <v>عطر فاخر</v>
      </c>
      <c r="H1496" s="83" t="str">
        <f aca="false">IFERROR(INDEX(p_Cat,MATCH($F1496,p_ID,0)),"غير معرّف")</f>
        <v>عناية شخصية</v>
      </c>
      <c r="I1496" s="81" t="s">
        <v>463</v>
      </c>
      <c r="J1496" s="81" t="s">
        <v>91</v>
      </c>
      <c r="K1496" s="81" t="n">
        <v>1</v>
      </c>
      <c r="L1496" s="84" t="n">
        <f aca="false">IFERROR(INDEX(p_Price,MATCH($F1496,p_ID,0)),0)</f>
        <v>520</v>
      </c>
      <c r="M1496" s="85" t="n">
        <v>0.1</v>
      </c>
      <c r="N1496" s="81" t="s">
        <v>644</v>
      </c>
      <c r="O1496" s="84" t="n">
        <f aca="false">IF($N1496="مرتجع",0,K1496*L1496*(1-M1496))</f>
        <v>468</v>
      </c>
      <c r="P1496" s="84" t="n">
        <f aca="false">IF($N1496="مرتجع",0,K1496*IFERROR(INDEX(p_Cost,MATCH($F1496,p_ID,0)),0))</f>
        <v>210</v>
      </c>
      <c r="Q1496" s="84" t="n">
        <f aca="false">O1496-P1496</f>
        <v>258</v>
      </c>
      <c r="R1496" s="86" t="n">
        <f aca="false">DATE(YEAR(B1496),MONTH(B1496),1)</f>
        <v>46266</v>
      </c>
      <c r="S1496" s="83" t="str">
        <f aca="false">YEAR(B1496)&amp;"-Q"&amp;ROUNDUP(MONTH(B1496)/3,0)</f>
        <v>2026-Q3</v>
      </c>
      <c r="T1496" s="87" t="n">
        <f aca="false">IF(O1496&gt;0,Q1496/O1496,"")</f>
        <v>0.551282051282051</v>
      </c>
      <c r="U1496" s="84" t="n">
        <f aca="false">IF(O1496&gt;0,O1496,"")</f>
        <v>468</v>
      </c>
    </row>
    <row r="1497" customFormat="false" ht="15" hidden="false" customHeight="false" outlineLevel="0" collapsed="false">
      <c r="A1497" s="81" t="s">
        <v>2140</v>
      </c>
      <c r="B1497" s="82" t="n">
        <v>46295</v>
      </c>
      <c r="C1497" s="81" t="s">
        <v>361</v>
      </c>
      <c r="D1497" s="83" t="str">
        <f aca="false">IFERROR(INDEX(c_Name,MATCH($C1497,c_ID,0)),"غير معرّف")</f>
        <v>دانة المطيري</v>
      </c>
      <c r="E1497" s="83" t="str">
        <f aca="false">IFERROR(INDEX(c_Region,MATCH($C1497,c_ID,0)),"غير معرّف")</f>
        <v>الشرقية</v>
      </c>
      <c r="F1497" s="81" t="s">
        <v>186</v>
      </c>
      <c r="G1497" s="83" t="str">
        <f aca="false">IFERROR(INDEX(p_Name,MATCH($F1497,p_ID,0)),"غير معرّف")</f>
        <v>مجفف شعر</v>
      </c>
      <c r="H1497" s="83" t="str">
        <f aca="false">IFERROR(INDEX(p_Cat,MATCH($F1497,p_ID,0)),"غير معرّف")</f>
        <v>عناية شخصية</v>
      </c>
      <c r="I1497" s="81" t="s">
        <v>461</v>
      </c>
      <c r="J1497" s="81" t="s">
        <v>93</v>
      </c>
      <c r="K1497" s="81" t="n">
        <v>1</v>
      </c>
      <c r="L1497" s="84" t="n">
        <f aca="false">IFERROR(INDEX(p_Price,MATCH($F1497,p_ID,0)),0)</f>
        <v>280</v>
      </c>
      <c r="M1497" s="85" t="n">
        <v>0</v>
      </c>
      <c r="N1497" s="81" t="s">
        <v>644</v>
      </c>
      <c r="O1497" s="84" t="n">
        <f aca="false">IF($N1497="مرتجع",0,K1497*L1497*(1-M1497))</f>
        <v>280</v>
      </c>
      <c r="P1497" s="84" t="n">
        <f aca="false">IF($N1497="مرتجع",0,K1497*IFERROR(INDEX(p_Cost,MATCH($F1497,p_ID,0)),0))</f>
        <v>140</v>
      </c>
      <c r="Q1497" s="84" t="n">
        <f aca="false">O1497-P1497</f>
        <v>140</v>
      </c>
      <c r="R1497" s="86" t="n">
        <f aca="false">DATE(YEAR(B1497),MONTH(B1497),1)</f>
        <v>46266</v>
      </c>
      <c r="S1497" s="83" t="str">
        <f aca="false">YEAR(B1497)&amp;"-Q"&amp;ROUNDUP(MONTH(B1497)/3,0)</f>
        <v>2026-Q3</v>
      </c>
      <c r="T1497" s="87" t="n">
        <f aca="false">IF(O1497&gt;0,Q1497/O1497,"")</f>
        <v>0.5</v>
      </c>
      <c r="U1497" s="84" t="n">
        <f aca="false">IF(O1497&gt;0,O1497,"")</f>
        <v>280</v>
      </c>
    </row>
    <row r="1498" customFormat="false" ht="15" hidden="false" customHeight="false" outlineLevel="0" collapsed="false">
      <c r="A1498" s="81" t="s">
        <v>2141</v>
      </c>
      <c r="B1498" s="82" t="n">
        <v>46295</v>
      </c>
      <c r="C1498" s="81" t="s">
        <v>412</v>
      </c>
      <c r="D1498" s="83" t="str">
        <f aca="false">IFERROR(INDEX(c_Name,MATCH($C1498,c_ID,0)),"غير معرّف")</f>
        <v>سعد العتيبي</v>
      </c>
      <c r="E1498" s="83" t="str">
        <f aca="false">IFERROR(INDEX(c_Region,MATCH($C1498,c_ID,0)),"غير معرّف")</f>
        <v>الشرقية</v>
      </c>
      <c r="F1498" s="81" t="s">
        <v>186</v>
      </c>
      <c r="G1498" s="83" t="str">
        <f aca="false">IFERROR(INDEX(p_Name,MATCH($F1498,p_ID,0)),"غير معرّف")</f>
        <v>مجفف شعر</v>
      </c>
      <c r="H1498" s="83" t="str">
        <f aca="false">IFERROR(INDEX(p_Cat,MATCH($F1498,p_ID,0)),"غير معرّف")</f>
        <v>عناية شخصية</v>
      </c>
      <c r="I1498" s="81" t="s">
        <v>461</v>
      </c>
      <c r="J1498" s="81" t="s">
        <v>93</v>
      </c>
      <c r="K1498" s="81" t="n">
        <v>2</v>
      </c>
      <c r="L1498" s="84" t="n">
        <f aca="false">IFERROR(INDEX(p_Price,MATCH($F1498,p_ID,0)),0)</f>
        <v>280</v>
      </c>
      <c r="M1498" s="85" t="n">
        <v>0</v>
      </c>
      <c r="N1498" s="81" t="s">
        <v>644</v>
      </c>
      <c r="O1498" s="84" t="n">
        <f aca="false">IF($N1498="مرتجع",0,K1498*L1498*(1-M1498))</f>
        <v>560</v>
      </c>
      <c r="P1498" s="84" t="n">
        <f aca="false">IF($N1498="مرتجع",0,K1498*IFERROR(INDEX(p_Cost,MATCH($F1498,p_ID,0)),0))</f>
        <v>280</v>
      </c>
      <c r="Q1498" s="84" t="n">
        <f aca="false">O1498-P1498</f>
        <v>280</v>
      </c>
      <c r="R1498" s="86" t="n">
        <f aca="false">DATE(YEAR(B1498),MONTH(B1498),1)</f>
        <v>46266</v>
      </c>
      <c r="S1498" s="83" t="str">
        <f aca="false">YEAR(B1498)&amp;"-Q"&amp;ROUNDUP(MONTH(B1498)/3,0)</f>
        <v>2026-Q3</v>
      </c>
      <c r="T1498" s="87" t="n">
        <f aca="false">IF(O1498&gt;0,Q1498/O1498,"")</f>
        <v>0.5</v>
      </c>
      <c r="U1498" s="84" t="n">
        <f aca="false">IF(O1498&gt;0,O1498,"")</f>
        <v>560</v>
      </c>
    </row>
    <row r="1499" customFormat="false" ht="15" hidden="false" customHeight="false" outlineLevel="0" collapsed="false">
      <c r="A1499" s="81" t="s">
        <v>2142</v>
      </c>
      <c r="B1499" s="82" t="n">
        <v>46295</v>
      </c>
      <c r="C1499" s="81" t="s">
        <v>232</v>
      </c>
      <c r="D1499" s="83" t="str">
        <f aca="false">IFERROR(INDEX(c_Name,MATCH($C1499,c_ID,0)),"غير معرّف")</f>
        <v>محمد الدوسري</v>
      </c>
      <c r="E1499" s="83" t="str">
        <f aca="false">IFERROR(INDEX(c_Region,MATCH($C1499,c_ID,0)),"غير معرّف")</f>
        <v>الشرقية</v>
      </c>
      <c r="F1499" s="81" t="s">
        <v>170</v>
      </c>
      <c r="G1499" s="83" t="str">
        <f aca="false">IFERROR(INDEX(p_Name,MATCH($F1499,p_ID,0)),"غير معرّف")</f>
        <v>مكيف نقال</v>
      </c>
      <c r="H1499" s="83" t="str">
        <f aca="false">IFERROR(INDEX(p_Cat,MATCH($F1499,p_ID,0)),"غير معرّف")</f>
        <v>أجهزة منزلية</v>
      </c>
      <c r="I1499" s="81" t="s">
        <v>461</v>
      </c>
      <c r="J1499" s="81" t="s">
        <v>91</v>
      </c>
      <c r="K1499" s="81" t="n">
        <v>1</v>
      </c>
      <c r="L1499" s="84" t="n">
        <f aca="false">IFERROR(INDEX(p_Price,MATCH($F1499,p_ID,0)),0)</f>
        <v>1900</v>
      </c>
      <c r="M1499" s="85" t="n">
        <v>0.1</v>
      </c>
      <c r="N1499" s="81" t="s">
        <v>644</v>
      </c>
      <c r="O1499" s="84" t="n">
        <f aca="false">IF($N1499="مرتجع",0,K1499*L1499*(1-M1499))</f>
        <v>1710</v>
      </c>
      <c r="P1499" s="84" t="n">
        <f aca="false">IF($N1499="مرتجع",0,K1499*IFERROR(INDEX(p_Cost,MATCH($F1499,p_ID,0)),0))</f>
        <v>1350</v>
      </c>
      <c r="Q1499" s="84" t="n">
        <f aca="false">O1499-P1499</f>
        <v>360</v>
      </c>
      <c r="R1499" s="86" t="n">
        <f aca="false">DATE(YEAR(B1499),MONTH(B1499),1)</f>
        <v>46266</v>
      </c>
      <c r="S1499" s="83" t="str">
        <f aca="false">YEAR(B1499)&amp;"-Q"&amp;ROUNDUP(MONTH(B1499)/3,0)</f>
        <v>2026-Q3</v>
      </c>
      <c r="T1499" s="87" t="n">
        <f aca="false">IF(O1499&gt;0,Q1499/O1499,"")</f>
        <v>0.210526315789474</v>
      </c>
      <c r="U1499" s="84" t="n">
        <f aca="false">IF(O1499&gt;0,O1499,"")</f>
        <v>1710</v>
      </c>
    </row>
    <row r="1500" customFormat="false" ht="15" hidden="false" customHeight="false" outlineLevel="0" collapsed="false">
      <c r="A1500" s="81" t="s">
        <v>2143</v>
      </c>
      <c r="B1500" s="82" t="n">
        <v>46295</v>
      </c>
      <c r="C1500" s="81" t="s">
        <v>430</v>
      </c>
      <c r="D1500" s="83" t="str">
        <f aca="false">IFERROR(INDEX(c_Name,MATCH($C1500,c_ID,0)),"غير معرّف")</f>
        <v>ليلى الحربي</v>
      </c>
      <c r="E1500" s="83" t="str">
        <f aca="false">IFERROR(INDEX(c_Region,MATCH($C1500,c_ID,0)),"غير معرّف")</f>
        <v>الجنوبية</v>
      </c>
      <c r="F1500" s="81" t="s">
        <v>179</v>
      </c>
      <c r="G1500" s="83" t="str">
        <f aca="false">IFERROR(INDEX(p_Name,MATCH($F1500,p_ID,0)),"غير معرّف")</f>
        <v>طقم أدوات مكتبية</v>
      </c>
      <c r="H1500" s="83" t="str">
        <f aca="false">IFERROR(INDEX(p_Cat,MATCH($F1500,p_ID,0)),"غير معرّف")</f>
        <v>مستلزمات مكتبية</v>
      </c>
      <c r="I1500" s="81" t="s">
        <v>465</v>
      </c>
      <c r="J1500" s="81" t="s">
        <v>91</v>
      </c>
      <c r="K1500" s="81" t="n">
        <v>3</v>
      </c>
      <c r="L1500" s="84" t="n">
        <f aca="false">IFERROR(INDEX(p_Price,MATCH($F1500,p_ID,0)),0)</f>
        <v>90</v>
      </c>
      <c r="M1500" s="85" t="n">
        <v>0.1</v>
      </c>
      <c r="N1500" s="81" t="s">
        <v>644</v>
      </c>
      <c r="O1500" s="84" t="n">
        <f aca="false">IF($N1500="مرتجع",0,K1500*L1500*(1-M1500))</f>
        <v>243</v>
      </c>
      <c r="P1500" s="84" t="n">
        <f aca="false">IF($N1500="مرتجع",0,K1500*IFERROR(INDEX(p_Cost,MATCH($F1500,p_ID,0)),0))</f>
        <v>135</v>
      </c>
      <c r="Q1500" s="84" t="n">
        <f aca="false">O1500-P1500</f>
        <v>108</v>
      </c>
      <c r="R1500" s="86" t="n">
        <f aca="false">DATE(YEAR(B1500),MONTH(B1500),1)</f>
        <v>46266</v>
      </c>
      <c r="S1500" s="83" t="str">
        <f aca="false">YEAR(B1500)&amp;"-Q"&amp;ROUNDUP(MONTH(B1500)/3,0)</f>
        <v>2026-Q3</v>
      </c>
      <c r="T1500" s="87" t="n">
        <f aca="false">IF(O1500&gt;0,Q1500/O1500,"")</f>
        <v>0.444444444444444</v>
      </c>
      <c r="U1500" s="84" t="n">
        <f aca="false">IF(O1500&gt;0,O1500,"")</f>
        <v>243</v>
      </c>
    </row>
    <row r="1501" customFormat="false" ht="15" hidden="false" customHeight="false" outlineLevel="0" collapsed="false">
      <c r="A1501" s="81" t="s">
        <v>2144</v>
      </c>
      <c r="B1501" s="82" t="n">
        <v>46295</v>
      </c>
      <c r="C1501" s="81" t="s">
        <v>335</v>
      </c>
      <c r="D1501" s="83" t="str">
        <f aca="false">IFERROR(INDEX(c_Name,MATCH($C1501,c_ID,0)),"غير معرّف")</f>
        <v>نورة الحربي</v>
      </c>
      <c r="E1501" s="83" t="str">
        <f aca="false">IFERROR(INDEX(c_Region,MATCH($C1501,c_ID,0)),"غير معرّف")</f>
        <v>الشرقية</v>
      </c>
      <c r="F1501" s="81" t="s">
        <v>171</v>
      </c>
      <c r="G1501" s="83" t="str">
        <f aca="false">IFERROR(INDEX(p_Name,MATCH($F1501,p_ID,0)),"غير معرّف")</f>
        <v>قلاية هوائية</v>
      </c>
      <c r="H1501" s="83" t="str">
        <f aca="false">IFERROR(INDEX(p_Cat,MATCH($F1501,p_ID,0)),"غير معرّف")</f>
        <v>أجهزة منزلية</v>
      </c>
      <c r="I1501" s="81" t="s">
        <v>463</v>
      </c>
      <c r="J1501" s="81" t="s">
        <v>93</v>
      </c>
      <c r="K1501" s="81" t="n">
        <v>1</v>
      </c>
      <c r="L1501" s="84" t="n">
        <f aca="false">IFERROR(INDEX(p_Price,MATCH($F1501,p_ID,0)),0)</f>
        <v>520</v>
      </c>
      <c r="M1501" s="85" t="n">
        <v>0.05</v>
      </c>
      <c r="N1501" s="81" t="s">
        <v>644</v>
      </c>
      <c r="O1501" s="84" t="n">
        <f aca="false">IF($N1501="مرتجع",0,K1501*L1501*(1-M1501))</f>
        <v>494</v>
      </c>
      <c r="P1501" s="84" t="n">
        <f aca="false">IF($N1501="مرتجع",0,K1501*IFERROR(INDEX(p_Cost,MATCH($F1501,p_ID,0)),0))</f>
        <v>300</v>
      </c>
      <c r="Q1501" s="84" t="n">
        <f aca="false">O1501-P1501</f>
        <v>194</v>
      </c>
      <c r="R1501" s="86" t="n">
        <f aca="false">DATE(YEAR(B1501),MONTH(B1501),1)</f>
        <v>46266</v>
      </c>
      <c r="S1501" s="83" t="str">
        <f aca="false">YEAR(B1501)&amp;"-Q"&amp;ROUNDUP(MONTH(B1501)/3,0)</f>
        <v>2026-Q3</v>
      </c>
      <c r="T1501" s="87" t="n">
        <f aca="false">IF(O1501&gt;0,Q1501/O1501,"")</f>
        <v>0.392712550607287</v>
      </c>
      <c r="U1501" s="84" t="n">
        <f aca="false">IF(O1501&gt;0,O1501,"")</f>
        <v>494</v>
      </c>
    </row>
  </sheetData>
  <conditionalFormatting sqref="A2:U1501">
    <cfRule type="expression" priority="2" aboveAverage="0" equalAverage="0" bottom="0" percent="0" rank="0" text="" dxfId="30">
      <formula>$N2="مرتجع"</formula>
    </cfRule>
  </conditionalFormatting>
  <dataValidations count="4">
    <dataValidation allowBlank="false" error="أدخل نسبة بين 0% و 50%" errorStyle="stop" errorTitle="خصم غير صالح" operator="between" showDropDown="false" showErrorMessage="true" showInputMessage="false" sqref="M2:M1501" type="decimal">
      <formula1>0</formula1>
      <formula2>0.5</formula2>
    </dataValidation>
    <dataValidation allowBlank="false" error="الكمية يجب أن تكون عدداً صحيحاً ≥ 1" errorStyle="stop" errorTitle="كمية غير صالحة" operator="greaterThanOrEqual" showDropDown="false" showErrorMessage="true" showInputMessage="false" sqref="K2:K1501" type="whole">
      <formula1>1</formula1>
      <formula2>0</formula2>
    </dataValidation>
    <dataValidation allowBlank="false" errorStyle="stop" operator="between" showDropDown="false" showErrorMessage="true" showInputMessage="false" sqref="N2:N1501" type="list">
      <formula1>"مكتمل,مرتجع"</formula1>
      <formula2>0</formula2>
    </dataValidation>
    <dataValidation allowBlank="false" errorStyle="stop" operator="between" showDropDown="false" showErrorMessage="true" showInputMessage="false" sqref="J2:J1501" type="list">
      <formula1>"متجر,أونلاين,جملة"</formula1>
      <formula2>0</formula2>
    </dataValidation>
  </dataValidations>
  <hyperlinks>
    <hyperlink ref="W1" location="'الفهرس'!A1" display="↩ الفهرس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true"/>
  </sheetPr>
  <dimension ref="A1:H2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1.5" hidden="false" customHeight="true" outlineLevel="0" collapsed="false">
      <c r="A1" s="9" t="s">
        <v>157</v>
      </c>
      <c r="B1" s="9" t="s">
        <v>2145</v>
      </c>
      <c r="C1" s="9" t="s">
        <v>77</v>
      </c>
      <c r="D1" s="9" t="s">
        <v>2146</v>
      </c>
      <c r="E1" s="9" t="s">
        <v>2147</v>
      </c>
      <c r="F1" s="9" t="s">
        <v>2148</v>
      </c>
      <c r="H1" s="88" t="s">
        <v>2149</v>
      </c>
    </row>
    <row r="2" customFormat="false" ht="15" hidden="false" customHeight="false" outlineLevel="0" collapsed="false">
      <c r="A2" s="41" t="s">
        <v>164</v>
      </c>
      <c r="B2" s="41" t="s">
        <v>2150</v>
      </c>
      <c r="C2" s="41" t="s">
        <v>90</v>
      </c>
      <c r="D2" s="89" t="n">
        <v>2400</v>
      </c>
      <c r="E2" s="89" t="n">
        <v>1750</v>
      </c>
      <c r="F2" s="44" t="n">
        <f aca="false">IFERROR((D2-E2)/D2,0)</f>
        <v>0.270833333333333</v>
      </c>
    </row>
    <row r="3" customFormat="false" ht="15" hidden="false" customHeight="false" outlineLevel="0" collapsed="false">
      <c r="A3" s="41" t="s">
        <v>165</v>
      </c>
      <c r="B3" s="41" t="s">
        <v>2151</v>
      </c>
      <c r="C3" s="41" t="s">
        <v>90</v>
      </c>
      <c r="D3" s="89" t="n">
        <v>3800</v>
      </c>
      <c r="E3" s="89" t="n">
        <v>2900</v>
      </c>
      <c r="F3" s="44" t="n">
        <f aca="false">IFERROR((D3-E3)/D3,0)</f>
        <v>0.236842105263158</v>
      </c>
    </row>
    <row r="4" customFormat="false" ht="15" hidden="false" customHeight="false" outlineLevel="0" collapsed="false">
      <c r="A4" s="41" t="s">
        <v>166</v>
      </c>
      <c r="B4" s="41" t="s">
        <v>2152</v>
      </c>
      <c r="C4" s="41" t="s">
        <v>90</v>
      </c>
      <c r="D4" s="89" t="n">
        <v>450</v>
      </c>
      <c r="E4" s="89" t="n">
        <v>260</v>
      </c>
      <c r="F4" s="44" t="n">
        <f aca="false">IFERROR((D4-E4)/D4,0)</f>
        <v>0.422222222222222</v>
      </c>
    </row>
    <row r="5" customFormat="false" ht="15" hidden="false" customHeight="false" outlineLevel="0" collapsed="false">
      <c r="A5" s="41" t="s">
        <v>167</v>
      </c>
      <c r="B5" s="41" t="s">
        <v>2153</v>
      </c>
      <c r="C5" s="41" t="s">
        <v>90</v>
      </c>
      <c r="D5" s="89" t="n">
        <v>1100</v>
      </c>
      <c r="E5" s="89" t="n">
        <v>780</v>
      </c>
      <c r="F5" s="44" t="n">
        <f aca="false">IFERROR((D5-E5)/D5,0)</f>
        <v>0.290909090909091</v>
      </c>
    </row>
    <row r="6" customFormat="false" ht="15" hidden="false" customHeight="false" outlineLevel="0" collapsed="false">
      <c r="A6" s="41" t="s">
        <v>168</v>
      </c>
      <c r="B6" s="41" t="s">
        <v>2154</v>
      </c>
      <c r="C6" s="41" t="s">
        <v>92</v>
      </c>
      <c r="D6" s="89" t="n">
        <v>650</v>
      </c>
      <c r="E6" s="89" t="n">
        <v>420</v>
      </c>
      <c r="F6" s="44" t="n">
        <f aca="false">IFERROR((D6-E6)/D6,0)</f>
        <v>0.353846153846154</v>
      </c>
    </row>
    <row r="7" customFormat="false" ht="15" hidden="false" customHeight="false" outlineLevel="0" collapsed="false">
      <c r="A7" s="41" t="s">
        <v>169</v>
      </c>
      <c r="B7" s="41" t="s">
        <v>2155</v>
      </c>
      <c r="C7" s="41" t="s">
        <v>92</v>
      </c>
      <c r="D7" s="89" t="n">
        <v>300</v>
      </c>
      <c r="E7" s="89" t="n">
        <v>175</v>
      </c>
      <c r="F7" s="44" t="n">
        <f aca="false">IFERROR((D7-E7)/D7,0)</f>
        <v>0.416666666666667</v>
      </c>
    </row>
    <row r="8" customFormat="false" ht="15" hidden="false" customHeight="false" outlineLevel="0" collapsed="false">
      <c r="A8" s="41" t="s">
        <v>170</v>
      </c>
      <c r="B8" s="41" t="s">
        <v>2156</v>
      </c>
      <c r="C8" s="41" t="s">
        <v>92</v>
      </c>
      <c r="D8" s="89" t="n">
        <v>1900</v>
      </c>
      <c r="E8" s="89" t="n">
        <v>1350</v>
      </c>
      <c r="F8" s="44" t="n">
        <f aca="false">IFERROR((D8-E8)/D8,0)</f>
        <v>0.289473684210526</v>
      </c>
    </row>
    <row r="9" customFormat="false" ht="15" hidden="false" customHeight="false" outlineLevel="0" collapsed="false">
      <c r="A9" s="41" t="s">
        <v>171</v>
      </c>
      <c r="B9" s="41" t="s">
        <v>2157</v>
      </c>
      <c r="C9" s="41" t="s">
        <v>92</v>
      </c>
      <c r="D9" s="89" t="n">
        <v>520</v>
      </c>
      <c r="E9" s="89" t="n">
        <v>300</v>
      </c>
      <c r="F9" s="44" t="n">
        <f aca="false">IFERROR((D9-E9)/D9,0)</f>
        <v>0.423076923076923</v>
      </c>
    </row>
    <row r="10" customFormat="false" ht="15" hidden="false" customHeight="false" outlineLevel="0" collapsed="false">
      <c r="A10" s="41" t="s">
        <v>172</v>
      </c>
      <c r="B10" s="41" t="s">
        <v>2158</v>
      </c>
      <c r="C10" s="41" t="s">
        <v>94</v>
      </c>
      <c r="D10" s="89" t="n">
        <v>1200</v>
      </c>
      <c r="E10" s="89" t="n">
        <v>700</v>
      </c>
      <c r="F10" s="44" t="n">
        <f aca="false">IFERROR((D10-E10)/D10,0)</f>
        <v>0.416666666666667</v>
      </c>
    </row>
    <row r="11" customFormat="false" ht="15" hidden="false" customHeight="false" outlineLevel="0" collapsed="false">
      <c r="A11" s="41" t="s">
        <v>173</v>
      </c>
      <c r="B11" s="41" t="s">
        <v>2159</v>
      </c>
      <c r="C11" s="41" t="s">
        <v>94</v>
      </c>
      <c r="D11" s="89" t="n">
        <v>850</v>
      </c>
      <c r="E11" s="89" t="n">
        <v>480</v>
      </c>
      <c r="F11" s="44" t="n">
        <f aca="false">IFERROR((D11-E11)/D11,0)</f>
        <v>0.435294117647059</v>
      </c>
    </row>
    <row r="12" customFormat="false" ht="15" hidden="false" customHeight="false" outlineLevel="0" collapsed="false">
      <c r="A12" s="41" t="s">
        <v>174</v>
      </c>
      <c r="B12" s="41" t="s">
        <v>2160</v>
      </c>
      <c r="C12" s="41" t="s">
        <v>94</v>
      </c>
      <c r="D12" s="89" t="n">
        <v>700</v>
      </c>
      <c r="E12" s="89" t="n">
        <v>410</v>
      </c>
      <c r="F12" s="44" t="n">
        <f aca="false">IFERROR((D12-E12)/D12,0)</f>
        <v>0.414285714285714</v>
      </c>
    </row>
    <row r="13" customFormat="false" ht="15" hidden="false" customHeight="false" outlineLevel="0" collapsed="false">
      <c r="A13" s="41" t="s">
        <v>175</v>
      </c>
      <c r="B13" s="41" t="s">
        <v>2161</v>
      </c>
      <c r="C13" s="41" t="s">
        <v>94</v>
      </c>
      <c r="D13" s="89" t="n">
        <v>400</v>
      </c>
      <c r="E13" s="89" t="n">
        <v>220</v>
      </c>
      <c r="F13" s="44" t="n">
        <f aca="false">IFERROR((D13-E13)/D13,0)</f>
        <v>0.45</v>
      </c>
    </row>
    <row r="14" customFormat="false" ht="15" hidden="false" customHeight="false" outlineLevel="0" collapsed="false">
      <c r="A14" s="41" t="s">
        <v>176</v>
      </c>
      <c r="B14" s="41" t="s">
        <v>2162</v>
      </c>
      <c r="C14" s="41" t="s">
        <v>96</v>
      </c>
      <c r="D14" s="89" t="n">
        <v>1300</v>
      </c>
      <c r="E14" s="89" t="n">
        <v>950</v>
      </c>
      <c r="F14" s="44" t="n">
        <f aca="false">IFERROR((D14-E14)/D14,0)</f>
        <v>0.269230769230769</v>
      </c>
    </row>
    <row r="15" customFormat="false" ht="15" hidden="false" customHeight="false" outlineLevel="0" collapsed="false">
      <c r="A15" s="41" t="s">
        <v>177</v>
      </c>
      <c r="B15" s="41" t="s">
        <v>2163</v>
      </c>
      <c r="C15" s="41" t="s">
        <v>96</v>
      </c>
      <c r="D15" s="89" t="n">
        <v>140</v>
      </c>
      <c r="E15" s="89" t="n">
        <v>95</v>
      </c>
      <c r="F15" s="44" t="n">
        <f aca="false">IFERROR((D15-E15)/D15,0)</f>
        <v>0.321428571428571</v>
      </c>
    </row>
    <row r="16" customFormat="false" ht="15" hidden="false" customHeight="false" outlineLevel="0" collapsed="false">
      <c r="A16" s="41" t="s">
        <v>178</v>
      </c>
      <c r="B16" s="41" t="s">
        <v>2164</v>
      </c>
      <c r="C16" s="41" t="s">
        <v>96</v>
      </c>
      <c r="D16" s="89" t="n">
        <v>260</v>
      </c>
      <c r="E16" s="89" t="n">
        <v>120</v>
      </c>
      <c r="F16" s="44" t="n">
        <f aca="false">IFERROR((D16-E16)/D16,0)</f>
        <v>0.538461538461538</v>
      </c>
    </row>
    <row r="17" customFormat="false" ht="15" hidden="false" customHeight="false" outlineLevel="0" collapsed="false">
      <c r="A17" s="41" t="s">
        <v>179</v>
      </c>
      <c r="B17" s="41" t="s">
        <v>2165</v>
      </c>
      <c r="C17" s="41" t="s">
        <v>96</v>
      </c>
      <c r="D17" s="89" t="n">
        <v>90</v>
      </c>
      <c r="E17" s="89" t="n">
        <v>45</v>
      </c>
      <c r="F17" s="44" t="n">
        <f aca="false">IFERROR((D17-E17)/D17,0)</f>
        <v>0.5</v>
      </c>
    </row>
    <row r="18" customFormat="false" ht="15" hidden="false" customHeight="false" outlineLevel="0" collapsed="false">
      <c r="A18" s="41" t="s">
        <v>180</v>
      </c>
      <c r="B18" s="41" t="s">
        <v>2166</v>
      </c>
      <c r="C18" s="41" t="s">
        <v>97</v>
      </c>
      <c r="D18" s="89" t="n">
        <v>3200</v>
      </c>
      <c r="E18" s="89" t="n">
        <v>2200</v>
      </c>
      <c r="F18" s="44" t="n">
        <f aca="false">IFERROR((D18-E18)/D18,0)</f>
        <v>0.3125</v>
      </c>
    </row>
    <row r="19" customFormat="false" ht="15" hidden="false" customHeight="false" outlineLevel="0" collapsed="false">
      <c r="A19" s="41" t="s">
        <v>181</v>
      </c>
      <c r="B19" s="41" t="s">
        <v>2167</v>
      </c>
      <c r="C19" s="41" t="s">
        <v>97</v>
      </c>
      <c r="D19" s="89" t="n">
        <v>1800</v>
      </c>
      <c r="E19" s="89" t="n">
        <v>1200</v>
      </c>
      <c r="F19" s="44" t="n">
        <f aca="false">IFERROR((D19-E19)/D19,0)</f>
        <v>0.333333333333333</v>
      </c>
    </row>
    <row r="20" customFormat="false" ht="15" hidden="false" customHeight="false" outlineLevel="0" collapsed="false">
      <c r="A20" s="41" t="s">
        <v>182</v>
      </c>
      <c r="B20" s="41" t="s">
        <v>2168</v>
      </c>
      <c r="C20" s="41" t="s">
        <v>97</v>
      </c>
      <c r="D20" s="89" t="n">
        <v>380</v>
      </c>
      <c r="E20" s="89" t="n">
        <v>210</v>
      </c>
      <c r="F20" s="44" t="n">
        <f aca="false">IFERROR((D20-E20)/D20,0)</f>
        <v>0.447368421052632</v>
      </c>
    </row>
    <row r="21" customFormat="false" ht="15" hidden="false" customHeight="false" outlineLevel="0" collapsed="false">
      <c r="A21" s="41" t="s">
        <v>183</v>
      </c>
      <c r="B21" s="41" t="s">
        <v>2169</v>
      </c>
      <c r="C21" s="41" t="s">
        <v>97</v>
      </c>
      <c r="D21" s="89" t="n">
        <v>120</v>
      </c>
      <c r="E21" s="89" t="n">
        <v>50</v>
      </c>
      <c r="F21" s="44" t="n">
        <f aca="false">IFERROR((D21-E21)/D21,0)</f>
        <v>0.583333333333333</v>
      </c>
    </row>
    <row r="22" customFormat="false" ht="15" hidden="false" customHeight="false" outlineLevel="0" collapsed="false">
      <c r="A22" s="41" t="s">
        <v>184</v>
      </c>
      <c r="B22" s="41" t="s">
        <v>2170</v>
      </c>
      <c r="C22" s="41" t="s">
        <v>98</v>
      </c>
      <c r="D22" s="89" t="n">
        <v>520</v>
      </c>
      <c r="E22" s="89" t="n">
        <v>210</v>
      </c>
      <c r="F22" s="44" t="n">
        <f aca="false">IFERROR((D22-E22)/D22,0)</f>
        <v>0.596153846153846</v>
      </c>
    </row>
    <row r="23" customFormat="false" ht="15" hidden="false" customHeight="false" outlineLevel="0" collapsed="false">
      <c r="A23" s="41" t="s">
        <v>185</v>
      </c>
      <c r="B23" s="41" t="s">
        <v>2171</v>
      </c>
      <c r="C23" s="41" t="s">
        <v>98</v>
      </c>
      <c r="D23" s="89" t="n">
        <v>340</v>
      </c>
      <c r="E23" s="89" t="n">
        <v>170</v>
      </c>
      <c r="F23" s="44" t="n">
        <f aca="false">IFERROR((D23-E23)/D23,0)</f>
        <v>0.5</v>
      </c>
    </row>
    <row r="24" customFormat="false" ht="15" hidden="false" customHeight="false" outlineLevel="0" collapsed="false">
      <c r="A24" s="41" t="s">
        <v>186</v>
      </c>
      <c r="B24" s="41" t="s">
        <v>2172</v>
      </c>
      <c r="C24" s="41" t="s">
        <v>98</v>
      </c>
      <c r="D24" s="89" t="n">
        <v>280</v>
      </c>
      <c r="E24" s="89" t="n">
        <v>140</v>
      </c>
      <c r="F24" s="44" t="n">
        <f aca="false">IFERROR((D24-E24)/D24,0)</f>
        <v>0.5</v>
      </c>
    </row>
    <row r="25" customFormat="false" ht="15" hidden="false" customHeight="false" outlineLevel="0" collapsed="false">
      <c r="A25" s="41" t="s">
        <v>187</v>
      </c>
      <c r="B25" s="41" t="s">
        <v>2173</v>
      </c>
      <c r="C25" s="41" t="s">
        <v>98</v>
      </c>
      <c r="D25" s="89" t="n">
        <v>600</v>
      </c>
      <c r="E25" s="89" t="n">
        <v>330</v>
      </c>
      <c r="F25" s="44" t="n">
        <f aca="false">IFERROR((D25-E25)/D25,0)</f>
        <v>0.45</v>
      </c>
    </row>
  </sheetData>
  <conditionalFormatting sqref="F2:F25">
    <cfRule type="colorScale" priority="2">
      <colorScale>
        <cfvo type="min" val="0"/>
        <cfvo type="max" val="0"/>
        <color rgb="FFF8CBAD"/>
        <color rgb="FFA9D18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true"/>
  </sheetPr>
  <dimension ref="A1:F20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6"/>
  </cols>
  <sheetData>
    <row r="1" customFormat="false" ht="31.5" hidden="false" customHeight="true" outlineLevel="0" collapsed="false">
      <c r="A1" s="9" t="s">
        <v>223</v>
      </c>
      <c r="B1" s="9" t="s">
        <v>635</v>
      </c>
      <c r="C1" s="9" t="s">
        <v>2174</v>
      </c>
      <c r="D1" s="9" t="s">
        <v>2175</v>
      </c>
      <c r="E1" s="9" t="s">
        <v>75</v>
      </c>
      <c r="F1" s="9" t="s">
        <v>2176</v>
      </c>
    </row>
    <row r="2" customFormat="false" ht="15" hidden="false" customHeight="false" outlineLevel="0" collapsed="false">
      <c r="A2" s="41" t="s">
        <v>232</v>
      </c>
      <c r="B2" s="41" t="s">
        <v>2177</v>
      </c>
      <c r="C2" s="41" t="s">
        <v>209</v>
      </c>
      <c r="D2" s="41" t="s">
        <v>2178</v>
      </c>
      <c r="E2" s="41" t="s">
        <v>101</v>
      </c>
      <c r="F2" s="52" t="n">
        <v>44592</v>
      </c>
    </row>
    <row r="3" customFormat="false" ht="15" hidden="false" customHeight="false" outlineLevel="0" collapsed="false">
      <c r="A3" s="41" t="s">
        <v>233</v>
      </c>
      <c r="B3" s="41" t="s">
        <v>2179</v>
      </c>
      <c r="C3" s="41" t="s">
        <v>211</v>
      </c>
      <c r="D3" s="41" t="s">
        <v>2180</v>
      </c>
      <c r="E3" s="41" t="s">
        <v>101</v>
      </c>
      <c r="F3" s="52" t="n">
        <v>45448</v>
      </c>
    </row>
    <row r="4" customFormat="false" ht="15" hidden="false" customHeight="false" outlineLevel="0" collapsed="false">
      <c r="A4" s="41" t="s">
        <v>234</v>
      </c>
      <c r="B4" s="41" t="s">
        <v>2181</v>
      </c>
      <c r="C4" s="41" t="s">
        <v>209</v>
      </c>
      <c r="D4" s="41" t="s">
        <v>2182</v>
      </c>
      <c r="E4" s="41" t="s">
        <v>99</v>
      </c>
      <c r="F4" s="52" t="n">
        <v>45726</v>
      </c>
    </row>
    <row r="5" customFormat="false" ht="15" hidden="false" customHeight="false" outlineLevel="0" collapsed="false">
      <c r="A5" s="41" t="s">
        <v>235</v>
      </c>
      <c r="B5" s="41" t="s">
        <v>2183</v>
      </c>
      <c r="C5" s="41" t="s">
        <v>209</v>
      </c>
      <c r="D5" s="41" t="s">
        <v>2184</v>
      </c>
      <c r="E5" s="41" t="s">
        <v>101</v>
      </c>
      <c r="F5" s="52" t="n">
        <v>44929</v>
      </c>
    </row>
    <row r="6" customFormat="false" ht="15" hidden="false" customHeight="false" outlineLevel="0" collapsed="false">
      <c r="A6" s="41" t="s">
        <v>236</v>
      </c>
      <c r="B6" s="41" t="s">
        <v>2185</v>
      </c>
      <c r="C6" s="41" t="s">
        <v>209</v>
      </c>
      <c r="D6" s="41" t="s">
        <v>2182</v>
      </c>
      <c r="E6" s="41" t="s">
        <v>99</v>
      </c>
      <c r="F6" s="52" t="n">
        <v>45503</v>
      </c>
    </row>
    <row r="7" customFormat="false" ht="15" hidden="false" customHeight="false" outlineLevel="0" collapsed="false">
      <c r="A7" s="41" t="s">
        <v>237</v>
      </c>
      <c r="B7" s="41" t="s">
        <v>2186</v>
      </c>
      <c r="C7" s="41" t="s">
        <v>209</v>
      </c>
      <c r="D7" s="41" t="s">
        <v>2187</v>
      </c>
      <c r="E7" s="41" t="s">
        <v>99</v>
      </c>
      <c r="F7" s="52" t="n">
        <v>45096</v>
      </c>
    </row>
    <row r="8" customFormat="false" ht="15" hidden="false" customHeight="false" outlineLevel="0" collapsed="false">
      <c r="A8" s="41" t="s">
        <v>238</v>
      </c>
      <c r="B8" s="41" t="s">
        <v>2188</v>
      </c>
      <c r="C8" s="41" t="s">
        <v>209</v>
      </c>
      <c r="D8" s="41" t="s">
        <v>2175</v>
      </c>
      <c r="E8" s="41" t="s">
        <v>100</v>
      </c>
      <c r="F8" s="52" t="n">
        <v>44756</v>
      </c>
    </row>
    <row r="9" customFormat="false" ht="15" hidden="false" customHeight="false" outlineLevel="0" collapsed="false">
      <c r="A9" s="41" t="s">
        <v>239</v>
      </c>
      <c r="B9" s="41" t="s">
        <v>2189</v>
      </c>
      <c r="C9" s="41" t="s">
        <v>209</v>
      </c>
      <c r="D9" s="41" t="s">
        <v>2190</v>
      </c>
      <c r="E9" s="41" t="s">
        <v>100</v>
      </c>
      <c r="F9" s="52" t="n">
        <v>45809</v>
      </c>
    </row>
    <row r="10" customFormat="false" ht="15" hidden="false" customHeight="false" outlineLevel="0" collapsed="false">
      <c r="A10" s="41" t="s">
        <v>240</v>
      </c>
      <c r="B10" s="41" t="s">
        <v>2191</v>
      </c>
      <c r="C10" s="41" t="s">
        <v>209</v>
      </c>
      <c r="D10" s="41" t="s">
        <v>2190</v>
      </c>
      <c r="E10" s="41" t="s">
        <v>100</v>
      </c>
      <c r="F10" s="52" t="n">
        <v>45264</v>
      </c>
    </row>
    <row r="11" customFormat="false" ht="15" hidden="false" customHeight="false" outlineLevel="0" collapsed="false">
      <c r="A11" s="41" t="s">
        <v>241</v>
      </c>
      <c r="B11" s="41" t="s">
        <v>2192</v>
      </c>
      <c r="C11" s="41" t="s">
        <v>209</v>
      </c>
      <c r="D11" s="41" t="s">
        <v>2193</v>
      </c>
      <c r="E11" s="41" t="s">
        <v>102</v>
      </c>
      <c r="F11" s="52" t="n">
        <v>44981</v>
      </c>
    </row>
    <row r="12" customFormat="false" ht="15" hidden="false" customHeight="false" outlineLevel="0" collapsed="false">
      <c r="A12" s="41" t="s">
        <v>242</v>
      </c>
      <c r="B12" s="41" t="s">
        <v>2194</v>
      </c>
      <c r="C12" s="41" t="s">
        <v>209</v>
      </c>
      <c r="D12" s="41" t="s">
        <v>2182</v>
      </c>
      <c r="E12" s="41" t="s">
        <v>99</v>
      </c>
      <c r="F12" s="52" t="n">
        <v>45669</v>
      </c>
    </row>
    <row r="13" customFormat="false" ht="15" hidden="false" customHeight="false" outlineLevel="0" collapsed="false">
      <c r="A13" s="41" t="s">
        <v>243</v>
      </c>
      <c r="B13" s="41" t="s">
        <v>2195</v>
      </c>
      <c r="C13" s="41" t="s">
        <v>209</v>
      </c>
      <c r="D13" s="41" t="s">
        <v>2175</v>
      </c>
      <c r="E13" s="41" t="s">
        <v>100</v>
      </c>
      <c r="F13" s="52" t="n">
        <v>45251</v>
      </c>
    </row>
    <row r="14" customFormat="false" ht="15" hidden="false" customHeight="false" outlineLevel="0" collapsed="false">
      <c r="A14" s="41" t="s">
        <v>244</v>
      </c>
      <c r="B14" s="41" t="s">
        <v>2196</v>
      </c>
      <c r="C14" s="41" t="s">
        <v>209</v>
      </c>
      <c r="D14" s="41" t="s">
        <v>2187</v>
      </c>
      <c r="E14" s="41" t="s">
        <v>99</v>
      </c>
      <c r="F14" s="52" t="n">
        <v>45529</v>
      </c>
    </row>
    <row r="15" customFormat="false" ht="15" hidden="false" customHeight="false" outlineLevel="0" collapsed="false">
      <c r="A15" s="41" t="s">
        <v>245</v>
      </c>
      <c r="B15" s="41" t="s">
        <v>2197</v>
      </c>
      <c r="C15" s="41" t="s">
        <v>211</v>
      </c>
      <c r="D15" s="41" t="s">
        <v>2190</v>
      </c>
      <c r="E15" s="41" t="s">
        <v>100</v>
      </c>
      <c r="F15" s="52" t="n">
        <v>44573</v>
      </c>
    </row>
    <row r="16" customFormat="false" ht="15" hidden="false" customHeight="false" outlineLevel="0" collapsed="false">
      <c r="A16" s="41" t="s">
        <v>246</v>
      </c>
      <c r="B16" s="41" t="s">
        <v>2198</v>
      </c>
      <c r="C16" s="41" t="s">
        <v>209</v>
      </c>
      <c r="D16" s="41" t="s">
        <v>2193</v>
      </c>
      <c r="E16" s="41" t="s">
        <v>102</v>
      </c>
      <c r="F16" s="52" t="n">
        <v>45299</v>
      </c>
    </row>
    <row r="17" customFormat="false" ht="15" hidden="false" customHeight="false" outlineLevel="0" collapsed="false">
      <c r="A17" s="41" t="s">
        <v>247</v>
      </c>
      <c r="B17" s="41" t="s">
        <v>2199</v>
      </c>
      <c r="C17" s="41" t="s">
        <v>209</v>
      </c>
      <c r="D17" s="41" t="s">
        <v>2187</v>
      </c>
      <c r="E17" s="41" t="s">
        <v>99</v>
      </c>
      <c r="F17" s="52" t="n">
        <v>44988</v>
      </c>
    </row>
    <row r="18" customFormat="false" ht="15" hidden="false" customHeight="false" outlineLevel="0" collapsed="false">
      <c r="A18" s="41" t="s">
        <v>248</v>
      </c>
      <c r="B18" s="41" t="s">
        <v>2200</v>
      </c>
      <c r="C18" s="41" t="s">
        <v>209</v>
      </c>
      <c r="D18" s="41" t="s">
        <v>2187</v>
      </c>
      <c r="E18" s="41" t="s">
        <v>99</v>
      </c>
      <c r="F18" s="52" t="n">
        <v>45259</v>
      </c>
    </row>
    <row r="19" customFormat="false" ht="15" hidden="false" customHeight="false" outlineLevel="0" collapsed="false">
      <c r="A19" s="41" t="s">
        <v>249</v>
      </c>
      <c r="B19" s="41" t="s">
        <v>2201</v>
      </c>
      <c r="C19" s="41" t="s">
        <v>209</v>
      </c>
      <c r="D19" s="41" t="s">
        <v>2182</v>
      </c>
      <c r="E19" s="41" t="s">
        <v>99</v>
      </c>
      <c r="F19" s="52" t="n">
        <v>44571</v>
      </c>
    </row>
    <row r="20" customFormat="false" ht="15" hidden="false" customHeight="false" outlineLevel="0" collapsed="false">
      <c r="A20" s="41" t="s">
        <v>250</v>
      </c>
      <c r="B20" s="41" t="s">
        <v>2202</v>
      </c>
      <c r="C20" s="41" t="s">
        <v>211</v>
      </c>
      <c r="D20" s="41" t="s">
        <v>2175</v>
      </c>
      <c r="E20" s="41" t="s">
        <v>100</v>
      </c>
      <c r="F20" s="52" t="n">
        <v>44619</v>
      </c>
    </row>
    <row r="21" customFormat="false" ht="15" hidden="false" customHeight="false" outlineLevel="0" collapsed="false">
      <c r="A21" s="41" t="s">
        <v>251</v>
      </c>
      <c r="B21" s="41" t="s">
        <v>2203</v>
      </c>
      <c r="C21" s="41" t="s">
        <v>213</v>
      </c>
      <c r="D21" s="41" t="s">
        <v>2204</v>
      </c>
      <c r="E21" s="41" t="s">
        <v>102</v>
      </c>
      <c r="F21" s="52" t="n">
        <v>45102</v>
      </c>
    </row>
    <row r="22" customFormat="false" ht="15" hidden="false" customHeight="false" outlineLevel="0" collapsed="false">
      <c r="A22" s="41" t="s">
        <v>252</v>
      </c>
      <c r="B22" s="41" t="s">
        <v>2205</v>
      </c>
      <c r="C22" s="41" t="s">
        <v>209</v>
      </c>
      <c r="D22" s="41" t="s">
        <v>2193</v>
      </c>
      <c r="E22" s="41" t="s">
        <v>102</v>
      </c>
      <c r="F22" s="52" t="n">
        <v>44875</v>
      </c>
    </row>
    <row r="23" customFormat="false" ht="15" hidden="false" customHeight="false" outlineLevel="0" collapsed="false">
      <c r="A23" s="41" t="s">
        <v>253</v>
      </c>
      <c r="B23" s="41" t="s">
        <v>2206</v>
      </c>
      <c r="C23" s="41" t="s">
        <v>209</v>
      </c>
      <c r="D23" s="41" t="s">
        <v>2178</v>
      </c>
      <c r="E23" s="41" t="s">
        <v>101</v>
      </c>
      <c r="F23" s="52" t="n">
        <v>45655</v>
      </c>
    </row>
    <row r="24" customFormat="false" ht="15" hidden="false" customHeight="false" outlineLevel="0" collapsed="false">
      <c r="A24" s="41" t="s">
        <v>254</v>
      </c>
      <c r="B24" s="41" t="s">
        <v>2207</v>
      </c>
      <c r="C24" s="41" t="s">
        <v>209</v>
      </c>
      <c r="D24" s="41" t="s">
        <v>2208</v>
      </c>
      <c r="E24" s="41" t="s">
        <v>100</v>
      </c>
      <c r="F24" s="52" t="n">
        <v>45755</v>
      </c>
    </row>
    <row r="25" customFormat="false" ht="15" hidden="false" customHeight="false" outlineLevel="0" collapsed="false">
      <c r="A25" s="41" t="s">
        <v>255</v>
      </c>
      <c r="B25" s="41" t="s">
        <v>2209</v>
      </c>
      <c r="C25" s="41" t="s">
        <v>209</v>
      </c>
      <c r="D25" s="41" t="s">
        <v>2175</v>
      </c>
      <c r="E25" s="41" t="s">
        <v>100</v>
      </c>
      <c r="F25" s="52" t="n">
        <v>44639</v>
      </c>
    </row>
    <row r="26" customFormat="false" ht="15" hidden="false" customHeight="false" outlineLevel="0" collapsed="false">
      <c r="A26" s="41" t="s">
        <v>256</v>
      </c>
      <c r="B26" s="41" t="s">
        <v>2210</v>
      </c>
      <c r="C26" s="41" t="s">
        <v>211</v>
      </c>
      <c r="D26" s="41" t="s">
        <v>2193</v>
      </c>
      <c r="E26" s="41" t="s">
        <v>102</v>
      </c>
      <c r="F26" s="52" t="n">
        <v>44706</v>
      </c>
    </row>
    <row r="27" customFormat="false" ht="15" hidden="false" customHeight="false" outlineLevel="0" collapsed="false">
      <c r="A27" s="41" t="s">
        <v>257</v>
      </c>
      <c r="B27" s="41" t="s">
        <v>2211</v>
      </c>
      <c r="C27" s="41" t="s">
        <v>209</v>
      </c>
      <c r="D27" s="41" t="s">
        <v>2190</v>
      </c>
      <c r="E27" s="41" t="s">
        <v>100</v>
      </c>
      <c r="F27" s="52" t="n">
        <v>45389</v>
      </c>
    </row>
    <row r="28" customFormat="false" ht="15" hidden="false" customHeight="false" outlineLevel="0" collapsed="false">
      <c r="A28" s="41" t="s">
        <v>258</v>
      </c>
      <c r="B28" s="41" t="s">
        <v>2212</v>
      </c>
      <c r="C28" s="41" t="s">
        <v>209</v>
      </c>
      <c r="D28" s="41" t="s">
        <v>2187</v>
      </c>
      <c r="E28" s="41" t="s">
        <v>99</v>
      </c>
      <c r="F28" s="52" t="n">
        <v>45132</v>
      </c>
    </row>
    <row r="29" customFormat="false" ht="15" hidden="false" customHeight="false" outlineLevel="0" collapsed="false">
      <c r="A29" s="41" t="s">
        <v>259</v>
      </c>
      <c r="B29" s="41" t="s">
        <v>2213</v>
      </c>
      <c r="C29" s="41" t="s">
        <v>209</v>
      </c>
      <c r="D29" s="41" t="s">
        <v>2182</v>
      </c>
      <c r="E29" s="41" t="s">
        <v>99</v>
      </c>
      <c r="F29" s="52" t="n">
        <v>45507</v>
      </c>
    </row>
    <row r="30" customFormat="false" ht="15" hidden="false" customHeight="false" outlineLevel="0" collapsed="false">
      <c r="A30" s="41" t="s">
        <v>260</v>
      </c>
      <c r="B30" s="41" t="s">
        <v>2214</v>
      </c>
      <c r="C30" s="41" t="s">
        <v>211</v>
      </c>
      <c r="D30" s="41" t="s">
        <v>2184</v>
      </c>
      <c r="E30" s="41" t="s">
        <v>101</v>
      </c>
      <c r="F30" s="52" t="n">
        <v>45645</v>
      </c>
    </row>
    <row r="31" customFormat="false" ht="15" hidden="false" customHeight="false" outlineLevel="0" collapsed="false">
      <c r="A31" s="41" t="s">
        <v>261</v>
      </c>
      <c r="B31" s="41" t="s">
        <v>2215</v>
      </c>
      <c r="C31" s="41" t="s">
        <v>209</v>
      </c>
      <c r="D31" s="41" t="s">
        <v>2193</v>
      </c>
      <c r="E31" s="41" t="s">
        <v>102</v>
      </c>
      <c r="F31" s="52" t="n">
        <v>45510</v>
      </c>
    </row>
    <row r="32" customFormat="false" ht="15" hidden="false" customHeight="false" outlineLevel="0" collapsed="false">
      <c r="A32" s="41" t="s">
        <v>262</v>
      </c>
      <c r="B32" s="41" t="s">
        <v>2216</v>
      </c>
      <c r="C32" s="41" t="s">
        <v>209</v>
      </c>
      <c r="D32" s="41" t="s">
        <v>2175</v>
      </c>
      <c r="E32" s="41" t="s">
        <v>100</v>
      </c>
      <c r="F32" s="52" t="n">
        <v>45003</v>
      </c>
    </row>
    <row r="33" customFormat="false" ht="15" hidden="false" customHeight="false" outlineLevel="0" collapsed="false">
      <c r="A33" s="41" t="s">
        <v>263</v>
      </c>
      <c r="B33" s="41" t="s">
        <v>2217</v>
      </c>
      <c r="C33" s="41" t="s">
        <v>211</v>
      </c>
      <c r="D33" s="41" t="s">
        <v>2175</v>
      </c>
      <c r="E33" s="41" t="s">
        <v>100</v>
      </c>
      <c r="F33" s="52" t="n">
        <v>45649</v>
      </c>
    </row>
    <row r="34" customFormat="false" ht="15" hidden="false" customHeight="false" outlineLevel="0" collapsed="false">
      <c r="A34" s="41" t="s">
        <v>264</v>
      </c>
      <c r="B34" s="41" t="s">
        <v>2218</v>
      </c>
      <c r="C34" s="41" t="s">
        <v>209</v>
      </c>
      <c r="D34" s="41" t="s">
        <v>2187</v>
      </c>
      <c r="E34" s="41" t="s">
        <v>99</v>
      </c>
      <c r="F34" s="52" t="n">
        <v>44866</v>
      </c>
    </row>
    <row r="35" customFormat="false" ht="15" hidden="false" customHeight="false" outlineLevel="0" collapsed="false">
      <c r="A35" s="41" t="s">
        <v>265</v>
      </c>
      <c r="B35" s="41" t="s">
        <v>2219</v>
      </c>
      <c r="C35" s="41" t="s">
        <v>211</v>
      </c>
      <c r="D35" s="41" t="s">
        <v>2178</v>
      </c>
      <c r="E35" s="41" t="s">
        <v>101</v>
      </c>
      <c r="F35" s="52" t="n">
        <v>45201</v>
      </c>
    </row>
    <row r="36" customFormat="false" ht="15" hidden="false" customHeight="false" outlineLevel="0" collapsed="false">
      <c r="A36" s="41" t="s">
        <v>266</v>
      </c>
      <c r="B36" s="41" t="s">
        <v>2220</v>
      </c>
      <c r="C36" s="41" t="s">
        <v>209</v>
      </c>
      <c r="D36" s="41" t="s">
        <v>2187</v>
      </c>
      <c r="E36" s="41" t="s">
        <v>99</v>
      </c>
      <c r="F36" s="52" t="n">
        <v>45226</v>
      </c>
    </row>
    <row r="37" customFormat="false" ht="15" hidden="false" customHeight="false" outlineLevel="0" collapsed="false">
      <c r="A37" s="41" t="s">
        <v>267</v>
      </c>
      <c r="B37" s="41" t="s">
        <v>2221</v>
      </c>
      <c r="C37" s="41" t="s">
        <v>209</v>
      </c>
      <c r="D37" s="41" t="s">
        <v>2187</v>
      </c>
      <c r="E37" s="41" t="s">
        <v>99</v>
      </c>
      <c r="F37" s="52" t="n">
        <v>45330</v>
      </c>
    </row>
    <row r="38" customFormat="false" ht="15" hidden="false" customHeight="false" outlineLevel="0" collapsed="false">
      <c r="A38" s="41" t="s">
        <v>268</v>
      </c>
      <c r="B38" s="41" t="s">
        <v>2222</v>
      </c>
      <c r="C38" s="41" t="s">
        <v>209</v>
      </c>
      <c r="D38" s="41" t="s">
        <v>2190</v>
      </c>
      <c r="E38" s="41" t="s">
        <v>100</v>
      </c>
      <c r="F38" s="52" t="n">
        <v>45058</v>
      </c>
    </row>
    <row r="39" customFormat="false" ht="15" hidden="false" customHeight="false" outlineLevel="0" collapsed="false">
      <c r="A39" s="41" t="s">
        <v>269</v>
      </c>
      <c r="B39" s="41" t="s">
        <v>2223</v>
      </c>
      <c r="C39" s="41" t="s">
        <v>209</v>
      </c>
      <c r="D39" s="41" t="s">
        <v>2180</v>
      </c>
      <c r="E39" s="41" t="s">
        <v>101</v>
      </c>
      <c r="F39" s="52" t="n">
        <v>45221</v>
      </c>
    </row>
    <row r="40" customFormat="false" ht="15" hidden="false" customHeight="false" outlineLevel="0" collapsed="false">
      <c r="A40" s="41" t="s">
        <v>270</v>
      </c>
      <c r="B40" s="41" t="s">
        <v>2224</v>
      </c>
      <c r="C40" s="41" t="s">
        <v>209</v>
      </c>
      <c r="D40" s="41" t="s">
        <v>2184</v>
      </c>
      <c r="E40" s="41" t="s">
        <v>101</v>
      </c>
      <c r="F40" s="52" t="n">
        <v>44638</v>
      </c>
    </row>
    <row r="41" customFormat="false" ht="15" hidden="false" customHeight="false" outlineLevel="0" collapsed="false">
      <c r="A41" s="41" t="s">
        <v>271</v>
      </c>
      <c r="B41" s="41" t="s">
        <v>2225</v>
      </c>
      <c r="C41" s="41" t="s">
        <v>209</v>
      </c>
      <c r="D41" s="41" t="s">
        <v>2190</v>
      </c>
      <c r="E41" s="41" t="s">
        <v>100</v>
      </c>
      <c r="F41" s="52" t="n">
        <v>44733</v>
      </c>
    </row>
    <row r="42" customFormat="false" ht="15" hidden="false" customHeight="false" outlineLevel="0" collapsed="false">
      <c r="A42" s="41" t="s">
        <v>272</v>
      </c>
      <c r="B42" s="41" t="s">
        <v>2226</v>
      </c>
      <c r="C42" s="41" t="s">
        <v>211</v>
      </c>
      <c r="D42" s="41" t="s">
        <v>2180</v>
      </c>
      <c r="E42" s="41" t="s">
        <v>101</v>
      </c>
      <c r="F42" s="52" t="n">
        <v>44963</v>
      </c>
    </row>
    <row r="43" customFormat="false" ht="15" hidden="false" customHeight="false" outlineLevel="0" collapsed="false">
      <c r="A43" s="41" t="s">
        <v>273</v>
      </c>
      <c r="B43" s="41" t="s">
        <v>2227</v>
      </c>
      <c r="C43" s="41" t="s">
        <v>209</v>
      </c>
      <c r="D43" s="41" t="s">
        <v>2178</v>
      </c>
      <c r="E43" s="41" t="s">
        <v>101</v>
      </c>
      <c r="F43" s="52" t="n">
        <v>44705</v>
      </c>
    </row>
    <row r="44" customFormat="false" ht="15" hidden="false" customHeight="false" outlineLevel="0" collapsed="false">
      <c r="A44" s="41" t="s">
        <v>274</v>
      </c>
      <c r="B44" s="41" t="s">
        <v>2228</v>
      </c>
      <c r="C44" s="41" t="s">
        <v>209</v>
      </c>
      <c r="D44" s="41" t="s">
        <v>2182</v>
      </c>
      <c r="E44" s="41" t="s">
        <v>99</v>
      </c>
      <c r="F44" s="52" t="n">
        <v>44790</v>
      </c>
    </row>
    <row r="45" customFormat="false" ht="15" hidden="false" customHeight="false" outlineLevel="0" collapsed="false">
      <c r="A45" s="41" t="s">
        <v>275</v>
      </c>
      <c r="B45" s="41" t="s">
        <v>2229</v>
      </c>
      <c r="C45" s="41" t="s">
        <v>209</v>
      </c>
      <c r="D45" s="41" t="s">
        <v>2184</v>
      </c>
      <c r="E45" s="41" t="s">
        <v>101</v>
      </c>
      <c r="F45" s="52" t="n">
        <v>45644</v>
      </c>
    </row>
    <row r="46" customFormat="false" ht="15" hidden="false" customHeight="false" outlineLevel="0" collapsed="false">
      <c r="A46" s="41" t="s">
        <v>276</v>
      </c>
      <c r="B46" s="41" t="s">
        <v>2230</v>
      </c>
      <c r="C46" s="41" t="s">
        <v>209</v>
      </c>
      <c r="D46" s="41" t="s">
        <v>2175</v>
      </c>
      <c r="E46" s="41" t="s">
        <v>100</v>
      </c>
      <c r="F46" s="52" t="n">
        <v>45239</v>
      </c>
    </row>
    <row r="47" customFormat="false" ht="15" hidden="false" customHeight="false" outlineLevel="0" collapsed="false">
      <c r="A47" s="41" t="s">
        <v>277</v>
      </c>
      <c r="B47" s="41" t="s">
        <v>2231</v>
      </c>
      <c r="C47" s="41" t="s">
        <v>211</v>
      </c>
      <c r="D47" s="41" t="s">
        <v>2175</v>
      </c>
      <c r="E47" s="41" t="s">
        <v>100</v>
      </c>
      <c r="F47" s="52" t="n">
        <v>45881</v>
      </c>
    </row>
    <row r="48" customFormat="false" ht="15" hidden="false" customHeight="false" outlineLevel="0" collapsed="false">
      <c r="A48" s="41" t="s">
        <v>278</v>
      </c>
      <c r="B48" s="41" t="s">
        <v>2232</v>
      </c>
      <c r="C48" s="41" t="s">
        <v>213</v>
      </c>
      <c r="D48" s="41" t="s">
        <v>2204</v>
      </c>
      <c r="E48" s="41" t="s">
        <v>102</v>
      </c>
      <c r="F48" s="52" t="n">
        <v>45090</v>
      </c>
    </row>
    <row r="49" customFormat="false" ht="15" hidden="false" customHeight="false" outlineLevel="0" collapsed="false">
      <c r="A49" s="41" t="s">
        <v>279</v>
      </c>
      <c r="B49" s="41" t="s">
        <v>2233</v>
      </c>
      <c r="C49" s="41" t="s">
        <v>209</v>
      </c>
      <c r="D49" s="41" t="s">
        <v>2193</v>
      </c>
      <c r="E49" s="41" t="s">
        <v>102</v>
      </c>
      <c r="F49" s="52" t="n">
        <v>44734</v>
      </c>
    </row>
    <row r="50" customFormat="false" ht="15" hidden="false" customHeight="false" outlineLevel="0" collapsed="false">
      <c r="A50" s="41" t="s">
        <v>280</v>
      </c>
      <c r="B50" s="41" t="s">
        <v>2234</v>
      </c>
      <c r="C50" s="41" t="s">
        <v>209</v>
      </c>
      <c r="D50" s="41" t="s">
        <v>2178</v>
      </c>
      <c r="E50" s="41" t="s">
        <v>101</v>
      </c>
      <c r="F50" s="52" t="n">
        <v>45612</v>
      </c>
    </row>
    <row r="51" customFormat="false" ht="15" hidden="false" customHeight="false" outlineLevel="0" collapsed="false">
      <c r="A51" s="41" t="s">
        <v>281</v>
      </c>
      <c r="B51" s="41" t="s">
        <v>2235</v>
      </c>
      <c r="C51" s="41" t="s">
        <v>209</v>
      </c>
      <c r="D51" s="41" t="s">
        <v>2182</v>
      </c>
      <c r="E51" s="41" t="s">
        <v>99</v>
      </c>
      <c r="F51" s="52" t="n">
        <v>45399</v>
      </c>
    </row>
    <row r="52" customFormat="false" ht="15" hidden="false" customHeight="false" outlineLevel="0" collapsed="false">
      <c r="A52" s="41" t="s">
        <v>282</v>
      </c>
      <c r="B52" s="41" t="s">
        <v>2236</v>
      </c>
      <c r="C52" s="41" t="s">
        <v>211</v>
      </c>
      <c r="D52" s="41" t="s">
        <v>2182</v>
      </c>
      <c r="E52" s="41" t="s">
        <v>99</v>
      </c>
      <c r="F52" s="52" t="n">
        <v>44763</v>
      </c>
    </row>
    <row r="53" customFormat="false" ht="15" hidden="false" customHeight="false" outlineLevel="0" collapsed="false">
      <c r="A53" s="41" t="s">
        <v>283</v>
      </c>
      <c r="B53" s="41" t="s">
        <v>2237</v>
      </c>
      <c r="C53" s="41" t="s">
        <v>209</v>
      </c>
      <c r="D53" s="41" t="s">
        <v>2208</v>
      </c>
      <c r="E53" s="41" t="s">
        <v>100</v>
      </c>
      <c r="F53" s="52" t="n">
        <v>44884</v>
      </c>
    </row>
    <row r="54" customFormat="false" ht="15" hidden="false" customHeight="false" outlineLevel="0" collapsed="false">
      <c r="A54" s="41" t="s">
        <v>284</v>
      </c>
      <c r="B54" s="41" t="s">
        <v>2238</v>
      </c>
      <c r="C54" s="41" t="s">
        <v>209</v>
      </c>
      <c r="D54" s="41" t="s">
        <v>2182</v>
      </c>
      <c r="E54" s="41" t="s">
        <v>99</v>
      </c>
      <c r="F54" s="52" t="n">
        <v>45021</v>
      </c>
    </row>
    <row r="55" customFormat="false" ht="15" hidden="false" customHeight="false" outlineLevel="0" collapsed="false">
      <c r="A55" s="41" t="s">
        <v>285</v>
      </c>
      <c r="B55" s="41" t="s">
        <v>2239</v>
      </c>
      <c r="C55" s="41" t="s">
        <v>209</v>
      </c>
      <c r="D55" s="41" t="s">
        <v>2208</v>
      </c>
      <c r="E55" s="41" t="s">
        <v>100</v>
      </c>
      <c r="F55" s="52" t="n">
        <v>44898</v>
      </c>
    </row>
    <row r="56" customFormat="false" ht="15" hidden="false" customHeight="false" outlineLevel="0" collapsed="false">
      <c r="A56" s="41" t="s">
        <v>286</v>
      </c>
      <c r="B56" s="41" t="s">
        <v>2240</v>
      </c>
      <c r="C56" s="41" t="s">
        <v>211</v>
      </c>
      <c r="D56" s="41" t="s">
        <v>2180</v>
      </c>
      <c r="E56" s="41" t="s">
        <v>101</v>
      </c>
      <c r="F56" s="52" t="n">
        <v>45091</v>
      </c>
    </row>
    <row r="57" customFormat="false" ht="15" hidden="false" customHeight="false" outlineLevel="0" collapsed="false">
      <c r="A57" s="41" t="s">
        <v>287</v>
      </c>
      <c r="B57" s="41" t="s">
        <v>2241</v>
      </c>
      <c r="C57" s="41" t="s">
        <v>211</v>
      </c>
      <c r="D57" s="41" t="s">
        <v>2175</v>
      </c>
      <c r="E57" s="41" t="s">
        <v>100</v>
      </c>
      <c r="F57" s="52" t="n">
        <v>45148</v>
      </c>
    </row>
    <row r="58" customFormat="false" ht="15" hidden="false" customHeight="false" outlineLevel="0" collapsed="false">
      <c r="A58" s="41" t="s">
        <v>288</v>
      </c>
      <c r="B58" s="41" t="s">
        <v>2242</v>
      </c>
      <c r="C58" s="41" t="s">
        <v>209</v>
      </c>
      <c r="D58" s="41" t="s">
        <v>2204</v>
      </c>
      <c r="E58" s="41" t="s">
        <v>102</v>
      </c>
      <c r="F58" s="52" t="n">
        <v>45751</v>
      </c>
    </row>
    <row r="59" customFormat="false" ht="15" hidden="false" customHeight="false" outlineLevel="0" collapsed="false">
      <c r="A59" s="41" t="s">
        <v>289</v>
      </c>
      <c r="B59" s="41" t="s">
        <v>2243</v>
      </c>
      <c r="C59" s="41" t="s">
        <v>211</v>
      </c>
      <c r="D59" s="41" t="s">
        <v>2187</v>
      </c>
      <c r="E59" s="41" t="s">
        <v>99</v>
      </c>
      <c r="F59" s="52" t="n">
        <v>45087</v>
      </c>
    </row>
    <row r="60" customFormat="false" ht="15" hidden="false" customHeight="false" outlineLevel="0" collapsed="false">
      <c r="A60" s="41" t="s">
        <v>290</v>
      </c>
      <c r="B60" s="41" t="s">
        <v>2244</v>
      </c>
      <c r="C60" s="41" t="s">
        <v>209</v>
      </c>
      <c r="D60" s="41" t="s">
        <v>2204</v>
      </c>
      <c r="E60" s="41" t="s">
        <v>102</v>
      </c>
      <c r="F60" s="52" t="n">
        <v>44889</v>
      </c>
    </row>
    <row r="61" customFormat="false" ht="15" hidden="false" customHeight="false" outlineLevel="0" collapsed="false">
      <c r="A61" s="41" t="s">
        <v>291</v>
      </c>
      <c r="B61" s="41" t="s">
        <v>2245</v>
      </c>
      <c r="C61" s="41" t="s">
        <v>209</v>
      </c>
      <c r="D61" s="41" t="s">
        <v>2182</v>
      </c>
      <c r="E61" s="41" t="s">
        <v>99</v>
      </c>
      <c r="F61" s="52" t="n">
        <v>45704</v>
      </c>
    </row>
    <row r="62" customFormat="false" ht="15" hidden="false" customHeight="false" outlineLevel="0" collapsed="false">
      <c r="A62" s="41" t="s">
        <v>292</v>
      </c>
      <c r="B62" s="41" t="s">
        <v>2246</v>
      </c>
      <c r="C62" s="41" t="s">
        <v>209</v>
      </c>
      <c r="D62" s="41" t="s">
        <v>2182</v>
      </c>
      <c r="E62" s="41" t="s">
        <v>99</v>
      </c>
      <c r="F62" s="52" t="n">
        <v>45857</v>
      </c>
    </row>
    <row r="63" customFormat="false" ht="15" hidden="false" customHeight="false" outlineLevel="0" collapsed="false">
      <c r="A63" s="41" t="s">
        <v>293</v>
      </c>
      <c r="B63" s="41" t="s">
        <v>2247</v>
      </c>
      <c r="C63" s="41" t="s">
        <v>209</v>
      </c>
      <c r="D63" s="41" t="s">
        <v>2187</v>
      </c>
      <c r="E63" s="41" t="s">
        <v>99</v>
      </c>
      <c r="F63" s="52" t="n">
        <v>45158</v>
      </c>
    </row>
    <row r="64" customFormat="false" ht="15" hidden="false" customHeight="false" outlineLevel="0" collapsed="false">
      <c r="A64" s="41" t="s">
        <v>294</v>
      </c>
      <c r="B64" s="41" t="s">
        <v>2248</v>
      </c>
      <c r="C64" s="41" t="s">
        <v>213</v>
      </c>
      <c r="D64" s="41" t="s">
        <v>2187</v>
      </c>
      <c r="E64" s="41" t="s">
        <v>99</v>
      </c>
      <c r="F64" s="52" t="n">
        <v>45283</v>
      </c>
    </row>
    <row r="65" customFormat="false" ht="15" hidden="false" customHeight="false" outlineLevel="0" collapsed="false">
      <c r="A65" s="41" t="s">
        <v>295</v>
      </c>
      <c r="B65" s="41" t="s">
        <v>2249</v>
      </c>
      <c r="C65" s="41" t="s">
        <v>211</v>
      </c>
      <c r="D65" s="41" t="s">
        <v>2182</v>
      </c>
      <c r="E65" s="41" t="s">
        <v>99</v>
      </c>
      <c r="F65" s="52" t="n">
        <v>44619</v>
      </c>
    </row>
    <row r="66" customFormat="false" ht="15" hidden="false" customHeight="false" outlineLevel="0" collapsed="false">
      <c r="A66" s="41" t="s">
        <v>296</v>
      </c>
      <c r="B66" s="41" t="s">
        <v>2250</v>
      </c>
      <c r="C66" s="41" t="s">
        <v>209</v>
      </c>
      <c r="D66" s="41" t="s">
        <v>2190</v>
      </c>
      <c r="E66" s="41" t="s">
        <v>100</v>
      </c>
      <c r="F66" s="52" t="n">
        <v>44649</v>
      </c>
    </row>
    <row r="67" customFormat="false" ht="15" hidden="false" customHeight="false" outlineLevel="0" collapsed="false">
      <c r="A67" s="41" t="s">
        <v>297</v>
      </c>
      <c r="B67" s="41" t="s">
        <v>2251</v>
      </c>
      <c r="C67" s="41" t="s">
        <v>209</v>
      </c>
      <c r="D67" s="41" t="s">
        <v>2178</v>
      </c>
      <c r="E67" s="41" t="s">
        <v>101</v>
      </c>
      <c r="F67" s="52" t="n">
        <v>45086</v>
      </c>
    </row>
    <row r="68" customFormat="false" ht="15" hidden="false" customHeight="false" outlineLevel="0" collapsed="false">
      <c r="A68" s="41" t="s">
        <v>298</v>
      </c>
      <c r="B68" s="41" t="s">
        <v>2252</v>
      </c>
      <c r="C68" s="41" t="s">
        <v>209</v>
      </c>
      <c r="D68" s="41" t="s">
        <v>2175</v>
      </c>
      <c r="E68" s="41" t="s">
        <v>100</v>
      </c>
      <c r="F68" s="52" t="n">
        <v>45753</v>
      </c>
    </row>
    <row r="69" customFormat="false" ht="15" hidden="false" customHeight="false" outlineLevel="0" collapsed="false">
      <c r="A69" s="41" t="s">
        <v>299</v>
      </c>
      <c r="B69" s="41" t="s">
        <v>2253</v>
      </c>
      <c r="C69" s="41" t="s">
        <v>209</v>
      </c>
      <c r="D69" s="41" t="s">
        <v>2187</v>
      </c>
      <c r="E69" s="41" t="s">
        <v>99</v>
      </c>
      <c r="F69" s="52" t="n">
        <v>45800</v>
      </c>
    </row>
    <row r="70" customFormat="false" ht="15" hidden="false" customHeight="false" outlineLevel="0" collapsed="false">
      <c r="A70" s="41" t="s">
        <v>300</v>
      </c>
      <c r="B70" s="41" t="s">
        <v>2254</v>
      </c>
      <c r="C70" s="41" t="s">
        <v>209</v>
      </c>
      <c r="D70" s="41" t="s">
        <v>2187</v>
      </c>
      <c r="E70" s="41" t="s">
        <v>99</v>
      </c>
      <c r="F70" s="52" t="n">
        <v>44884</v>
      </c>
    </row>
    <row r="71" customFormat="false" ht="15" hidden="false" customHeight="false" outlineLevel="0" collapsed="false">
      <c r="A71" s="41" t="s">
        <v>301</v>
      </c>
      <c r="B71" s="41" t="s">
        <v>2255</v>
      </c>
      <c r="C71" s="41" t="s">
        <v>209</v>
      </c>
      <c r="D71" s="41" t="s">
        <v>2180</v>
      </c>
      <c r="E71" s="41" t="s">
        <v>101</v>
      </c>
      <c r="F71" s="52" t="n">
        <v>45018</v>
      </c>
    </row>
    <row r="72" customFormat="false" ht="15" hidden="false" customHeight="false" outlineLevel="0" collapsed="false">
      <c r="A72" s="41" t="s">
        <v>302</v>
      </c>
      <c r="B72" s="41" t="s">
        <v>2256</v>
      </c>
      <c r="C72" s="41" t="s">
        <v>211</v>
      </c>
      <c r="D72" s="41" t="s">
        <v>2182</v>
      </c>
      <c r="E72" s="41" t="s">
        <v>99</v>
      </c>
      <c r="F72" s="52" t="n">
        <v>44730</v>
      </c>
    </row>
    <row r="73" customFormat="false" ht="15" hidden="false" customHeight="false" outlineLevel="0" collapsed="false">
      <c r="A73" s="41" t="s">
        <v>303</v>
      </c>
      <c r="B73" s="41" t="s">
        <v>2257</v>
      </c>
      <c r="C73" s="41" t="s">
        <v>209</v>
      </c>
      <c r="D73" s="41" t="s">
        <v>2184</v>
      </c>
      <c r="E73" s="41" t="s">
        <v>101</v>
      </c>
      <c r="F73" s="52" t="n">
        <v>45069</v>
      </c>
    </row>
    <row r="74" customFormat="false" ht="15" hidden="false" customHeight="false" outlineLevel="0" collapsed="false">
      <c r="A74" s="41" t="s">
        <v>304</v>
      </c>
      <c r="B74" s="41" t="s">
        <v>2258</v>
      </c>
      <c r="C74" s="41" t="s">
        <v>209</v>
      </c>
      <c r="D74" s="41" t="s">
        <v>2180</v>
      </c>
      <c r="E74" s="41" t="s">
        <v>101</v>
      </c>
      <c r="F74" s="52" t="n">
        <v>45859</v>
      </c>
    </row>
    <row r="75" customFormat="false" ht="15" hidden="false" customHeight="false" outlineLevel="0" collapsed="false">
      <c r="A75" s="41" t="s">
        <v>305</v>
      </c>
      <c r="B75" s="41" t="s">
        <v>2259</v>
      </c>
      <c r="C75" s="41" t="s">
        <v>209</v>
      </c>
      <c r="D75" s="41" t="s">
        <v>2208</v>
      </c>
      <c r="E75" s="41" t="s">
        <v>100</v>
      </c>
      <c r="F75" s="52" t="n">
        <v>44699</v>
      </c>
    </row>
    <row r="76" customFormat="false" ht="15" hidden="false" customHeight="false" outlineLevel="0" collapsed="false">
      <c r="A76" s="41" t="s">
        <v>306</v>
      </c>
      <c r="B76" s="41" t="s">
        <v>2260</v>
      </c>
      <c r="C76" s="41" t="s">
        <v>211</v>
      </c>
      <c r="D76" s="41" t="s">
        <v>2190</v>
      </c>
      <c r="E76" s="41" t="s">
        <v>100</v>
      </c>
      <c r="F76" s="52" t="n">
        <v>45762</v>
      </c>
    </row>
    <row r="77" customFormat="false" ht="15" hidden="false" customHeight="false" outlineLevel="0" collapsed="false">
      <c r="A77" s="41" t="s">
        <v>307</v>
      </c>
      <c r="B77" s="41" t="s">
        <v>2261</v>
      </c>
      <c r="C77" s="41" t="s">
        <v>209</v>
      </c>
      <c r="D77" s="41" t="s">
        <v>2187</v>
      </c>
      <c r="E77" s="41" t="s">
        <v>99</v>
      </c>
      <c r="F77" s="52" t="n">
        <v>45533</v>
      </c>
    </row>
    <row r="78" customFormat="false" ht="15" hidden="false" customHeight="false" outlineLevel="0" collapsed="false">
      <c r="A78" s="41" t="s">
        <v>308</v>
      </c>
      <c r="B78" s="41" t="s">
        <v>2262</v>
      </c>
      <c r="C78" s="41" t="s">
        <v>211</v>
      </c>
      <c r="D78" s="41" t="s">
        <v>2204</v>
      </c>
      <c r="E78" s="41" t="s">
        <v>102</v>
      </c>
      <c r="F78" s="52" t="n">
        <v>45463</v>
      </c>
    </row>
    <row r="79" customFormat="false" ht="15" hidden="false" customHeight="false" outlineLevel="0" collapsed="false">
      <c r="A79" s="41" t="s">
        <v>309</v>
      </c>
      <c r="B79" s="41" t="s">
        <v>2263</v>
      </c>
      <c r="C79" s="41" t="s">
        <v>209</v>
      </c>
      <c r="D79" s="41" t="s">
        <v>2182</v>
      </c>
      <c r="E79" s="41" t="s">
        <v>99</v>
      </c>
      <c r="F79" s="52" t="n">
        <v>44589</v>
      </c>
    </row>
    <row r="80" customFormat="false" ht="15" hidden="false" customHeight="false" outlineLevel="0" collapsed="false">
      <c r="A80" s="41" t="s">
        <v>310</v>
      </c>
      <c r="B80" s="41" t="s">
        <v>2264</v>
      </c>
      <c r="C80" s="41" t="s">
        <v>209</v>
      </c>
      <c r="D80" s="41" t="s">
        <v>2182</v>
      </c>
      <c r="E80" s="41" t="s">
        <v>99</v>
      </c>
      <c r="F80" s="52" t="n">
        <v>45782</v>
      </c>
    </row>
    <row r="81" customFormat="false" ht="15" hidden="false" customHeight="false" outlineLevel="0" collapsed="false">
      <c r="A81" s="41" t="s">
        <v>311</v>
      </c>
      <c r="B81" s="41" t="s">
        <v>2265</v>
      </c>
      <c r="C81" s="41" t="s">
        <v>209</v>
      </c>
      <c r="D81" s="41" t="s">
        <v>2182</v>
      </c>
      <c r="E81" s="41" t="s">
        <v>99</v>
      </c>
      <c r="F81" s="52" t="n">
        <v>44863</v>
      </c>
    </row>
    <row r="82" customFormat="false" ht="15" hidden="false" customHeight="false" outlineLevel="0" collapsed="false">
      <c r="A82" s="41" t="s">
        <v>312</v>
      </c>
      <c r="B82" s="41" t="s">
        <v>2266</v>
      </c>
      <c r="C82" s="41" t="s">
        <v>209</v>
      </c>
      <c r="D82" s="41" t="s">
        <v>2178</v>
      </c>
      <c r="E82" s="41" t="s">
        <v>101</v>
      </c>
      <c r="F82" s="52" t="n">
        <v>45391</v>
      </c>
    </row>
    <row r="83" customFormat="false" ht="15" hidden="false" customHeight="false" outlineLevel="0" collapsed="false">
      <c r="A83" s="41" t="s">
        <v>313</v>
      </c>
      <c r="B83" s="41" t="s">
        <v>2267</v>
      </c>
      <c r="C83" s="41" t="s">
        <v>209</v>
      </c>
      <c r="D83" s="41" t="s">
        <v>2175</v>
      </c>
      <c r="E83" s="41" t="s">
        <v>100</v>
      </c>
      <c r="F83" s="52" t="n">
        <v>45732</v>
      </c>
    </row>
    <row r="84" customFormat="false" ht="15" hidden="false" customHeight="false" outlineLevel="0" collapsed="false">
      <c r="A84" s="41" t="s">
        <v>314</v>
      </c>
      <c r="B84" s="41" t="s">
        <v>2268</v>
      </c>
      <c r="C84" s="41" t="s">
        <v>209</v>
      </c>
      <c r="D84" s="41" t="s">
        <v>2180</v>
      </c>
      <c r="E84" s="41" t="s">
        <v>101</v>
      </c>
      <c r="F84" s="52" t="n">
        <v>45903</v>
      </c>
    </row>
    <row r="85" customFormat="false" ht="15" hidden="false" customHeight="false" outlineLevel="0" collapsed="false">
      <c r="A85" s="41" t="s">
        <v>315</v>
      </c>
      <c r="B85" s="41" t="s">
        <v>2269</v>
      </c>
      <c r="C85" s="41" t="s">
        <v>213</v>
      </c>
      <c r="D85" s="41" t="s">
        <v>2190</v>
      </c>
      <c r="E85" s="41" t="s">
        <v>100</v>
      </c>
      <c r="F85" s="52" t="n">
        <v>44932</v>
      </c>
    </row>
    <row r="86" customFormat="false" ht="15" hidden="false" customHeight="false" outlineLevel="0" collapsed="false">
      <c r="A86" s="41" t="s">
        <v>316</v>
      </c>
      <c r="B86" s="41" t="s">
        <v>2270</v>
      </c>
      <c r="C86" s="41" t="s">
        <v>209</v>
      </c>
      <c r="D86" s="41" t="s">
        <v>2187</v>
      </c>
      <c r="E86" s="41" t="s">
        <v>99</v>
      </c>
      <c r="F86" s="52" t="n">
        <v>45005</v>
      </c>
    </row>
    <row r="87" customFormat="false" ht="15" hidden="false" customHeight="false" outlineLevel="0" collapsed="false">
      <c r="A87" s="41" t="s">
        <v>317</v>
      </c>
      <c r="B87" s="41" t="s">
        <v>2271</v>
      </c>
      <c r="C87" s="41" t="s">
        <v>211</v>
      </c>
      <c r="D87" s="41" t="s">
        <v>2187</v>
      </c>
      <c r="E87" s="41" t="s">
        <v>99</v>
      </c>
      <c r="F87" s="52" t="n">
        <v>45902</v>
      </c>
    </row>
    <row r="88" customFormat="false" ht="15" hidden="false" customHeight="false" outlineLevel="0" collapsed="false">
      <c r="A88" s="41" t="s">
        <v>318</v>
      </c>
      <c r="B88" s="41" t="s">
        <v>2272</v>
      </c>
      <c r="C88" s="41" t="s">
        <v>209</v>
      </c>
      <c r="D88" s="41" t="s">
        <v>2182</v>
      </c>
      <c r="E88" s="41" t="s">
        <v>99</v>
      </c>
      <c r="F88" s="52" t="n">
        <v>45521</v>
      </c>
    </row>
    <row r="89" customFormat="false" ht="15" hidden="false" customHeight="false" outlineLevel="0" collapsed="false">
      <c r="A89" s="41" t="s">
        <v>319</v>
      </c>
      <c r="B89" s="41" t="s">
        <v>2273</v>
      </c>
      <c r="C89" s="41" t="s">
        <v>213</v>
      </c>
      <c r="D89" s="41" t="s">
        <v>2175</v>
      </c>
      <c r="E89" s="41" t="s">
        <v>100</v>
      </c>
      <c r="F89" s="52" t="n">
        <v>44606</v>
      </c>
    </row>
    <row r="90" customFormat="false" ht="15" hidden="false" customHeight="false" outlineLevel="0" collapsed="false">
      <c r="A90" s="41" t="s">
        <v>320</v>
      </c>
      <c r="B90" s="41" t="s">
        <v>2274</v>
      </c>
      <c r="C90" s="41" t="s">
        <v>209</v>
      </c>
      <c r="D90" s="41" t="s">
        <v>2182</v>
      </c>
      <c r="E90" s="41" t="s">
        <v>99</v>
      </c>
      <c r="F90" s="52" t="n">
        <v>45015</v>
      </c>
    </row>
    <row r="91" customFormat="false" ht="15" hidden="false" customHeight="false" outlineLevel="0" collapsed="false">
      <c r="A91" s="41" t="s">
        <v>321</v>
      </c>
      <c r="B91" s="41" t="s">
        <v>2275</v>
      </c>
      <c r="C91" s="41" t="s">
        <v>209</v>
      </c>
      <c r="D91" s="41" t="s">
        <v>2178</v>
      </c>
      <c r="E91" s="41" t="s">
        <v>101</v>
      </c>
      <c r="F91" s="52" t="n">
        <v>44772</v>
      </c>
    </row>
    <row r="92" customFormat="false" ht="15" hidden="false" customHeight="false" outlineLevel="0" collapsed="false">
      <c r="A92" s="41" t="s">
        <v>322</v>
      </c>
      <c r="B92" s="41" t="s">
        <v>2276</v>
      </c>
      <c r="C92" s="41" t="s">
        <v>209</v>
      </c>
      <c r="D92" s="41" t="s">
        <v>2190</v>
      </c>
      <c r="E92" s="41" t="s">
        <v>100</v>
      </c>
      <c r="F92" s="52" t="n">
        <v>45626</v>
      </c>
    </row>
    <row r="93" customFormat="false" ht="15" hidden="false" customHeight="false" outlineLevel="0" collapsed="false">
      <c r="A93" s="41" t="s">
        <v>323</v>
      </c>
      <c r="B93" s="41" t="s">
        <v>2277</v>
      </c>
      <c r="C93" s="41" t="s">
        <v>209</v>
      </c>
      <c r="D93" s="41" t="s">
        <v>2180</v>
      </c>
      <c r="E93" s="41" t="s">
        <v>101</v>
      </c>
      <c r="F93" s="52" t="n">
        <v>45599</v>
      </c>
    </row>
    <row r="94" customFormat="false" ht="15" hidden="false" customHeight="false" outlineLevel="0" collapsed="false">
      <c r="A94" s="41" t="s">
        <v>324</v>
      </c>
      <c r="B94" s="41" t="s">
        <v>2278</v>
      </c>
      <c r="C94" s="41" t="s">
        <v>211</v>
      </c>
      <c r="D94" s="41" t="s">
        <v>2184</v>
      </c>
      <c r="E94" s="41" t="s">
        <v>101</v>
      </c>
      <c r="F94" s="52" t="n">
        <v>45738</v>
      </c>
    </row>
    <row r="95" customFormat="false" ht="15" hidden="false" customHeight="false" outlineLevel="0" collapsed="false">
      <c r="A95" s="41" t="s">
        <v>325</v>
      </c>
      <c r="B95" s="41" t="s">
        <v>2279</v>
      </c>
      <c r="C95" s="41" t="s">
        <v>209</v>
      </c>
      <c r="D95" s="41" t="s">
        <v>2180</v>
      </c>
      <c r="E95" s="41" t="s">
        <v>101</v>
      </c>
      <c r="F95" s="52" t="n">
        <v>44842</v>
      </c>
    </row>
    <row r="96" customFormat="false" ht="15" hidden="false" customHeight="false" outlineLevel="0" collapsed="false">
      <c r="A96" s="41" t="s">
        <v>326</v>
      </c>
      <c r="B96" s="41" t="s">
        <v>2280</v>
      </c>
      <c r="C96" s="41" t="s">
        <v>209</v>
      </c>
      <c r="D96" s="41" t="s">
        <v>2187</v>
      </c>
      <c r="E96" s="41" t="s">
        <v>99</v>
      </c>
      <c r="F96" s="52" t="n">
        <v>45662</v>
      </c>
    </row>
    <row r="97" customFormat="false" ht="15" hidden="false" customHeight="false" outlineLevel="0" collapsed="false">
      <c r="A97" s="41" t="s">
        <v>327</v>
      </c>
      <c r="B97" s="41" t="s">
        <v>2281</v>
      </c>
      <c r="C97" s="41" t="s">
        <v>209</v>
      </c>
      <c r="D97" s="41" t="s">
        <v>2204</v>
      </c>
      <c r="E97" s="41" t="s">
        <v>102</v>
      </c>
      <c r="F97" s="52" t="n">
        <v>44891</v>
      </c>
    </row>
    <row r="98" customFormat="false" ht="15" hidden="false" customHeight="false" outlineLevel="0" collapsed="false">
      <c r="A98" s="41" t="s">
        <v>328</v>
      </c>
      <c r="B98" s="41" t="s">
        <v>2282</v>
      </c>
      <c r="C98" s="41" t="s">
        <v>209</v>
      </c>
      <c r="D98" s="41" t="s">
        <v>2178</v>
      </c>
      <c r="E98" s="41" t="s">
        <v>101</v>
      </c>
      <c r="F98" s="52" t="n">
        <v>44591</v>
      </c>
    </row>
    <row r="99" customFormat="false" ht="15" hidden="false" customHeight="false" outlineLevel="0" collapsed="false">
      <c r="A99" s="41" t="s">
        <v>329</v>
      </c>
      <c r="B99" s="41" t="s">
        <v>2283</v>
      </c>
      <c r="C99" s="41" t="s">
        <v>211</v>
      </c>
      <c r="D99" s="41" t="s">
        <v>2190</v>
      </c>
      <c r="E99" s="41" t="s">
        <v>100</v>
      </c>
      <c r="F99" s="52" t="n">
        <v>45795</v>
      </c>
    </row>
    <row r="100" customFormat="false" ht="15" hidden="false" customHeight="false" outlineLevel="0" collapsed="false">
      <c r="A100" s="41" t="s">
        <v>330</v>
      </c>
      <c r="B100" s="41" t="s">
        <v>2284</v>
      </c>
      <c r="C100" s="41" t="s">
        <v>211</v>
      </c>
      <c r="D100" s="41" t="s">
        <v>2184</v>
      </c>
      <c r="E100" s="41" t="s">
        <v>101</v>
      </c>
      <c r="F100" s="52" t="n">
        <v>45396</v>
      </c>
    </row>
    <row r="101" customFormat="false" ht="15" hidden="false" customHeight="false" outlineLevel="0" collapsed="false">
      <c r="A101" s="41" t="s">
        <v>331</v>
      </c>
      <c r="B101" s="41" t="s">
        <v>2285</v>
      </c>
      <c r="C101" s="41" t="s">
        <v>209</v>
      </c>
      <c r="D101" s="41" t="s">
        <v>2182</v>
      </c>
      <c r="E101" s="41" t="s">
        <v>99</v>
      </c>
      <c r="F101" s="52" t="n">
        <v>45012</v>
      </c>
    </row>
    <row r="102" customFormat="false" ht="15" hidden="false" customHeight="false" outlineLevel="0" collapsed="false">
      <c r="A102" s="41" t="s">
        <v>332</v>
      </c>
      <c r="B102" s="41" t="s">
        <v>2286</v>
      </c>
      <c r="C102" s="41" t="s">
        <v>209</v>
      </c>
      <c r="D102" s="41" t="s">
        <v>2180</v>
      </c>
      <c r="E102" s="41" t="s">
        <v>101</v>
      </c>
      <c r="F102" s="52" t="n">
        <v>45348</v>
      </c>
    </row>
    <row r="103" customFormat="false" ht="15" hidden="false" customHeight="false" outlineLevel="0" collapsed="false">
      <c r="A103" s="41" t="s">
        <v>333</v>
      </c>
      <c r="B103" s="41" t="s">
        <v>2287</v>
      </c>
      <c r="C103" s="41" t="s">
        <v>209</v>
      </c>
      <c r="D103" s="41" t="s">
        <v>2182</v>
      </c>
      <c r="E103" s="41" t="s">
        <v>99</v>
      </c>
      <c r="F103" s="52" t="n">
        <v>45596</v>
      </c>
    </row>
    <row r="104" customFormat="false" ht="15" hidden="false" customHeight="false" outlineLevel="0" collapsed="false">
      <c r="A104" s="41" t="s">
        <v>334</v>
      </c>
      <c r="B104" s="41" t="s">
        <v>2288</v>
      </c>
      <c r="C104" s="41" t="s">
        <v>209</v>
      </c>
      <c r="D104" s="41" t="s">
        <v>2208</v>
      </c>
      <c r="E104" s="41" t="s">
        <v>100</v>
      </c>
      <c r="F104" s="52" t="n">
        <v>45347</v>
      </c>
    </row>
    <row r="105" customFormat="false" ht="15" hidden="false" customHeight="false" outlineLevel="0" collapsed="false">
      <c r="A105" s="41" t="s">
        <v>335</v>
      </c>
      <c r="B105" s="41" t="s">
        <v>2289</v>
      </c>
      <c r="C105" s="41" t="s">
        <v>209</v>
      </c>
      <c r="D105" s="41" t="s">
        <v>2178</v>
      </c>
      <c r="E105" s="41" t="s">
        <v>101</v>
      </c>
      <c r="F105" s="52" t="n">
        <v>44988</v>
      </c>
    </row>
    <row r="106" customFormat="false" ht="15" hidden="false" customHeight="false" outlineLevel="0" collapsed="false">
      <c r="A106" s="41" t="s">
        <v>336</v>
      </c>
      <c r="B106" s="41" t="s">
        <v>2290</v>
      </c>
      <c r="C106" s="41" t="s">
        <v>209</v>
      </c>
      <c r="D106" s="41" t="s">
        <v>2204</v>
      </c>
      <c r="E106" s="41" t="s">
        <v>102</v>
      </c>
      <c r="F106" s="52" t="n">
        <v>45506</v>
      </c>
    </row>
    <row r="107" customFormat="false" ht="15" hidden="false" customHeight="false" outlineLevel="0" collapsed="false">
      <c r="A107" s="41" t="s">
        <v>337</v>
      </c>
      <c r="B107" s="41" t="s">
        <v>2291</v>
      </c>
      <c r="C107" s="41" t="s">
        <v>209</v>
      </c>
      <c r="D107" s="41" t="s">
        <v>2193</v>
      </c>
      <c r="E107" s="41" t="s">
        <v>102</v>
      </c>
      <c r="F107" s="52" t="n">
        <v>44997</v>
      </c>
    </row>
    <row r="108" customFormat="false" ht="15" hidden="false" customHeight="false" outlineLevel="0" collapsed="false">
      <c r="A108" s="41" t="s">
        <v>338</v>
      </c>
      <c r="B108" s="41" t="s">
        <v>2292</v>
      </c>
      <c r="C108" s="41" t="s">
        <v>209</v>
      </c>
      <c r="D108" s="41" t="s">
        <v>2190</v>
      </c>
      <c r="E108" s="41" t="s">
        <v>100</v>
      </c>
      <c r="F108" s="52" t="n">
        <v>45154</v>
      </c>
    </row>
    <row r="109" customFormat="false" ht="15" hidden="false" customHeight="false" outlineLevel="0" collapsed="false">
      <c r="A109" s="41" t="s">
        <v>339</v>
      </c>
      <c r="B109" s="41" t="s">
        <v>2293</v>
      </c>
      <c r="C109" s="41" t="s">
        <v>213</v>
      </c>
      <c r="D109" s="41" t="s">
        <v>2193</v>
      </c>
      <c r="E109" s="41" t="s">
        <v>102</v>
      </c>
      <c r="F109" s="52" t="n">
        <v>44646</v>
      </c>
    </row>
    <row r="110" customFormat="false" ht="15" hidden="false" customHeight="false" outlineLevel="0" collapsed="false">
      <c r="A110" s="41" t="s">
        <v>340</v>
      </c>
      <c r="B110" s="41" t="s">
        <v>2294</v>
      </c>
      <c r="C110" s="41" t="s">
        <v>209</v>
      </c>
      <c r="D110" s="41" t="s">
        <v>2182</v>
      </c>
      <c r="E110" s="41" t="s">
        <v>99</v>
      </c>
      <c r="F110" s="52" t="n">
        <v>45160</v>
      </c>
    </row>
    <row r="111" customFormat="false" ht="15" hidden="false" customHeight="false" outlineLevel="0" collapsed="false">
      <c r="A111" s="41" t="s">
        <v>341</v>
      </c>
      <c r="B111" s="41" t="s">
        <v>2295</v>
      </c>
      <c r="C111" s="41" t="s">
        <v>209</v>
      </c>
      <c r="D111" s="41" t="s">
        <v>2193</v>
      </c>
      <c r="E111" s="41" t="s">
        <v>102</v>
      </c>
      <c r="F111" s="52" t="n">
        <v>45430</v>
      </c>
    </row>
    <row r="112" customFormat="false" ht="15" hidden="false" customHeight="false" outlineLevel="0" collapsed="false">
      <c r="A112" s="41" t="s">
        <v>342</v>
      </c>
      <c r="B112" s="41" t="s">
        <v>2296</v>
      </c>
      <c r="C112" s="41" t="s">
        <v>211</v>
      </c>
      <c r="D112" s="41" t="s">
        <v>2184</v>
      </c>
      <c r="E112" s="41" t="s">
        <v>101</v>
      </c>
      <c r="F112" s="52" t="n">
        <v>45614</v>
      </c>
    </row>
    <row r="113" customFormat="false" ht="15" hidden="false" customHeight="false" outlineLevel="0" collapsed="false">
      <c r="A113" s="41" t="s">
        <v>343</v>
      </c>
      <c r="B113" s="41" t="s">
        <v>2297</v>
      </c>
      <c r="C113" s="41" t="s">
        <v>211</v>
      </c>
      <c r="D113" s="41" t="s">
        <v>2204</v>
      </c>
      <c r="E113" s="41" t="s">
        <v>102</v>
      </c>
      <c r="F113" s="52" t="n">
        <v>44708</v>
      </c>
    </row>
    <row r="114" customFormat="false" ht="15" hidden="false" customHeight="false" outlineLevel="0" collapsed="false">
      <c r="A114" s="41" t="s">
        <v>344</v>
      </c>
      <c r="B114" s="41" t="s">
        <v>2298</v>
      </c>
      <c r="C114" s="41" t="s">
        <v>209</v>
      </c>
      <c r="D114" s="41" t="s">
        <v>2208</v>
      </c>
      <c r="E114" s="41" t="s">
        <v>100</v>
      </c>
      <c r="F114" s="52" t="n">
        <v>44615</v>
      </c>
    </row>
    <row r="115" customFormat="false" ht="15" hidden="false" customHeight="false" outlineLevel="0" collapsed="false">
      <c r="A115" s="41" t="s">
        <v>345</v>
      </c>
      <c r="B115" s="41" t="s">
        <v>2299</v>
      </c>
      <c r="C115" s="41" t="s">
        <v>209</v>
      </c>
      <c r="D115" s="41" t="s">
        <v>2175</v>
      </c>
      <c r="E115" s="41" t="s">
        <v>100</v>
      </c>
      <c r="F115" s="52" t="n">
        <v>45008</v>
      </c>
    </row>
    <row r="116" customFormat="false" ht="15" hidden="false" customHeight="false" outlineLevel="0" collapsed="false">
      <c r="A116" s="41" t="s">
        <v>346</v>
      </c>
      <c r="B116" s="41" t="s">
        <v>2300</v>
      </c>
      <c r="C116" s="41" t="s">
        <v>209</v>
      </c>
      <c r="D116" s="41" t="s">
        <v>2184</v>
      </c>
      <c r="E116" s="41" t="s">
        <v>101</v>
      </c>
      <c r="F116" s="52" t="n">
        <v>45778</v>
      </c>
    </row>
    <row r="117" customFormat="false" ht="15" hidden="false" customHeight="false" outlineLevel="0" collapsed="false">
      <c r="A117" s="41" t="s">
        <v>347</v>
      </c>
      <c r="B117" s="41" t="s">
        <v>2301</v>
      </c>
      <c r="C117" s="41" t="s">
        <v>209</v>
      </c>
      <c r="D117" s="41" t="s">
        <v>2175</v>
      </c>
      <c r="E117" s="41" t="s">
        <v>100</v>
      </c>
      <c r="F117" s="52" t="n">
        <v>44962</v>
      </c>
    </row>
    <row r="118" customFormat="false" ht="15" hidden="false" customHeight="false" outlineLevel="0" collapsed="false">
      <c r="A118" s="41" t="s">
        <v>348</v>
      </c>
      <c r="B118" s="41" t="s">
        <v>2302</v>
      </c>
      <c r="C118" s="41" t="s">
        <v>211</v>
      </c>
      <c r="D118" s="41" t="s">
        <v>2190</v>
      </c>
      <c r="E118" s="41" t="s">
        <v>100</v>
      </c>
      <c r="F118" s="52" t="n">
        <v>44612</v>
      </c>
    </row>
    <row r="119" customFormat="false" ht="15" hidden="false" customHeight="false" outlineLevel="0" collapsed="false">
      <c r="A119" s="41" t="s">
        <v>349</v>
      </c>
      <c r="B119" s="41" t="s">
        <v>2303</v>
      </c>
      <c r="C119" s="41" t="s">
        <v>209</v>
      </c>
      <c r="D119" s="41" t="s">
        <v>2182</v>
      </c>
      <c r="E119" s="41" t="s">
        <v>99</v>
      </c>
      <c r="F119" s="52" t="n">
        <v>45883</v>
      </c>
    </row>
    <row r="120" customFormat="false" ht="15" hidden="false" customHeight="false" outlineLevel="0" collapsed="false">
      <c r="A120" s="41" t="s">
        <v>350</v>
      </c>
      <c r="B120" s="41" t="s">
        <v>2304</v>
      </c>
      <c r="C120" s="41" t="s">
        <v>211</v>
      </c>
      <c r="D120" s="41" t="s">
        <v>2175</v>
      </c>
      <c r="E120" s="41" t="s">
        <v>100</v>
      </c>
      <c r="F120" s="52" t="n">
        <v>44942</v>
      </c>
    </row>
    <row r="121" customFormat="false" ht="15" hidden="false" customHeight="false" outlineLevel="0" collapsed="false">
      <c r="A121" s="41" t="s">
        <v>351</v>
      </c>
      <c r="B121" s="41" t="s">
        <v>2305</v>
      </c>
      <c r="C121" s="41" t="s">
        <v>209</v>
      </c>
      <c r="D121" s="41" t="s">
        <v>2182</v>
      </c>
      <c r="E121" s="41" t="s">
        <v>99</v>
      </c>
      <c r="F121" s="52" t="n">
        <v>45203</v>
      </c>
    </row>
    <row r="122" customFormat="false" ht="15" hidden="false" customHeight="false" outlineLevel="0" collapsed="false">
      <c r="A122" s="41" t="s">
        <v>352</v>
      </c>
      <c r="B122" s="41" t="s">
        <v>2306</v>
      </c>
      <c r="C122" s="41" t="s">
        <v>209</v>
      </c>
      <c r="D122" s="41" t="s">
        <v>2178</v>
      </c>
      <c r="E122" s="41" t="s">
        <v>101</v>
      </c>
      <c r="F122" s="52" t="n">
        <v>45370</v>
      </c>
    </row>
    <row r="123" customFormat="false" ht="15" hidden="false" customHeight="false" outlineLevel="0" collapsed="false">
      <c r="A123" s="41" t="s">
        <v>353</v>
      </c>
      <c r="B123" s="41" t="s">
        <v>2307</v>
      </c>
      <c r="C123" s="41" t="s">
        <v>209</v>
      </c>
      <c r="D123" s="41" t="s">
        <v>2180</v>
      </c>
      <c r="E123" s="41" t="s">
        <v>101</v>
      </c>
      <c r="F123" s="52" t="n">
        <v>45528</v>
      </c>
    </row>
    <row r="124" customFormat="false" ht="15" hidden="false" customHeight="false" outlineLevel="0" collapsed="false">
      <c r="A124" s="41" t="s">
        <v>354</v>
      </c>
      <c r="B124" s="41" t="s">
        <v>2308</v>
      </c>
      <c r="C124" s="41" t="s">
        <v>209</v>
      </c>
      <c r="D124" s="41" t="s">
        <v>2204</v>
      </c>
      <c r="E124" s="41" t="s">
        <v>102</v>
      </c>
      <c r="F124" s="52" t="n">
        <v>44631</v>
      </c>
    </row>
    <row r="125" customFormat="false" ht="15" hidden="false" customHeight="false" outlineLevel="0" collapsed="false">
      <c r="A125" s="41" t="s">
        <v>355</v>
      </c>
      <c r="B125" s="41" t="s">
        <v>2309</v>
      </c>
      <c r="C125" s="41" t="s">
        <v>211</v>
      </c>
      <c r="D125" s="41" t="s">
        <v>2193</v>
      </c>
      <c r="E125" s="41" t="s">
        <v>102</v>
      </c>
      <c r="F125" s="52" t="n">
        <v>45090</v>
      </c>
    </row>
    <row r="126" customFormat="false" ht="15" hidden="false" customHeight="false" outlineLevel="0" collapsed="false">
      <c r="A126" s="41" t="s">
        <v>356</v>
      </c>
      <c r="B126" s="41" t="s">
        <v>2310</v>
      </c>
      <c r="C126" s="41" t="s">
        <v>209</v>
      </c>
      <c r="D126" s="41" t="s">
        <v>2175</v>
      </c>
      <c r="E126" s="41" t="s">
        <v>100</v>
      </c>
      <c r="F126" s="52" t="n">
        <v>45388</v>
      </c>
    </row>
    <row r="127" customFormat="false" ht="15" hidden="false" customHeight="false" outlineLevel="0" collapsed="false">
      <c r="A127" s="41" t="s">
        <v>357</v>
      </c>
      <c r="B127" s="41" t="s">
        <v>2311</v>
      </c>
      <c r="C127" s="41" t="s">
        <v>209</v>
      </c>
      <c r="D127" s="41" t="s">
        <v>2187</v>
      </c>
      <c r="E127" s="41" t="s">
        <v>99</v>
      </c>
      <c r="F127" s="52" t="n">
        <v>45417</v>
      </c>
    </row>
    <row r="128" customFormat="false" ht="15" hidden="false" customHeight="false" outlineLevel="0" collapsed="false">
      <c r="A128" s="41" t="s">
        <v>358</v>
      </c>
      <c r="B128" s="41" t="s">
        <v>2312</v>
      </c>
      <c r="C128" s="41" t="s">
        <v>211</v>
      </c>
      <c r="D128" s="41" t="s">
        <v>2187</v>
      </c>
      <c r="E128" s="41" t="s">
        <v>99</v>
      </c>
      <c r="F128" s="52" t="n">
        <v>44925</v>
      </c>
    </row>
    <row r="129" customFormat="false" ht="15" hidden="false" customHeight="false" outlineLevel="0" collapsed="false">
      <c r="A129" s="41" t="s">
        <v>359</v>
      </c>
      <c r="B129" s="41" t="s">
        <v>2313</v>
      </c>
      <c r="C129" s="41" t="s">
        <v>209</v>
      </c>
      <c r="D129" s="41" t="s">
        <v>2182</v>
      </c>
      <c r="E129" s="41" t="s">
        <v>99</v>
      </c>
      <c r="F129" s="52" t="n">
        <v>44724</v>
      </c>
    </row>
    <row r="130" customFormat="false" ht="15" hidden="false" customHeight="false" outlineLevel="0" collapsed="false">
      <c r="A130" s="41" t="s">
        <v>360</v>
      </c>
      <c r="B130" s="41" t="s">
        <v>2314</v>
      </c>
      <c r="C130" s="41" t="s">
        <v>209</v>
      </c>
      <c r="D130" s="41" t="s">
        <v>2190</v>
      </c>
      <c r="E130" s="41" t="s">
        <v>100</v>
      </c>
      <c r="F130" s="52" t="n">
        <v>45744</v>
      </c>
    </row>
    <row r="131" customFormat="false" ht="15" hidden="false" customHeight="false" outlineLevel="0" collapsed="false">
      <c r="A131" s="41" t="s">
        <v>361</v>
      </c>
      <c r="B131" s="41" t="s">
        <v>2315</v>
      </c>
      <c r="C131" s="41" t="s">
        <v>209</v>
      </c>
      <c r="D131" s="41" t="s">
        <v>2180</v>
      </c>
      <c r="E131" s="41" t="s">
        <v>101</v>
      </c>
      <c r="F131" s="52" t="n">
        <v>45182</v>
      </c>
    </row>
    <row r="132" customFormat="false" ht="15" hidden="false" customHeight="false" outlineLevel="0" collapsed="false">
      <c r="A132" s="41" t="s">
        <v>362</v>
      </c>
      <c r="B132" s="41" t="s">
        <v>2316</v>
      </c>
      <c r="C132" s="41" t="s">
        <v>209</v>
      </c>
      <c r="D132" s="41" t="s">
        <v>2190</v>
      </c>
      <c r="E132" s="41" t="s">
        <v>100</v>
      </c>
      <c r="F132" s="52" t="n">
        <v>44991</v>
      </c>
    </row>
    <row r="133" customFormat="false" ht="15" hidden="false" customHeight="false" outlineLevel="0" collapsed="false">
      <c r="A133" s="41" t="s">
        <v>363</v>
      </c>
      <c r="B133" s="41" t="s">
        <v>2317</v>
      </c>
      <c r="C133" s="41" t="s">
        <v>209</v>
      </c>
      <c r="D133" s="41" t="s">
        <v>2182</v>
      </c>
      <c r="E133" s="41" t="s">
        <v>99</v>
      </c>
      <c r="F133" s="52" t="n">
        <v>45660</v>
      </c>
    </row>
    <row r="134" customFormat="false" ht="15" hidden="false" customHeight="false" outlineLevel="0" collapsed="false">
      <c r="A134" s="41" t="s">
        <v>364</v>
      </c>
      <c r="B134" s="41" t="s">
        <v>2318</v>
      </c>
      <c r="C134" s="41" t="s">
        <v>209</v>
      </c>
      <c r="D134" s="41" t="s">
        <v>2180</v>
      </c>
      <c r="E134" s="41" t="s">
        <v>101</v>
      </c>
      <c r="F134" s="52" t="n">
        <v>44924</v>
      </c>
    </row>
    <row r="135" customFormat="false" ht="15" hidden="false" customHeight="false" outlineLevel="0" collapsed="false">
      <c r="A135" s="41" t="s">
        <v>365</v>
      </c>
      <c r="B135" s="41" t="s">
        <v>2319</v>
      </c>
      <c r="C135" s="41" t="s">
        <v>209</v>
      </c>
      <c r="D135" s="41" t="s">
        <v>2182</v>
      </c>
      <c r="E135" s="41" t="s">
        <v>99</v>
      </c>
      <c r="F135" s="52" t="n">
        <v>44789</v>
      </c>
    </row>
    <row r="136" customFormat="false" ht="15" hidden="false" customHeight="false" outlineLevel="0" collapsed="false">
      <c r="A136" s="41" t="s">
        <v>366</v>
      </c>
      <c r="B136" s="41" t="s">
        <v>2320</v>
      </c>
      <c r="C136" s="41" t="s">
        <v>209</v>
      </c>
      <c r="D136" s="41" t="s">
        <v>2175</v>
      </c>
      <c r="E136" s="41" t="s">
        <v>100</v>
      </c>
      <c r="F136" s="52" t="n">
        <v>44619</v>
      </c>
    </row>
    <row r="137" customFormat="false" ht="15" hidden="false" customHeight="false" outlineLevel="0" collapsed="false">
      <c r="A137" s="41" t="s">
        <v>367</v>
      </c>
      <c r="B137" s="41" t="s">
        <v>2321</v>
      </c>
      <c r="C137" s="41" t="s">
        <v>211</v>
      </c>
      <c r="D137" s="41" t="s">
        <v>2175</v>
      </c>
      <c r="E137" s="41" t="s">
        <v>100</v>
      </c>
      <c r="F137" s="52" t="n">
        <v>44590</v>
      </c>
    </row>
    <row r="138" customFormat="false" ht="15" hidden="false" customHeight="false" outlineLevel="0" collapsed="false">
      <c r="A138" s="41" t="s">
        <v>368</v>
      </c>
      <c r="B138" s="41" t="s">
        <v>2322</v>
      </c>
      <c r="C138" s="41" t="s">
        <v>209</v>
      </c>
      <c r="D138" s="41" t="s">
        <v>2208</v>
      </c>
      <c r="E138" s="41" t="s">
        <v>100</v>
      </c>
      <c r="F138" s="52" t="n">
        <v>44800</v>
      </c>
    </row>
    <row r="139" customFormat="false" ht="15" hidden="false" customHeight="false" outlineLevel="0" collapsed="false">
      <c r="A139" s="41" t="s">
        <v>369</v>
      </c>
      <c r="B139" s="41" t="s">
        <v>2323</v>
      </c>
      <c r="C139" s="41" t="s">
        <v>211</v>
      </c>
      <c r="D139" s="41" t="s">
        <v>2182</v>
      </c>
      <c r="E139" s="41" t="s">
        <v>99</v>
      </c>
      <c r="F139" s="52" t="n">
        <v>45037</v>
      </c>
    </row>
    <row r="140" customFormat="false" ht="15" hidden="false" customHeight="false" outlineLevel="0" collapsed="false">
      <c r="A140" s="41" t="s">
        <v>370</v>
      </c>
      <c r="B140" s="41" t="s">
        <v>2324</v>
      </c>
      <c r="C140" s="41" t="s">
        <v>209</v>
      </c>
      <c r="D140" s="41" t="s">
        <v>2184</v>
      </c>
      <c r="E140" s="41" t="s">
        <v>101</v>
      </c>
      <c r="F140" s="52" t="n">
        <v>44754</v>
      </c>
    </row>
    <row r="141" customFormat="false" ht="15" hidden="false" customHeight="false" outlineLevel="0" collapsed="false">
      <c r="A141" s="41" t="s">
        <v>371</v>
      </c>
      <c r="B141" s="41" t="s">
        <v>2325</v>
      </c>
      <c r="C141" s="41" t="s">
        <v>209</v>
      </c>
      <c r="D141" s="41" t="s">
        <v>2178</v>
      </c>
      <c r="E141" s="41" t="s">
        <v>101</v>
      </c>
      <c r="F141" s="52" t="n">
        <v>45524</v>
      </c>
    </row>
    <row r="142" customFormat="false" ht="15" hidden="false" customHeight="false" outlineLevel="0" collapsed="false">
      <c r="A142" s="41" t="s">
        <v>372</v>
      </c>
      <c r="B142" s="41" t="s">
        <v>2326</v>
      </c>
      <c r="C142" s="41" t="s">
        <v>211</v>
      </c>
      <c r="D142" s="41" t="s">
        <v>2180</v>
      </c>
      <c r="E142" s="41" t="s">
        <v>101</v>
      </c>
      <c r="F142" s="52" t="n">
        <v>45607</v>
      </c>
    </row>
    <row r="143" customFormat="false" ht="15" hidden="false" customHeight="false" outlineLevel="0" collapsed="false">
      <c r="A143" s="41" t="s">
        <v>373</v>
      </c>
      <c r="B143" s="41" t="s">
        <v>2327</v>
      </c>
      <c r="C143" s="41" t="s">
        <v>211</v>
      </c>
      <c r="D143" s="41" t="s">
        <v>2175</v>
      </c>
      <c r="E143" s="41" t="s">
        <v>100</v>
      </c>
      <c r="F143" s="52" t="n">
        <v>45070</v>
      </c>
    </row>
    <row r="144" customFormat="false" ht="15" hidden="false" customHeight="false" outlineLevel="0" collapsed="false">
      <c r="A144" s="41" t="s">
        <v>374</v>
      </c>
      <c r="B144" s="41" t="s">
        <v>2328</v>
      </c>
      <c r="C144" s="41" t="s">
        <v>211</v>
      </c>
      <c r="D144" s="41" t="s">
        <v>2182</v>
      </c>
      <c r="E144" s="41" t="s">
        <v>99</v>
      </c>
      <c r="F144" s="52" t="n">
        <v>44664</v>
      </c>
    </row>
    <row r="145" customFormat="false" ht="15" hidden="false" customHeight="false" outlineLevel="0" collapsed="false">
      <c r="A145" s="41" t="s">
        <v>375</v>
      </c>
      <c r="B145" s="41" t="s">
        <v>2329</v>
      </c>
      <c r="C145" s="41" t="s">
        <v>209</v>
      </c>
      <c r="D145" s="41" t="s">
        <v>2182</v>
      </c>
      <c r="E145" s="41" t="s">
        <v>99</v>
      </c>
      <c r="F145" s="52" t="n">
        <v>44714</v>
      </c>
    </row>
    <row r="146" customFormat="false" ht="15" hidden="false" customHeight="false" outlineLevel="0" collapsed="false">
      <c r="A146" s="41" t="s">
        <v>376</v>
      </c>
      <c r="B146" s="41" t="s">
        <v>2330</v>
      </c>
      <c r="C146" s="41" t="s">
        <v>209</v>
      </c>
      <c r="D146" s="41" t="s">
        <v>2178</v>
      </c>
      <c r="E146" s="41" t="s">
        <v>101</v>
      </c>
      <c r="F146" s="52" t="n">
        <v>44661</v>
      </c>
    </row>
    <row r="147" customFormat="false" ht="15" hidden="false" customHeight="false" outlineLevel="0" collapsed="false">
      <c r="A147" s="41" t="s">
        <v>377</v>
      </c>
      <c r="B147" s="41" t="s">
        <v>2331</v>
      </c>
      <c r="C147" s="41" t="s">
        <v>211</v>
      </c>
      <c r="D147" s="41" t="s">
        <v>2193</v>
      </c>
      <c r="E147" s="41" t="s">
        <v>102</v>
      </c>
      <c r="F147" s="52" t="n">
        <v>44584</v>
      </c>
    </row>
    <row r="148" customFormat="false" ht="15" hidden="false" customHeight="false" outlineLevel="0" collapsed="false">
      <c r="A148" s="41" t="s">
        <v>378</v>
      </c>
      <c r="B148" s="41" t="s">
        <v>2332</v>
      </c>
      <c r="C148" s="41" t="s">
        <v>209</v>
      </c>
      <c r="D148" s="41" t="s">
        <v>2182</v>
      </c>
      <c r="E148" s="41" t="s">
        <v>99</v>
      </c>
      <c r="F148" s="52" t="n">
        <v>44603</v>
      </c>
    </row>
    <row r="149" customFormat="false" ht="15" hidden="false" customHeight="false" outlineLevel="0" collapsed="false">
      <c r="A149" s="41" t="s">
        <v>379</v>
      </c>
      <c r="B149" s="41" t="s">
        <v>2333</v>
      </c>
      <c r="C149" s="41" t="s">
        <v>209</v>
      </c>
      <c r="D149" s="41" t="s">
        <v>2175</v>
      </c>
      <c r="E149" s="41" t="s">
        <v>100</v>
      </c>
      <c r="F149" s="52" t="n">
        <v>45589</v>
      </c>
    </row>
    <row r="150" customFormat="false" ht="15" hidden="false" customHeight="false" outlineLevel="0" collapsed="false">
      <c r="A150" s="41" t="s">
        <v>380</v>
      </c>
      <c r="B150" s="41" t="s">
        <v>2334</v>
      </c>
      <c r="C150" s="41" t="s">
        <v>209</v>
      </c>
      <c r="D150" s="41" t="s">
        <v>2187</v>
      </c>
      <c r="E150" s="41" t="s">
        <v>99</v>
      </c>
      <c r="F150" s="52" t="n">
        <v>44938</v>
      </c>
    </row>
    <row r="151" customFormat="false" ht="15" hidden="false" customHeight="false" outlineLevel="0" collapsed="false">
      <c r="A151" s="41" t="s">
        <v>381</v>
      </c>
      <c r="B151" s="41" t="s">
        <v>2335</v>
      </c>
      <c r="C151" s="41" t="s">
        <v>211</v>
      </c>
      <c r="D151" s="41" t="s">
        <v>2175</v>
      </c>
      <c r="E151" s="41" t="s">
        <v>100</v>
      </c>
      <c r="F151" s="52" t="n">
        <v>45234</v>
      </c>
    </row>
    <row r="152" customFormat="false" ht="15" hidden="false" customHeight="false" outlineLevel="0" collapsed="false">
      <c r="A152" s="41" t="s">
        <v>382</v>
      </c>
      <c r="B152" s="41" t="s">
        <v>2336</v>
      </c>
      <c r="C152" s="41" t="s">
        <v>213</v>
      </c>
      <c r="D152" s="41" t="s">
        <v>2180</v>
      </c>
      <c r="E152" s="41" t="s">
        <v>101</v>
      </c>
      <c r="F152" s="52" t="n">
        <v>45212</v>
      </c>
    </row>
    <row r="153" customFormat="false" ht="15" hidden="false" customHeight="false" outlineLevel="0" collapsed="false">
      <c r="A153" s="41" t="s">
        <v>383</v>
      </c>
      <c r="B153" s="41" t="s">
        <v>2337</v>
      </c>
      <c r="C153" s="41" t="s">
        <v>211</v>
      </c>
      <c r="D153" s="41" t="s">
        <v>2190</v>
      </c>
      <c r="E153" s="41" t="s">
        <v>100</v>
      </c>
      <c r="F153" s="52" t="n">
        <v>44884</v>
      </c>
    </row>
    <row r="154" customFormat="false" ht="15" hidden="false" customHeight="false" outlineLevel="0" collapsed="false">
      <c r="A154" s="41" t="s">
        <v>384</v>
      </c>
      <c r="B154" s="41" t="s">
        <v>2338</v>
      </c>
      <c r="C154" s="41" t="s">
        <v>211</v>
      </c>
      <c r="D154" s="41" t="s">
        <v>2204</v>
      </c>
      <c r="E154" s="41" t="s">
        <v>102</v>
      </c>
      <c r="F154" s="52" t="n">
        <v>44587</v>
      </c>
    </row>
    <row r="155" customFormat="false" ht="15" hidden="false" customHeight="false" outlineLevel="0" collapsed="false">
      <c r="A155" s="41" t="s">
        <v>385</v>
      </c>
      <c r="B155" s="41" t="s">
        <v>2339</v>
      </c>
      <c r="C155" s="41" t="s">
        <v>209</v>
      </c>
      <c r="D155" s="41" t="s">
        <v>2184</v>
      </c>
      <c r="E155" s="41" t="s">
        <v>101</v>
      </c>
      <c r="F155" s="52" t="n">
        <v>45175</v>
      </c>
    </row>
    <row r="156" customFormat="false" ht="15" hidden="false" customHeight="false" outlineLevel="0" collapsed="false">
      <c r="A156" s="41" t="s">
        <v>386</v>
      </c>
      <c r="B156" s="41" t="s">
        <v>2340</v>
      </c>
      <c r="C156" s="41" t="s">
        <v>209</v>
      </c>
      <c r="D156" s="41" t="s">
        <v>2175</v>
      </c>
      <c r="E156" s="41" t="s">
        <v>100</v>
      </c>
      <c r="F156" s="52" t="n">
        <v>44801</v>
      </c>
    </row>
    <row r="157" customFormat="false" ht="15" hidden="false" customHeight="false" outlineLevel="0" collapsed="false">
      <c r="A157" s="41" t="s">
        <v>387</v>
      </c>
      <c r="B157" s="41" t="s">
        <v>2341</v>
      </c>
      <c r="C157" s="41" t="s">
        <v>209</v>
      </c>
      <c r="D157" s="41" t="s">
        <v>2182</v>
      </c>
      <c r="E157" s="41" t="s">
        <v>99</v>
      </c>
      <c r="F157" s="52" t="n">
        <v>45245</v>
      </c>
    </row>
    <row r="158" customFormat="false" ht="15" hidden="false" customHeight="false" outlineLevel="0" collapsed="false">
      <c r="A158" s="41" t="s">
        <v>388</v>
      </c>
      <c r="B158" s="41" t="s">
        <v>2342</v>
      </c>
      <c r="C158" s="41" t="s">
        <v>209</v>
      </c>
      <c r="D158" s="41" t="s">
        <v>2193</v>
      </c>
      <c r="E158" s="41" t="s">
        <v>102</v>
      </c>
      <c r="F158" s="52" t="n">
        <v>45696</v>
      </c>
    </row>
    <row r="159" customFormat="false" ht="15" hidden="false" customHeight="false" outlineLevel="0" collapsed="false">
      <c r="A159" s="41" t="s">
        <v>389</v>
      </c>
      <c r="B159" s="41" t="s">
        <v>2343</v>
      </c>
      <c r="C159" s="41" t="s">
        <v>211</v>
      </c>
      <c r="D159" s="41" t="s">
        <v>2184</v>
      </c>
      <c r="E159" s="41" t="s">
        <v>101</v>
      </c>
      <c r="F159" s="52" t="n">
        <v>44801</v>
      </c>
    </row>
    <row r="160" customFormat="false" ht="15" hidden="false" customHeight="false" outlineLevel="0" collapsed="false">
      <c r="A160" s="41" t="s">
        <v>390</v>
      </c>
      <c r="B160" s="41" t="s">
        <v>2344</v>
      </c>
      <c r="C160" s="41" t="s">
        <v>209</v>
      </c>
      <c r="D160" s="41" t="s">
        <v>2190</v>
      </c>
      <c r="E160" s="41" t="s">
        <v>100</v>
      </c>
      <c r="F160" s="52" t="n">
        <v>45183</v>
      </c>
    </row>
    <row r="161" customFormat="false" ht="15" hidden="false" customHeight="false" outlineLevel="0" collapsed="false">
      <c r="A161" s="41" t="s">
        <v>391</v>
      </c>
      <c r="B161" s="41" t="s">
        <v>2345</v>
      </c>
      <c r="C161" s="41" t="s">
        <v>209</v>
      </c>
      <c r="D161" s="41" t="s">
        <v>2187</v>
      </c>
      <c r="E161" s="41" t="s">
        <v>99</v>
      </c>
      <c r="F161" s="52" t="n">
        <v>45898</v>
      </c>
    </row>
    <row r="162" customFormat="false" ht="15" hidden="false" customHeight="false" outlineLevel="0" collapsed="false">
      <c r="A162" s="41" t="s">
        <v>392</v>
      </c>
      <c r="B162" s="41" t="s">
        <v>2346</v>
      </c>
      <c r="C162" s="41" t="s">
        <v>209</v>
      </c>
      <c r="D162" s="41" t="s">
        <v>2187</v>
      </c>
      <c r="E162" s="41" t="s">
        <v>99</v>
      </c>
      <c r="F162" s="52" t="n">
        <v>45574</v>
      </c>
    </row>
    <row r="163" customFormat="false" ht="15" hidden="false" customHeight="false" outlineLevel="0" collapsed="false">
      <c r="A163" s="41" t="s">
        <v>393</v>
      </c>
      <c r="B163" s="41" t="s">
        <v>2347</v>
      </c>
      <c r="C163" s="41" t="s">
        <v>209</v>
      </c>
      <c r="D163" s="41" t="s">
        <v>2175</v>
      </c>
      <c r="E163" s="41" t="s">
        <v>100</v>
      </c>
      <c r="F163" s="52" t="n">
        <v>45609</v>
      </c>
    </row>
    <row r="164" customFormat="false" ht="15" hidden="false" customHeight="false" outlineLevel="0" collapsed="false">
      <c r="A164" s="41" t="s">
        <v>394</v>
      </c>
      <c r="B164" s="41" t="s">
        <v>2348</v>
      </c>
      <c r="C164" s="41" t="s">
        <v>209</v>
      </c>
      <c r="D164" s="41" t="s">
        <v>2184</v>
      </c>
      <c r="E164" s="41" t="s">
        <v>101</v>
      </c>
      <c r="F164" s="52" t="n">
        <v>45489</v>
      </c>
    </row>
    <row r="165" customFormat="false" ht="15" hidden="false" customHeight="false" outlineLevel="0" collapsed="false">
      <c r="A165" s="41" t="s">
        <v>395</v>
      </c>
      <c r="B165" s="41" t="s">
        <v>2349</v>
      </c>
      <c r="C165" s="41" t="s">
        <v>209</v>
      </c>
      <c r="D165" s="41" t="s">
        <v>2193</v>
      </c>
      <c r="E165" s="41" t="s">
        <v>102</v>
      </c>
      <c r="F165" s="52" t="n">
        <v>45192</v>
      </c>
    </row>
    <row r="166" customFormat="false" ht="15" hidden="false" customHeight="false" outlineLevel="0" collapsed="false">
      <c r="A166" s="41" t="s">
        <v>396</v>
      </c>
      <c r="B166" s="41" t="s">
        <v>2350</v>
      </c>
      <c r="C166" s="41" t="s">
        <v>209</v>
      </c>
      <c r="D166" s="41" t="s">
        <v>2178</v>
      </c>
      <c r="E166" s="41" t="s">
        <v>101</v>
      </c>
      <c r="F166" s="52" t="n">
        <v>44949</v>
      </c>
    </row>
    <row r="167" customFormat="false" ht="15" hidden="false" customHeight="false" outlineLevel="0" collapsed="false">
      <c r="A167" s="41" t="s">
        <v>397</v>
      </c>
      <c r="B167" s="41" t="s">
        <v>2351</v>
      </c>
      <c r="C167" s="41" t="s">
        <v>211</v>
      </c>
      <c r="D167" s="41" t="s">
        <v>2184</v>
      </c>
      <c r="E167" s="41" t="s">
        <v>101</v>
      </c>
      <c r="F167" s="52" t="n">
        <v>45513</v>
      </c>
    </row>
    <row r="168" customFormat="false" ht="15" hidden="false" customHeight="false" outlineLevel="0" collapsed="false">
      <c r="A168" s="41" t="s">
        <v>398</v>
      </c>
      <c r="B168" s="41" t="s">
        <v>2352</v>
      </c>
      <c r="C168" s="41" t="s">
        <v>211</v>
      </c>
      <c r="D168" s="41" t="s">
        <v>2178</v>
      </c>
      <c r="E168" s="41" t="s">
        <v>101</v>
      </c>
      <c r="F168" s="52" t="n">
        <v>44954</v>
      </c>
    </row>
    <row r="169" customFormat="false" ht="15" hidden="false" customHeight="false" outlineLevel="0" collapsed="false">
      <c r="A169" s="41" t="s">
        <v>399</v>
      </c>
      <c r="B169" s="41" t="s">
        <v>2353</v>
      </c>
      <c r="C169" s="41" t="s">
        <v>213</v>
      </c>
      <c r="D169" s="41" t="s">
        <v>2187</v>
      </c>
      <c r="E169" s="41" t="s">
        <v>99</v>
      </c>
      <c r="F169" s="52" t="n">
        <v>45695</v>
      </c>
    </row>
    <row r="170" customFormat="false" ht="15" hidden="false" customHeight="false" outlineLevel="0" collapsed="false">
      <c r="A170" s="41" t="s">
        <v>400</v>
      </c>
      <c r="B170" s="41" t="s">
        <v>2354</v>
      </c>
      <c r="C170" s="41" t="s">
        <v>209</v>
      </c>
      <c r="D170" s="41" t="s">
        <v>2187</v>
      </c>
      <c r="E170" s="41" t="s">
        <v>99</v>
      </c>
      <c r="F170" s="52" t="n">
        <v>45769</v>
      </c>
    </row>
    <row r="171" customFormat="false" ht="15" hidden="false" customHeight="false" outlineLevel="0" collapsed="false">
      <c r="A171" s="41" t="s">
        <v>401</v>
      </c>
      <c r="B171" s="41" t="s">
        <v>2355</v>
      </c>
      <c r="C171" s="41" t="s">
        <v>209</v>
      </c>
      <c r="D171" s="41" t="s">
        <v>2190</v>
      </c>
      <c r="E171" s="41" t="s">
        <v>100</v>
      </c>
      <c r="F171" s="52" t="n">
        <v>45159</v>
      </c>
    </row>
    <row r="172" customFormat="false" ht="15" hidden="false" customHeight="false" outlineLevel="0" collapsed="false">
      <c r="A172" s="41" t="s">
        <v>402</v>
      </c>
      <c r="B172" s="41" t="s">
        <v>2356</v>
      </c>
      <c r="C172" s="41" t="s">
        <v>213</v>
      </c>
      <c r="D172" s="41" t="s">
        <v>2187</v>
      </c>
      <c r="E172" s="41" t="s">
        <v>99</v>
      </c>
      <c r="F172" s="52" t="n">
        <v>44698</v>
      </c>
    </row>
    <row r="173" customFormat="false" ht="15" hidden="false" customHeight="false" outlineLevel="0" collapsed="false">
      <c r="A173" s="41" t="s">
        <v>403</v>
      </c>
      <c r="B173" s="41" t="s">
        <v>2357</v>
      </c>
      <c r="C173" s="41" t="s">
        <v>209</v>
      </c>
      <c r="D173" s="41" t="s">
        <v>2204</v>
      </c>
      <c r="E173" s="41" t="s">
        <v>102</v>
      </c>
      <c r="F173" s="52" t="n">
        <v>44700</v>
      </c>
    </row>
    <row r="174" customFormat="false" ht="15" hidden="false" customHeight="false" outlineLevel="0" collapsed="false">
      <c r="A174" s="41" t="s">
        <v>404</v>
      </c>
      <c r="B174" s="41" t="s">
        <v>2358</v>
      </c>
      <c r="C174" s="41" t="s">
        <v>209</v>
      </c>
      <c r="D174" s="41" t="s">
        <v>2178</v>
      </c>
      <c r="E174" s="41" t="s">
        <v>101</v>
      </c>
      <c r="F174" s="52" t="n">
        <v>45655</v>
      </c>
    </row>
    <row r="175" customFormat="false" ht="15" hidden="false" customHeight="false" outlineLevel="0" collapsed="false">
      <c r="A175" s="41" t="s">
        <v>405</v>
      </c>
      <c r="B175" s="41" t="s">
        <v>2359</v>
      </c>
      <c r="C175" s="41" t="s">
        <v>211</v>
      </c>
      <c r="D175" s="41" t="s">
        <v>2182</v>
      </c>
      <c r="E175" s="41" t="s">
        <v>99</v>
      </c>
      <c r="F175" s="52" t="n">
        <v>45299</v>
      </c>
    </row>
    <row r="176" customFormat="false" ht="15" hidden="false" customHeight="false" outlineLevel="0" collapsed="false">
      <c r="A176" s="41" t="s">
        <v>406</v>
      </c>
      <c r="B176" s="41" t="s">
        <v>2360</v>
      </c>
      <c r="C176" s="41" t="s">
        <v>213</v>
      </c>
      <c r="D176" s="41" t="s">
        <v>2193</v>
      </c>
      <c r="E176" s="41" t="s">
        <v>102</v>
      </c>
      <c r="F176" s="52" t="n">
        <v>44769</v>
      </c>
    </row>
    <row r="177" customFormat="false" ht="15" hidden="false" customHeight="false" outlineLevel="0" collapsed="false">
      <c r="A177" s="41" t="s">
        <v>407</v>
      </c>
      <c r="B177" s="41" t="s">
        <v>2361</v>
      </c>
      <c r="C177" s="41" t="s">
        <v>213</v>
      </c>
      <c r="D177" s="41" t="s">
        <v>2184</v>
      </c>
      <c r="E177" s="41" t="s">
        <v>101</v>
      </c>
      <c r="F177" s="52" t="n">
        <v>45115</v>
      </c>
    </row>
    <row r="178" customFormat="false" ht="15" hidden="false" customHeight="false" outlineLevel="0" collapsed="false">
      <c r="A178" s="41" t="s">
        <v>408</v>
      </c>
      <c r="B178" s="41" t="s">
        <v>2362</v>
      </c>
      <c r="C178" s="41" t="s">
        <v>209</v>
      </c>
      <c r="D178" s="41" t="s">
        <v>2175</v>
      </c>
      <c r="E178" s="41" t="s">
        <v>100</v>
      </c>
      <c r="F178" s="52" t="n">
        <v>45557</v>
      </c>
    </row>
    <row r="179" customFormat="false" ht="15" hidden="false" customHeight="false" outlineLevel="0" collapsed="false">
      <c r="A179" s="41" t="s">
        <v>409</v>
      </c>
      <c r="B179" s="41" t="s">
        <v>2363</v>
      </c>
      <c r="C179" s="41" t="s">
        <v>209</v>
      </c>
      <c r="D179" s="41" t="s">
        <v>2190</v>
      </c>
      <c r="E179" s="41" t="s">
        <v>100</v>
      </c>
      <c r="F179" s="52" t="n">
        <v>45488</v>
      </c>
    </row>
    <row r="180" customFormat="false" ht="15" hidden="false" customHeight="false" outlineLevel="0" collapsed="false">
      <c r="A180" s="41" t="s">
        <v>410</v>
      </c>
      <c r="B180" s="41" t="s">
        <v>2364</v>
      </c>
      <c r="C180" s="41" t="s">
        <v>209</v>
      </c>
      <c r="D180" s="41" t="s">
        <v>2187</v>
      </c>
      <c r="E180" s="41" t="s">
        <v>99</v>
      </c>
      <c r="F180" s="52" t="n">
        <v>44696</v>
      </c>
    </row>
    <row r="181" customFormat="false" ht="15" hidden="false" customHeight="false" outlineLevel="0" collapsed="false">
      <c r="A181" s="41" t="s">
        <v>411</v>
      </c>
      <c r="B181" s="41" t="s">
        <v>2365</v>
      </c>
      <c r="C181" s="41" t="s">
        <v>213</v>
      </c>
      <c r="D181" s="41" t="s">
        <v>2180</v>
      </c>
      <c r="E181" s="41" t="s">
        <v>101</v>
      </c>
      <c r="F181" s="52" t="n">
        <v>45471</v>
      </c>
    </row>
    <row r="182" customFormat="false" ht="15" hidden="false" customHeight="false" outlineLevel="0" collapsed="false">
      <c r="A182" s="41" t="s">
        <v>412</v>
      </c>
      <c r="B182" s="41" t="s">
        <v>2366</v>
      </c>
      <c r="C182" s="41" t="s">
        <v>209</v>
      </c>
      <c r="D182" s="41" t="s">
        <v>2180</v>
      </c>
      <c r="E182" s="41" t="s">
        <v>101</v>
      </c>
      <c r="F182" s="52" t="n">
        <v>44902</v>
      </c>
    </row>
    <row r="183" customFormat="false" ht="15" hidden="false" customHeight="false" outlineLevel="0" collapsed="false">
      <c r="A183" s="41" t="s">
        <v>413</v>
      </c>
      <c r="B183" s="41" t="s">
        <v>2367</v>
      </c>
      <c r="C183" s="41" t="s">
        <v>209</v>
      </c>
      <c r="D183" s="41" t="s">
        <v>2182</v>
      </c>
      <c r="E183" s="41" t="s">
        <v>99</v>
      </c>
      <c r="F183" s="52" t="n">
        <v>45422</v>
      </c>
    </row>
    <row r="184" customFormat="false" ht="15" hidden="false" customHeight="false" outlineLevel="0" collapsed="false">
      <c r="A184" s="41" t="s">
        <v>414</v>
      </c>
      <c r="B184" s="41" t="s">
        <v>2368</v>
      </c>
      <c r="C184" s="41" t="s">
        <v>209</v>
      </c>
      <c r="D184" s="41" t="s">
        <v>2178</v>
      </c>
      <c r="E184" s="41" t="s">
        <v>101</v>
      </c>
      <c r="F184" s="52" t="n">
        <v>44977</v>
      </c>
    </row>
    <row r="185" customFormat="false" ht="15" hidden="false" customHeight="false" outlineLevel="0" collapsed="false">
      <c r="A185" s="41" t="s">
        <v>415</v>
      </c>
      <c r="B185" s="41" t="s">
        <v>2369</v>
      </c>
      <c r="C185" s="41" t="s">
        <v>209</v>
      </c>
      <c r="D185" s="41" t="s">
        <v>2178</v>
      </c>
      <c r="E185" s="41" t="s">
        <v>101</v>
      </c>
      <c r="F185" s="52" t="n">
        <v>45099</v>
      </c>
    </row>
    <row r="186" customFormat="false" ht="15" hidden="false" customHeight="false" outlineLevel="0" collapsed="false">
      <c r="A186" s="41" t="s">
        <v>416</v>
      </c>
      <c r="B186" s="41" t="s">
        <v>2370</v>
      </c>
      <c r="C186" s="41" t="s">
        <v>209</v>
      </c>
      <c r="D186" s="41" t="s">
        <v>2180</v>
      </c>
      <c r="E186" s="41" t="s">
        <v>101</v>
      </c>
      <c r="F186" s="52" t="n">
        <v>45402</v>
      </c>
    </row>
    <row r="187" customFormat="false" ht="15" hidden="false" customHeight="false" outlineLevel="0" collapsed="false">
      <c r="A187" s="41" t="s">
        <v>417</v>
      </c>
      <c r="B187" s="41" t="s">
        <v>2371</v>
      </c>
      <c r="C187" s="41" t="s">
        <v>211</v>
      </c>
      <c r="D187" s="41" t="s">
        <v>2187</v>
      </c>
      <c r="E187" s="41" t="s">
        <v>99</v>
      </c>
      <c r="F187" s="52" t="n">
        <v>45182</v>
      </c>
    </row>
    <row r="188" customFormat="false" ht="15" hidden="false" customHeight="false" outlineLevel="0" collapsed="false">
      <c r="A188" s="41" t="s">
        <v>418</v>
      </c>
      <c r="B188" s="41" t="s">
        <v>2372</v>
      </c>
      <c r="C188" s="41" t="s">
        <v>211</v>
      </c>
      <c r="D188" s="41" t="s">
        <v>2184</v>
      </c>
      <c r="E188" s="41" t="s">
        <v>101</v>
      </c>
      <c r="F188" s="52" t="n">
        <v>44729</v>
      </c>
    </row>
    <row r="189" customFormat="false" ht="15" hidden="false" customHeight="false" outlineLevel="0" collapsed="false">
      <c r="A189" s="41" t="s">
        <v>419</v>
      </c>
      <c r="B189" s="41" t="s">
        <v>2373</v>
      </c>
      <c r="C189" s="41" t="s">
        <v>209</v>
      </c>
      <c r="D189" s="41" t="s">
        <v>2193</v>
      </c>
      <c r="E189" s="41" t="s">
        <v>102</v>
      </c>
      <c r="F189" s="52" t="n">
        <v>45490</v>
      </c>
    </row>
    <row r="190" customFormat="false" ht="15" hidden="false" customHeight="false" outlineLevel="0" collapsed="false">
      <c r="A190" s="41" t="s">
        <v>420</v>
      </c>
      <c r="B190" s="41" t="s">
        <v>2374</v>
      </c>
      <c r="C190" s="41" t="s">
        <v>209</v>
      </c>
      <c r="D190" s="41" t="s">
        <v>2193</v>
      </c>
      <c r="E190" s="41" t="s">
        <v>102</v>
      </c>
      <c r="F190" s="52" t="n">
        <v>44661</v>
      </c>
    </row>
    <row r="191" customFormat="false" ht="15" hidden="false" customHeight="false" outlineLevel="0" collapsed="false">
      <c r="A191" s="41" t="s">
        <v>421</v>
      </c>
      <c r="B191" s="41" t="s">
        <v>2375</v>
      </c>
      <c r="C191" s="41" t="s">
        <v>209</v>
      </c>
      <c r="D191" s="41" t="s">
        <v>2204</v>
      </c>
      <c r="E191" s="41" t="s">
        <v>102</v>
      </c>
      <c r="F191" s="52" t="n">
        <v>44842</v>
      </c>
    </row>
    <row r="192" customFormat="false" ht="15" hidden="false" customHeight="false" outlineLevel="0" collapsed="false">
      <c r="A192" s="41" t="s">
        <v>422</v>
      </c>
      <c r="B192" s="41" t="s">
        <v>2376</v>
      </c>
      <c r="C192" s="41" t="s">
        <v>211</v>
      </c>
      <c r="D192" s="41" t="s">
        <v>2193</v>
      </c>
      <c r="E192" s="41" t="s">
        <v>102</v>
      </c>
      <c r="F192" s="52" t="n">
        <v>45579</v>
      </c>
    </row>
    <row r="193" customFormat="false" ht="15" hidden="false" customHeight="false" outlineLevel="0" collapsed="false">
      <c r="A193" s="41" t="s">
        <v>423</v>
      </c>
      <c r="B193" s="41" t="s">
        <v>2377</v>
      </c>
      <c r="C193" s="41" t="s">
        <v>209</v>
      </c>
      <c r="D193" s="41" t="s">
        <v>2190</v>
      </c>
      <c r="E193" s="41" t="s">
        <v>100</v>
      </c>
      <c r="F193" s="52" t="n">
        <v>45171</v>
      </c>
    </row>
    <row r="194" customFormat="false" ht="15" hidden="false" customHeight="false" outlineLevel="0" collapsed="false">
      <c r="A194" s="41" t="s">
        <v>424</v>
      </c>
      <c r="B194" s="41" t="s">
        <v>2378</v>
      </c>
      <c r="C194" s="41" t="s">
        <v>209</v>
      </c>
      <c r="D194" s="41" t="s">
        <v>2178</v>
      </c>
      <c r="E194" s="41" t="s">
        <v>101</v>
      </c>
      <c r="F194" s="52" t="n">
        <v>45167</v>
      </c>
    </row>
    <row r="195" customFormat="false" ht="15" hidden="false" customHeight="false" outlineLevel="0" collapsed="false">
      <c r="A195" s="41" t="s">
        <v>425</v>
      </c>
      <c r="B195" s="41" t="s">
        <v>2379</v>
      </c>
      <c r="C195" s="41" t="s">
        <v>209</v>
      </c>
      <c r="D195" s="41" t="s">
        <v>2193</v>
      </c>
      <c r="E195" s="41" t="s">
        <v>102</v>
      </c>
      <c r="F195" s="52" t="n">
        <v>45825</v>
      </c>
    </row>
    <row r="196" customFormat="false" ht="15" hidden="false" customHeight="false" outlineLevel="0" collapsed="false">
      <c r="A196" s="41" t="s">
        <v>426</v>
      </c>
      <c r="B196" s="41" t="s">
        <v>2380</v>
      </c>
      <c r="C196" s="41" t="s">
        <v>209</v>
      </c>
      <c r="D196" s="41" t="s">
        <v>2184</v>
      </c>
      <c r="E196" s="41" t="s">
        <v>101</v>
      </c>
      <c r="F196" s="52" t="n">
        <v>45699</v>
      </c>
    </row>
    <row r="197" customFormat="false" ht="15" hidden="false" customHeight="false" outlineLevel="0" collapsed="false">
      <c r="A197" s="41" t="s">
        <v>427</v>
      </c>
      <c r="B197" s="41" t="s">
        <v>2381</v>
      </c>
      <c r="C197" s="41" t="s">
        <v>211</v>
      </c>
      <c r="D197" s="41" t="s">
        <v>2180</v>
      </c>
      <c r="E197" s="41" t="s">
        <v>101</v>
      </c>
      <c r="F197" s="52" t="n">
        <v>45801</v>
      </c>
    </row>
    <row r="198" customFormat="false" ht="15" hidden="false" customHeight="false" outlineLevel="0" collapsed="false">
      <c r="A198" s="41" t="s">
        <v>428</v>
      </c>
      <c r="B198" s="41" t="s">
        <v>2382</v>
      </c>
      <c r="C198" s="41" t="s">
        <v>209</v>
      </c>
      <c r="D198" s="41" t="s">
        <v>2182</v>
      </c>
      <c r="E198" s="41" t="s">
        <v>99</v>
      </c>
      <c r="F198" s="52" t="n">
        <v>45262</v>
      </c>
    </row>
    <row r="199" customFormat="false" ht="15" hidden="false" customHeight="false" outlineLevel="0" collapsed="false">
      <c r="A199" s="41" t="s">
        <v>429</v>
      </c>
      <c r="B199" s="41" t="s">
        <v>2383</v>
      </c>
      <c r="C199" s="41" t="s">
        <v>209</v>
      </c>
      <c r="D199" s="41" t="s">
        <v>2208</v>
      </c>
      <c r="E199" s="41" t="s">
        <v>100</v>
      </c>
      <c r="F199" s="52" t="n">
        <v>45321</v>
      </c>
    </row>
    <row r="200" customFormat="false" ht="15" hidden="false" customHeight="false" outlineLevel="0" collapsed="false">
      <c r="A200" s="41" t="s">
        <v>430</v>
      </c>
      <c r="B200" s="41" t="s">
        <v>2384</v>
      </c>
      <c r="C200" s="41" t="s">
        <v>211</v>
      </c>
      <c r="D200" s="41" t="s">
        <v>2204</v>
      </c>
      <c r="E200" s="41" t="s">
        <v>102</v>
      </c>
      <c r="F200" s="52" t="n">
        <v>44645</v>
      </c>
    </row>
    <row r="201" customFormat="false" ht="15" hidden="false" customHeight="false" outlineLevel="0" collapsed="false">
      <c r="A201" s="41" t="s">
        <v>431</v>
      </c>
      <c r="B201" s="41" t="s">
        <v>2385</v>
      </c>
      <c r="C201" s="41" t="s">
        <v>209</v>
      </c>
      <c r="D201" s="41" t="s">
        <v>2178</v>
      </c>
      <c r="E201" s="41" t="s">
        <v>101</v>
      </c>
      <c r="F201" s="52" t="n">
        <v>45731</v>
      </c>
    </row>
  </sheetData>
  <autoFilter ref="A1:F20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2026-10-06T06:28:42Z</dcterms:created>
  <dc:creator>openpyxl</dc:creator>
  <dc:description/>
  <dc:language>en-US</dc:language>
  <cp:lastModifiedBy/>
  <dcterms:modified xsi:type="dcterms:W3CDTF">2026-10-06T06:28:47Z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