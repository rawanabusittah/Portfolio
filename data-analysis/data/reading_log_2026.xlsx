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B44F7B3-9565-434F-87F3-0F1F4B5E8341}" xr6:coauthVersionLast="47" xr6:coauthVersionMax="47" xr10:uidLastSave="{00000000-0000-0000-0000-000000000000}"/>
  <bookViews>
    <workbookView xWindow="0" yWindow="600" windowWidth="20490" windowHeight="10920" tabRatio="500" activeTab="1" xr2:uid="{00000000-000D-0000-FFFF-FFFF00000000}"/>
  </bookViews>
  <sheets>
    <sheet name="اقرأني" sheetId="1" r:id="rId1"/>
    <sheet name="Books" sheetId="2" r:id="rId2"/>
    <sheet name="Lists" sheetId="3" r:id="rId3"/>
    <sheet name="Summar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1" i="4" l="1"/>
  <c r="A20" i="4"/>
  <c r="C19" i="4"/>
  <c r="A19" i="4"/>
  <c r="B19" i="4" s="1"/>
  <c r="C18" i="4"/>
  <c r="B18" i="4"/>
  <c r="A18" i="4"/>
  <c r="A17" i="4"/>
  <c r="A16" i="4"/>
  <c r="A15" i="4"/>
  <c r="C14" i="4"/>
  <c r="A14" i="4"/>
  <c r="B14" i="4" s="1"/>
  <c r="B9" i="4"/>
  <c r="B10" i="4" s="1"/>
  <c r="B8" i="4"/>
  <c r="B7" i="4"/>
  <c r="B6" i="4"/>
  <c r="B5" i="4"/>
  <c r="B4" i="4"/>
  <c r="B3" i="4"/>
  <c r="B2" i="4"/>
  <c r="C21" i="4" l="1"/>
  <c r="B21" i="4"/>
  <c r="D21" i="4" s="1"/>
  <c r="C20" i="4"/>
  <c r="B20" i="4"/>
  <c r="D20" i="4" s="1"/>
  <c r="C17" i="4"/>
  <c r="B17" i="4"/>
  <c r="D17" i="4" s="1"/>
  <c r="C16" i="4"/>
  <c r="B16" i="4"/>
  <c r="D16" i="4" s="1"/>
  <c r="B15" i="4"/>
  <c r="D15" i="4" s="1"/>
  <c r="C15" i="4"/>
  <c r="D19" i="4"/>
  <c r="D18" i="4"/>
  <c r="D14" i="4"/>
</calcChain>
</file>

<file path=xl/sharedStrings.xml><?xml version="1.0" encoding="utf-8"?>
<sst xmlns="http://schemas.openxmlformats.org/spreadsheetml/2006/main" count="371" uniqueCount="163">
  <si>
    <t>كيف تستخدمين هذا الملف</t>
  </si>
  <si>
    <t>1) الخلايا الصفراء في ورقة Books هي التي تملئينها: التصنيف الموحّد، شهر الانتهاء، نوع النسخة، التقييم.</t>
  </si>
  <si>
    <t>2) التصنيف الموحّد معبّأ مسبقًا لـ 40 كتابًا من تصنيفاتك الأصلية (ديني، غموض...). الـ 43 الباقية فارغة لتختاريها من القائمة.</t>
  </si>
  <si>
    <t>3) ورقة Lists تحوي قائمة التصنيفات المقترحة؛ يمكنك تعديلها وتتغيّر القوائم تلقائيًا.</t>
  </si>
  <si>
    <t>4) ورقة Summary تحسب الإحصاءات بصيغ تتحدّث وحدها.</t>
  </si>
  <si>
    <t>مثال لسطر مكتمل: لأنني أحبك | (المؤلف) | تصنيف أصلي: فارغ | التصنيف الموحّد: نفسي وتطوير ذات | 220 صفحة | شهر الانتهاء: 5 | نوع النسخة: ورقي | التقييم: 4</t>
  </si>
  <si>
    <t>مصدر البيانات: قائمة كتبك لعام 2026 (ملف Book.xlsx). التصنيف الموحّد المعبّأ مسبقًا مجرد توحيد لتسمياتك الأصلية.</t>
  </si>
  <si>
    <t>العنوان</t>
  </si>
  <si>
    <t>المؤلف</t>
  </si>
  <si>
    <t>التصنيف الموحّد</t>
  </si>
  <si>
    <t>عدد الصفحات</t>
  </si>
  <si>
    <t>نوع النسخة</t>
  </si>
  <si>
    <t>التقييم (1-5)</t>
  </si>
  <si>
    <t>17 قصة رعب</t>
  </si>
  <si>
    <t>عبد الوهاب السيد الرفاعي</t>
  </si>
  <si>
    <t>غموض ورعب</t>
  </si>
  <si>
    <t>18 قصة غريبة تحبس الأنفاس</t>
  </si>
  <si>
    <t>أحببت وغداً</t>
  </si>
  <si>
    <t>عماد رشاد عثمان</t>
  </si>
  <si>
    <t>أربعون قصة تربوية من السيرة النبوية</t>
  </si>
  <si>
    <t>طالب بن عمر الكثيري</t>
  </si>
  <si>
    <t>ديني</t>
  </si>
  <si>
    <t>أربعون</t>
  </si>
  <si>
    <t>أحمد الشقيري</t>
  </si>
  <si>
    <t>أرض الله</t>
  </si>
  <si>
    <t>أيمن العتوم</t>
  </si>
  <si>
    <t>اسمه أحمد</t>
  </si>
  <si>
    <t>الأبعاد المجهولة_ الجزء الأول</t>
  </si>
  <si>
    <t>الأبعاد المجهولة_ الجزء الثاني</t>
  </si>
  <si>
    <t>الأبعاد المجهولة _ الجزء الثالث</t>
  </si>
  <si>
    <t>الأدلة المادية على وجود الله</t>
  </si>
  <si>
    <t>محمد متولي الشعراوي</t>
  </si>
  <si>
    <t>التربية بالحوار</t>
  </si>
  <si>
    <t>عبد الكريم بكار</t>
  </si>
  <si>
    <t>تربوي</t>
  </si>
  <si>
    <t>الدين هو الصلاة</t>
  </si>
  <si>
    <t>فريد الأنصاري</t>
  </si>
  <si>
    <t>المسلمة التقية</t>
  </si>
  <si>
    <t>عصام بن محمد الشريف</t>
  </si>
  <si>
    <t>المشوق إلى القرآن</t>
  </si>
  <si>
    <t>عمرو الشرقاوي</t>
  </si>
  <si>
    <t>المعقد</t>
  </si>
  <si>
    <t>الهشاشة النفسية</t>
  </si>
  <si>
    <t>إسماعيل عرفة</t>
  </si>
  <si>
    <t>نفسي وتطوير ذات</t>
  </si>
  <si>
    <t>الوحوش</t>
  </si>
  <si>
    <t>أنا بخير</t>
  </si>
  <si>
    <t>ريوهو أوكاوا</t>
  </si>
  <si>
    <t>أنوار الأنبياء</t>
  </si>
  <si>
    <t>أحمد بن يوسف السيد</t>
  </si>
  <si>
    <t>أول مرة أصلي وكان للصلاة طعم آخر</t>
  </si>
  <si>
    <t>خالد أبو شادي</t>
  </si>
  <si>
    <t>بداية جديدة</t>
  </si>
  <si>
    <t>جاسم محمد السلطان</t>
  </si>
  <si>
    <t>بعد منتصف الليل</t>
  </si>
  <si>
    <t>تسعة عشر</t>
  </si>
  <si>
    <t>ثاني اثنين</t>
  </si>
  <si>
    <t>أدهم شرقاوي</t>
  </si>
  <si>
    <t>جرعة زائدة</t>
  </si>
  <si>
    <t>جلسات نفسية</t>
  </si>
  <si>
    <t>محمد إبراهيم</t>
  </si>
  <si>
    <t>حالات نادرة _ 1</t>
  </si>
  <si>
    <t>حالات نادرة _ 2</t>
  </si>
  <si>
    <t>حالات نادرة _ 3</t>
  </si>
  <si>
    <t>حالات نادرة _ 4</t>
  </si>
  <si>
    <t>حالات نادرة _ 5</t>
  </si>
  <si>
    <t>حالات نادرة _ 6</t>
  </si>
  <si>
    <t>حالات نادرة _ 7</t>
  </si>
  <si>
    <t>حالات نادرة _ 8</t>
  </si>
  <si>
    <t>حتى لا نخسر رمضان</t>
  </si>
  <si>
    <t>مجدي الهلالي</t>
  </si>
  <si>
    <t>حقل التفاح</t>
  </si>
  <si>
    <t>منال معشي</t>
  </si>
  <si>
    <t>حكايات من العالم الآخر</t>
  </si>
  <si>
    <t>حي على القرآن وحقوقه</t>
  </si>
  <si>
    <t>محمد السيد ماضي</t>
  </si>
  <si>
    <t>خاوية</t>
  </si>
  <si>
    <t>خصائص الأنوثة</t>
  </si>
  <si>
    <t>محمد سلامة جبر</t>
  </si>
  <si>
    <t>خلوات</t>
  </si>
  <si>
    <t>محمد علي يوسف</t>
  </si>
  <si>
    <t>خواطر شاب</t>
  </si>
  <si>
    <t>ذائقة الموت</t>
  </si>
  <si>
    <t>ربي الله</t>
  </si>
  <si>
    <t>هيثم سرحان</t>
  </si>
  <si>
    <t>رسائل الخوف</t>
  </si>
  <si>
    <t>رمضان كما عاشه النبي ﷺ</t>
  </si>
  <si>
    <t>مؤيد عبد الفتاح حمدان</t>
  </si>
  <si>
    <t>رؤوس الشياطين</t>
  </si>
  <si>
    <t>زاد أغنياء الجنة</t>
  </si>
  <si>
    <t>إسلام جمال</t>
  </si>
  <si>
    <t>زيارات ليلية</t>
  </si>
  <si>
    <t>صرخات مضطرب</t>
  </si>
  <si>
    <t>إيناس فتحي بكه</t>
  </si>
  <si>
    <t>صفحات من دفتر الالتزام</t>
  </si>
  <si>
    <t>ليلى حمدان</t>
  </si>
  <si>
    <t>صوت الحمير</t>
  </si>
  <si>
    <t>طريق جهنم</t>
  </si>
  <si>
    <t>فاتتني صلاة</t>
  </si>
  <si>
    <t>فلسفة الطاقة</t>
  </si>
  <si>
    <t>صالح سندي</t>
  </si>
  <si>
    <t>في الجانب المظلم</t>
  </si>
  <si>
    <t>في فقه الأولويات</t>
  </si>
  <si>
    <t>يوسف القرضاوي</t>
  </si>
  <si>
    <t>في قصصهم عبرة</t>
  </si>
  <si>
    <t>علي حسن العبيدلي</t>
  </si>
  <si>
    <t>قصص لا يسمحون لي بنشرها</t>
  </si>
  <si>
    <t>كيف أصبحوا عظماء</t>
  </si>
  <si>
    <t>سعد سعود الكريباني</t>
  </si>
  <si>
    <t>كيف تقاوم القلق والاكتئاب</t>
  </si>
  <si>
    <t>كلير فهيم</t>
  </si>
  <si>
    <t>لأنك الله _ 1</t>
  </si>
  <si>
    <t>علي بن جابر الفيفي</t>
  </si>
  <si>
    <t>لأنك الله _ 2</t>
  </si>
  <si>
    <t>لأنني أحبك</t>
  </si>
  <si>
    <t>غيوم ميسو</t>
  </si>
  <si>
    <t>لغات الحب الخمس</t>
  </si>
  <si>
    <t>جاري تشابمان</t>
  </si>
  <si>
    <t>ماذا نريد من رمضان؟</t>
  </si>
  <si>
    <t>متحف الأرواح</t>
  </si>
  <si>
    <t>متلازمة فريجولي</t>
  </si>
  <si>
    <t>مدينة لا تنام</t>
  </si>
  <si>
    <t>فهد العودة</t>
  </si>
  <si>
    <t>مراحل الارتباط بالقرآن في رمضان</t>
  </si>
  <si>
    <t>أحمد عبد المنعم</t>
  </si>
  <si>
    <t>معاني الأذكار</t>
  </si>
  <si>
    <t>محمد صالح المنجد</t>
  </si>
  <si>
    <t>ملاذ_ 1</t>
  </si>
  <si>
    <t>ملاذ_ 2</t>
  </si>
  <si>
    <t>منارات الحب</t>
  </si>
  <si>
    <t>حنان لاشين</t>
  </si>
  <si>
    <t>منطقة الغموض</t>
  </si>
  <si>
    <t>موسوعة خلف أسوار العلم</t>
  </si>
  <si>
    <t>نهايات غير متوقعة</t>
  </si>
  <si>
    <t>نور وهداية</t>
  </si>
  <si>
    <t>علي الطنطاوي</t>
  </si>
  <si>
    <t>وراء الباب المغلق</t>
  </si>
  <si>
    <t>يسمعون حسيسها</t>
  </si>
  <si>
    <t>يوسفيات</t>
  </si>
  <si>
    <t>يوم مشهود</t>
  </si>
  <si>
    <t>التصنيفات (عدّليها كما تريدين)</t>
  </si>
  <si>
    <t>رواية</t>
  </si>
  <si>
    <t>تاريخ وسير</t>
  </si>
  <si>
    <t>علمي وثقافي</t>
  </si>
  <si>
    <t>أخرى</t>
  </si>
  <si>
    <t>المؤشر</t>
  </si>
  <si>
    <t>القيمة</t>
  </si>
  <si>
    <t>عدد الكتب</t>
  </si>
  <si>
    <t>مجموع الصفحات</t>
  </si>
  <si>
    <t>متوسط الصفحات</t>
  </si>
  <si>
    <t>وسيط الصفحات</t>
  </si>
  <si>
    <t>عدد المؤلفين</t>
  </si>
  <si>
    <t>أطول كتاب (صفحات)</t>
  </si>
  <si>
    <t>أقصر كتاب (صفحات)</t>
  </si>
  <si>
    <t>كتب لم تصنّف بعد</t>
  </si>
  <si>
    <t>نسبة غير المصنّف</t>
  </si>
  <si>
    <t>توزيع التصنيفات</t>
  </si>
  <si>
    <t>التصنيف</t>
  </si>
  <si>
    <t>الصفحات</t>
  </si>
  <si>
    <t>النسبة</t>
  </si>
  <si>
    <t>ملاحظة: الأرقام تتحدّث تلقائيًا بعد ملء عمود "التصنيف الموحّد" في ورقة Books.</t>
  </si>
  <si>
    <t>إلكتروني</t>
  </si>
  <si>
    <t>ورقي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</si>
</sst>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4A557"/>
        <bgColor rgb="FF008080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3" borderId="0" xfId="0" applyFont="1" applyFill="1"/>
    <xf numFmtId="0" fontId="4" fillId="0" borderId="0" xfId="0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4A55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rightToLeft="1" zoomScaleNormal="100" workbookViewId="0"/>
  </sheetViews>
  <sheetFormatPr defaultColWidth="8.7109375" defaultRowHeight="15" x14ac:dyDescent="0.25"/>
  <cols>
    <col min="1" max="1" width="130" customWidth="1"/>
  </cols>
  <sheetData>
    <row r="1" spans="1:1" ht="15.75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4"/>
  <sheetViews>
    <sheetView rightToLeft="1" tabSelected="1" zoomScaleNormal="100" workbookViewId="0">
      <pane ySplit="1" topLeftCell="A2" activePane="bottomLeft" state="frozen"/>
      <selection pane="bottomLeft" activeCell="C5" sqref="C5"/>
    </sheetView>
  </sheetViews>
  <sheetFormatPr defaultColWidth="8.7109375" defaultRowHeight="15" x14ac:dyDescent="0.25"/>
  <cols>
    <col min="1" max="1" width="42" customWidth="1"/>
    <col min="2" max="2" width="28" customWidth="1"/>
    <col min="3" max="3" width="18" customWidth="1"/>
    <col min="4" max="4" width="12" customWidth="1"/>
    <col min="5" max="5" width="14" customWidth="1"/>
    <col min="6" max="6" width="12" customWidth="1"/>
  </cols>
  <sheetData>
    <row r="1" spans="1:6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</row>
    <row r="2" spans="1:6" x14ac:dyDescent="0.25">
      <c r="A2" s="4" t="s">
        <v>13</v>
      </c>
      <c r="B2" s="4" t="s">
        <v>14</v>
      </c>
      <c r="C2" s="5" t="s">
        <v>15</v>
      </c>
      <c r="D2" s="4">
        <v>255</v>
      </c>
      <c r="E2" s="5" t="s">
        <v>161</v>
      </c>
      <c r="F2" s="5">
        <v>3</v>
      </c>
    </row>
    <row r="3" spans="1:6" x14ac:dyDescent="0.25">
      <c r="A3" s="4" t="s">
        <v>16</v>
      </c>
      <c r="B3" s="4" t="s">
        <v>14</v>
      </c>
      <c r="C3" s="5" t="s">
        <v>15</v>
      </c>
      <c r="D3" s="4">
        <v>141</v>
      </c>
      <c r="E3" s="5" t="s">
        <v>161</v>
      </c>
      <c r="F3" s="5">
        <v>3</v>
      </c>
    </row>
    <row r="4" spans="1:6" x14ac:dyDescent="0.25">
      <c r="A4" s="4" t="s">
        <v>17</v>
      </c>
      <c r="B4" s="4" t="s">
        <v>18</v>
      </c>
      <c r="C4" s="5" t="s">
        <v>21</v>
      </c>
      <c r="D4" s="4">
        <v>255</v>
      </c>
      <c r="E4" s="5" t="s">
        <v>161</v>
      </c>
      <c r="F4" s="5">
        <v>3.5</v>
      </c>
    </row>
    <row r="5" spans="1:6" x14ac:dyDescent="0.25">
      <c r="A5" s="4" t="s">
        <v>19</v>
      </c>
      <c r="B5" s="4" t="s">
        <v>20</v>
      </c>
      <c r="C5" s="5" t="s">
        <v>21</v>
      </c>
      <c r="D5" s="4">
        <v>215</v>
      </c>
      <c r="E5" s="5" t="s">
        <v>161</v>
      </c>
      <c r="F5" s="5">
        <v>2</v>
      </c>
    </row>
    <row r="6" spans="1:6" x14ac:dyDescent="0.25">
      <c r="A6" s="4" t="s">
        <v>22</v>
      </c>
      <c r="B6" s="4" t="s">
        <v>23</v>
      </c>
      <c r="C6" s="5" t="s">
        <v>44</v>
      </c>
      <c r="D6" s="4">
        <v>273</v>
      </c>
      <c r="E6" s="5" t="s">
        <v>162</v>
      </c>
      <c r="F6" s="5">
        <v>4</v>
      </c>
    </row>
    <row r="7" spans="1:6" x14ac:dyDescent="0.25">
      <c r="A7" s="4" t="s">
        <v>24</v>
      </c>
      <c r="B7" s="4" t="s">
        <v>25</v>
      </c>
      <c r="C7" s="5" t="s">
        <v>142</v>
      </c>
      <c r="D7" s="4">
        <v>530</v>
      </c>
      <c r="E7" s="5" t="s">
        <v>161</v>
      </c>
      <c r="F7" s="5">
        <v>5</v>
      </c>
    </row>
    <row r="8" spans="1:6" x14ac:dyDescent="0.25">
      <c r="A8" s="4" t="s">
        <v>26</v>
      </c>
      <c r="B8" s="4" t="s">
        <v>25</v>
      </c>
      <c r="C8" s="5" t="s">
        <v>142</v>
      </c>
      <c r="D8" s="4">
        <v>669</v>
      </c>
      <c r="E8" s="5" t="s">
        <v>161</v>
      </c>
      <c r="F8" s="5">
        <v>5</v>
      </c>
    </row>
    <row r="9" spans="1:6" x14ac:dyDescent="0.25">
      <c r="A9" s="4" t="s">
        <v>27</v>
      </c>
      <c r="B9" s="4" t="s">
        <v>14</v>
      </c>
      <c r="C9" s="5" t="s">
        <v>15</v>
      </c>
      <c r="D9" s="4">
        <v>153</v>
      </c>
      <c r="E9" s="5" t="s">
        <v>161</v>
      </c>
      <c r="F9" s="5">
        <v>3</v>
      </c>
    </row>
    <row r="10" spans="1:6" x14ac:dyDescent="0.25">
      <c r="A10" s="4" t="s">
        <v>28</v>
      </c>
      <c r="B10" s="4" t="s">
        <v>14</v>
      </c>
      <c r="C10" s="5" t="s">
        <v>15</v>
      </c>
      <c r="D10" s="4">
        <v>92</v>
      </c>
      <c r="E10" s="5" t="s">
        <v>161</v>
      </c>
      <c r="F10" s="5">
        <v>3</v>
      </c>
    </row>
    <row r="11" spans="1:6" x14ac:dyDescent="0.25">
      <c r="A11" s="4" t="s">
        <v>29</v>
      </c>
      <c r="B11" s="4" t="s">
        <v>14</v>
      </c>
      <c r="C11" s="5" t="s">
        <v>15</v>
      </c>
      <c r="D11" s="4">
        <v>112</v>
      </c>
      <c r="E11" s="5" t="s">
        <v>161</v>
      </c>
      <c r="F11" s="5">
        <v>3</v>
      </c>
    </row>
    <row r="12" spans="1:6" x14ac:dyDescent="0.25">
      <c r="A12" s="4" t="s">
        <v>30</v>
      </c>
      <c r="B12" s="4" t="s">
        <v>31</v>
      </c>
      <c r="C12" s="5" t="s">
        <v>21</v>
      </c>
      <c r="D12" s="4">
        <v>134</v>
      </c>
      <c r="E12" s="5" t="s">
        <v>161</v>
      </c>
      <c r="F12" s="5">
        <v>3</v>
      </c>
    </row>
    <row r="13" spans="1:6" x14ac:dyDescent="0.25">
      <c r="A13" s="4" t="s">
        <v>32</v>
      </c>
      <c r="B13" s="4" t="s">
        <v>33</v>
      </c>
      <c r="C13" s="5" t="s">
        <v>34</v>
      </c>
      <c r="D13" s="4">
        <v>51</v>
      </c>
      <c r="E13" s="5" t="s">
        <v>161</v>
      </c>
      <c r="F13" s="5">
        <v>2.5</v>
      </c>
    </row>
    <row r="14" spans="1:6" x14ac:dyDescent="0.25">
      <c r="A14" s="4" t="s">
        <v>35</v>
      </c>
      <c r="B14" s="4" t="s">
        <v>36</v>
      </c>
      <c r="C14" s="5" t="s">
        <v>21</v>
      </c>
      <c r="D14" s="4">
        <v>97</v>
      </c>
      <c r="E14" s="5" t="s">
        <v>161</v>
      </c>
      <c r="F14" s="5">
        <v>4</v>
      </c>
    </row>
    <row r="15" spans="1:6" x14ac:dyDescent="0.25">
      <c r="A15" s="4" t="s">
        <v>37</v>
      </c>
      <c r="B15" s="4" t="s">
        <v>38</v>
      </c>
      <c r="C15" s="5" t="s">
        <v>21</v>
      </c>
      <c r="D15" s="4">
        <v>145</v>
      </c>
      <c r="E15" s="5" t="s">
        <v>161</v>
      </c>
      <c r="F15" s="5">
        <v>2</v>
      </c>
    </row>
    <row r="16" spans="1:6" x14ac:dyDescent="0.25">
      <c r="A16" s="4" t="s">
        <v>39</v>
      </c>
      <c r="B16" s="4" t="s">
        <v>40</v>
      </c>
      <c r="C16" s="5" t="s">
        <v>21</v>
      </c>
      <c r="D16" s="4">
        <v>177</v>
      </c>
      <c r="E16" s="5" t="s">
        <v>161</v>
      </c>
      <c r="F16" s="5">
        <v>5</v>
      </c>
    </row>
    <row r="17" spans="1:6" x14ac:dyDescent="0.25">
      <c r="A17" s="4" t="s">
        <v>41</v>
      </c>
      <c r="B17" s="4" t="s">
        <v>14</v>
      </c>
      <c r="C17" s="5" t="s">
        <v>15</v>
      </c>
      <c r="D17" s="4">
        <v>195</v>
      </c>
      <c r="E17" s="5" t="s">
        <v>161</v>
      </c>
      <c r="F17" s="5">
        <v>2.5</v>
      </c>
    </row>
    <row r="18" spans="1:6" x14ac:dyDescent="0.25">
      <c r="A18" s="4" t="s">
        <v>42</v>
      </c>
      <c r="B18" s="4" t="s">
        <v>43</v>
      </c>
      <c r="C18" s="5" t="s">
        <v>44</v>
      </c>
      <c r="D18" s="4">
        <v>200</v>
      </c>
      <c r="E18" s="5" t="s">
        <v>161</v>
      </c>
      <c r="F18" s="5">
        <v>2</v>
      </c>
    </row>
    <row r="19" spans="1:6" x14ac:dyDescent="0.25">
      <c r="A19" s="4" t="s">
        <v>45</v>
      </c>
      <c r="B19" s="4" t="s">
        <v>25</v>
      </c>
      <c r="C19" s="5" t="s">
        <v>142</v>
      </c>
      <c r="D19" s="4">
        <v>501</v>
      </c>
      <c r="E19" s="5" t="s">
        <v>161</v>
      </c>
      <c r="F19" s="5">
        <v>5</v>
      </c>
    </row>
    <row r="20" spans="1:6" x14ac:dyDescent="0.25">
      <c r="A20" s="4" t="s">
        <v>46</v>
      </c>
      <c r="B20" s="4" t="s">
        <v>47</v>
      </c>
      <c r="C20" s="5" t="s">
        <v>44</v>
      </c>
      <c r="D20" s="4">
        <v>104</v>
      </c>
      <c r="E20" s="5" t="s">
        <v>161</v>
      </c>
      <c r="F20" s="5">
        <v>2</v>
      </c>
    </row>
    <row r="21" spans="1:6" x14ac:dyDescent="0.25">
      <c r="A21" s="4" t="s">
        <v>48</v>
      </c>
      <c r="B21" s="4" t="s">
        <v>49</v>
      </c>
      <c r="C21" s="5" t="s">
        <v>21</v>
      </c>
      <c r="D21" s="4">
        <v>123</v>
      </c>
      <c r="E21" s="5" t="s">
        <v>161</v>
      </c>
      <c r="F21" s="5">
        <v>3.5</v>
      </c>
    </row>
    <row r="22" spans="1:6" x14ac:dyDescent="0.25">
      <c r="A22" s="4" t="s">
        <v>50</v>
      </c>
      <c r="B22" s="4" t="s">
        <v>51</v>
      </c>
      <c r="C22" s="5" t="s">
        <v>21</v>
      </c>
      <c r="D22" s="4">
        <v>110</v>
      </c>
      <c r="E22" s="5" t="s">
        <v>161</v>
      </c>
      <c r="F22" s="5">
        <v>4</v>
      </c>
    </row>
    <row r="23" spans="1:6" x14ac:dyDescent="0.25">
      <c r="A23" s="4" t="s">
        <v>52</v>
      </c>
      <c r="B23" s="4" t="s">
        <v>53</v>
      </c>
      <c r="C23" s="5" t="s">
        <v>44</v>
      </c>
      <c r="D23" s="4">
        <v>40</v>
      </c>
      <c r="E23" s="5" t="s">
        <v>161</v>
      </c>
      <c r="F23" s="5">
        <v>5</v>
      </c>
    </row>
    <row r="24" spans="1:6" x14ac:dyDescent="0.25">
      <c r="A24" s="4" t="s">
        <v>54</v>
      </c>
      <c r="B24" s="4" t="s">
        <v>14</v>
      </c>
      <c r="C24" s="5" t="s">
        <v>15</v>
      </c>
      <c r="D24" s="4">
        <v>127</v>
      </c>
      <c r="E24" s="5" t="s">
        <v>161</v>
      </c>
      <c r="F24" s="5">
        <v>2</v>
      </c>
    </row>
    <row r="25" spans="1:6" x14ac:dyDescent="0.25">
      <c r="A25" s="4" t="s">
        <v>55</v>
      </c>
      <c r="B25" s="4" t="s">
        <v>25</v>
      </c>
      <c r="C25" s="5" t="s">
        <v>21</v>
      </c>
      <c r="D25" s="4">
        <v>302</v>
      </c>
      <c r="E25" s="5" t="s">
        <v>161</v>
      </c>
      <c r="F25" s="5">
        <v>5</v>
      </c>
    </row>
    <row r="26" spans="1:6" x14ac:dyDescent="0.25">
      <c r="A26" s="4" t="s">
        <v>56</v>
      </c>
      <c r="B26" s="4" t="s">
        <v>57</v>
      </c>
      <c r="C26" s="5" t="s">
        <v>21</v>
      </c>
      <c r="D26" s="4">
        <v>202</v>
      </c>
      <c r="E26" s="5" t="s">
        <v>161</v>
      </c>
      <c r="F26" s="5">
        <v>2</v>
      </c>
    </row>
    <row r="27" spans="1:6" x14ac:dyDescent="0.25">
      <c r="A27" s="4" t="s">
        <v>58</v>
      </c>
      <c r="B27" s="4" t="s">
        <v>14</v>
      </c>
      <c r="C27" s="5" t="s">
        <v>15</v>
      </c>
      <c r="D27" s="4">
        <v>63</v>
      </c>
      <c r="E27" s="5" t="s">
        <v>161</v>
      </c>
      <c r="F27" s="5">
        <v>2</v>
      </c>
    </row>
    <row r="28" spans="1:6" x14ac:dyDescent="0.25">
      <c r="A28" s="4" t="s">
        <v>59</v>
      </c>
      <c r="B28" s="4" t="s">
        <v>60</v>
      </c>
      <c r="C28" s="5" t="s">
        <v>44</v>
      </c>
      <c r="D28" s="4">
        <v>199</v>
      </c>
      <c r="E28" s="5" t="s">
        <v>161</v>
      </c>
      <c r="F28" s="5">
        <v>3</v>
      </c>
    </row>
    <row r="29" spans="1:6" x14ac:dyDescent="0.25">
      <c r="A29" s="4" t="s">
        <v>61</v>
      </c>
      <c r="B29" s="4" t="s">
        <v>14</v>
      </c>
      <c r="C29" s="5" t="s">
        <v>15</v>
      </c>
      <c r="D29" s="4">
        <v>233</v>
      </c>
      <c r="E29" s="5" t="s">
        <v>161</v>
      </c>
      <c r="F29" s="5">
        <v>3</v>
      </c>
    </row>
    <row r="30" spans="1:6" x14ac:dyDescent="0.25">
      <c r="A30" s="4" t="s">
        <v>62</v>
      </c>
      <c r="B30" s="4" t="s">
        <v>14</v>
      </c>
      <c r="C30" s="5" t="s">
        <v>15</v>
      </c>
      <c r="D30" s="4">
        <v>346</v>
      </c>
      <c r="E30" s="5" t="s">
        <v>161</v>
      </c>
      <c r="F30" s="5">
        <v>3</v>
      </c>
    </row>
    <row r="31" spans="1:6" x14ac:dyDescent="0.25">
      <c r="A31" s="4" t="s">
        <v>63</v>
      </c>
      <c r="B31" s="4" t="s">
        <v>14</v>
      </c>
      <c r="C31" s="5" t="s">
        <v>15</v>
      </c>
      <c r="D31" s="4">
        <v>326</v>
      </c>
      <c r="E31" s="5" t="s">
        <v>161</v>
      </c>
      <c r="F31" s="5">
        <v>3</v>
      </c>
    </row>
    <row r="32" spans="1:6" x14ac:dyDescent="0.25">
      <c r="A32" s="4" t="s">
        <v>64</v>
      </c>
      <c r="B32" s="4" t="s">
        <v>14</v>
      </c>
      <c r="C32" s="5" t="s">
        <v>15</v>
      </c>
      <c r="D32" s="4">
        <v>244</v>
      </c>
      <c r="E32" s="5" t="s">
        <v>161</v>
      </c>
      <c r="F32" s="5">
        <v>3</v>
      </c>
    </row>
    <row r="33" spans="1:6" x14ac:dyDescent="0.25">
      <c r="A33" s="4" t="s">
        <v>65</v>
      </c>
      <c r="B33" s="4" t="s">
        <v>14</v>
      </c>
      <c r="C33" s="5" t="s">
        <v>15</v>
      </c>
      <c r="D33" s="4">
        <v>221</v>
      </c>
      <c r="E33" s="5" t="s">
        <v>161</v>
      </c>
      <c r="F33" s="5">
        <v>3</v>
      </c>
    </row>
    <row r="34" spans="1:6" x14ac:dyDescent="0.25">
      <c r="A34" s="4" t="s">
        <v>66</v>
      </c>
      <c r="B34" s="4" t="s">
        <v>14</v>
      </c>
      <c r="C34" s="5" t="s">
        <v>15</v>
      </c>
      <c r="D34" s="4">
        <v>212</v>
      </c>
      <c r="E34" s="5" t="s">
        <v>161</v>
      </c>
      <c r="F34" s="5">
        <v>3</v>
      </c>
    </row>
    <row r="35" spans="1:6" x14ac:dyDescent="0.25">
      <c r="A35" s="4" t="s">
        <v>67</v>
      </c>
      <c r="B35" s="4" t="s">
        <v>14</v>
      </c>
      <c r="C35" s="5" t="s">
        <v>15</v>
      </c>
      <c r="D35" s="4">
        <v>190</v>
      </c>
      <c r="E35" s="5" t="s">
        <v>161</v>
      </c>
      <c r="F35" s="5">
        <v>4</v>
      </c>
    </row>
    <row r="36" spans="1:6" x14ac:dyDescent="0.25">
      <c r="A36" s="4" t="s">
        <v>68</v>
      </c>
      <c r="B36" s="4" t="s">
        <v>14</v>
      </c>
      <c r="C36" s="5" t="s">
        <v>15</v>
      </c>
      <c r="D36" s="4">
        <v>359</v>
      </c>
      <c r="E36" s="5" t="s">
        <v>161</v>
      </c>
      <c r="F36" s="5">
        <v>4</v>
      </c>
    </row>
    <row r="37" spans="1:6" x14ac:dyDescent="0.25">
      <c r="A37" s="4" t="s">
        <v>69</v>
      </c>
      <c r="B37" s="4" t="s">
        <v>70</v>
      </c>
      <c r="C37" s="5" t="s">
        <v>21</v>
      </c>
      <c r="D37" s="4">
        <v>36</v>
      </c>
      <c r="E37" s="5" t="s">
        <v>161</v>
      </c>
      <c r="F37" s="5">
        <v>2</v>
      </c>
    </row>
    <row r="38" spans="1:6" x14ac:dyDescent="0.25">
      <c r="A38" s="4" t="s">
        <v>71</v>
      </c>
      <c r="B38" s="4" t="s">
        <v>72</v>
      </c>
      <c r="C38" s="5" t="s">
        <v>141</v>
      </c>
      <c r="D38" s="4">
        <v>368</v>
      </c>
      <c r="E38" s="5" t="s">
        <v>162</v>
      </c>
      <c r="F38" s="5">
        <v>5</v>
      </c>
    </row>
    <row r="39" spans="1:6" x14ac:dyDescent="0.25">
      <c r="A39" s="4" t="s">
        <v>73</v>
      </c>
      <c r="B39" s="4" t="s">
        <v>14</v>
      </c>
      <c r="C39" s="5" t="s">
        <v>15</v>
      </c>
      <c r="D39" s="4">
        <v>351</v>
      </c>
      <c r="E39" s="5" t="s">
        <v>161</v>
      </c>
      <c r="F39" s="5">
        <v>2</v>
      </c>
    </row>
    <row r="40" spans="1:6" x14ac:dyDescent="0.25">
      <c r="A40" s="4" t="s">
        <v>74</v>
      </c>
      <c r="B40" s="4" t="s">
        <v>75</v>
      </c>
      <c r="C40" s="5" t="s">
        <v>21</v>
      </c>
      <c r="D40" s="4">
        <v>273</v>
      </c>
      <c r="E40" s="5" t="s">
        <v>161</v>
      </c>
      <c r="F40" s="5">
        <v>3</v>
      </c>
    </row>
    <row r="41" spans="1:6" x14ac:dyDescent="0.25">
      <c r="A41" s="4" t="s">
        <v>76</v>
      </c>
      <c r="B41" s="4" t="s">
        <v>25</v>
      </c>
      <c r="C41" s="5" t="s">
        <v>142</v>
      </c>
      <c r="D41" s="4">
        <v>379</v>
      </c>
      <c r="E41" s="5" t="s">
        <v>161</v>
      </c>
      <c r="F41" s="5">
        <v>5</v>
      </c>
    </row>
    <row r="42" spans="1:6" x14ac:dyDescent="0.25">
      <c r="A42" s="4" t="s">
        <v>77</v>
      </c>
      <c r="B42" s="4" t="s">
        <v>78</v>
      </c>
      <c r="C42" s="5" t="s">
        <v>143</v>
      </c>
      <c r="D42" s="4">
        <v>101</v>
      </c>
      <c r="E42" s="5" t="s">
        <v>161</v>
      </c>
      <c r="F42" s="5">
        <v>2</v>
      </c>
    </row>
    <row r="43" spans="1:6" x14ac:dyDescent="0.25">
      <c r="A43" s="4" t="s">
        <v>79</v>
      </c>
      <c r="B43" s="4" t="s">
        <v>80</v>
      </c>
      <c r="C43" s="5" t="s">
        <v>21</v>
      </c>
      <c r="D43" s="4">
        <v>139</v>
      </c>
      <c r="E43" s="5" t="s">
        <v>161</v>
      </c>
      <c r="F43" s="5">
        <v>2</v>
      </c>
    </row>
    <row r="44" spans="1:6" x14ac:dyDescent="0.25">
      <c r="A44" s="4" t="s">
        <v>81</v>
      </c>
      <c r="B44" s="4" t="s">
        <v>23</v>
      </c>
      <c r="C44" s="5" t="s">
        <v>44</v>
      </c>
      <c r="D44" s="4">
        <v>164</v>
      </c>
      <c r="E44" s="5" t="s">
        <v>161</v>
      </c>
      <c r="F44" s="5">
        <v>2</v>
      </c>
    </row>
    <row r="45" spans="1:6" x14ac:dyDescent="0.25">
      <c r="A45" s="4" t="s">
        <v>82</v>
      </c>
      <c r="B45" s="4" t="s">
        <v>25</v>
      </c>
      <c r="C45" s="5" t="s">
        <v>142</v>
      </c>
      <c r="D45" s="4">
        <v>410</v>
      </c>
      <c r="E45" s="5" t="s">
        <v>161</v>
      </c>
      <c r="F45" s="5">
        <v>5</v>
      </c>
    </row>
    <row r="46" spans="1:6" x14ac:dyDescent="0.25">
      <c r="A46" s="4" t="s">
        <v>83</v>
      </c>
      <c r="B46" s="4" t="s">
        <v>84</v>
      </c>
      <c r="C46" s="5" t="s">
        <v>21</v>
      </c>
      <c r="D46" s="4">
        <v>77</v>
      </c>
      <c r="E46" s="5" t="s">
        <v>161</v>
      </c>
      <c r="F46" s="5">
        <v>2</v>
      </c>
    </row>
    <row r="47" spans="1:6" x14ac:dyDescent="0.25">
      <c r="A47" s="4" t="s">
        <v>85</v>
      </c>
      <c r="B47" s="4" t="s">
        <v>14</v>
      </c>
      <c r="C47" s="5" t="s">
        <v>15</v>
      </c>
      <c r="D47" s="4">
        <v>195</v>
      </c>
      <c r="E47" s="5" t="s">
        <v>161</v>
      </c>
      <c r="F47" s="5">
        <v>2</v>
      </c>
    </row>
    <row r="48" spans="1:6" x14ac:dyDescent="0.25">
      <c r="A48" s="4" t="s">
        <v>86</v>
      </c>
      <c r="B48" s="4" t="s">
        <v>87</v>
      </c>
      <c r="C48" s="5" t="s">
        <v>21</v>
      </c>
      <c r="D48" s="4">
        <v>160</v>
      </c>
      <c r="E48" s="5" t="s">
        <v>161</v>
      </c>
      <c r="F48" s="5">
        <v>3</v>
      </c>
    </row>
    <row r="49" spans="1:6" x14ac:dyDescent="0.25">
      <c r="A49" s="4" t="s">
        <v>88</v>
      </c>
      <c r="B49" s="4" t="s">
        <v>25</v>
      </c>
      <c r="C49" s="5" t="s">
        <v>142</v>
      </c>
      <c r="D49" s="4">
        <v>195</v>
      </c>
      <c r="E49" s="5" t="s">
        <v>161</v>
      </c>
      <c r="F49" s="5">
        <v>5</v>
      </c>
    </row>
    <row r="50" spans="1:6" x14ac:dyDescent="0.25">
      <c r="A50" s="4" t="s">
        <v>89</v>
      </c>
      <c r="B50" s="4" t="s">
        <v>90</v>
      </c>
      <c r="C50" s="5" t="s">
        <v>21</v>
      </c>
      <c r="D50" s="4">
        <v>191</v>
      </c>
      <c r="E50" s="5" t="s">
        <v>161</v>
      </c>
      <c r="F50" s="5">
        <v>5</v>
      </c>
    </row>
    <row r="51" spans="1:6" x14ac:dyDescent="0.25">
      <c r="A51" s="4" t="s">
        <v>91</v>
      </c>
      <c r="B51" s="4" t="s">
        <v>14</v>
      </c>
      <c r="C51" s="5" t="s">
        <v>15</v>
      </c>
      <c r="D51" s="4">
        <v>84</v>
      </c>
      <c r="E51" s="5" t="s">
        <v>161</v>
      </c>
      <c r="F51" s="5">
        <v>2</v>
      </c>
    </row>
    <row r="52" spans="1:6" x14ac:dyDescent="0.25">
      <c r="A52" s="4" t="s">
        <v>92</v>
      </c>
      <c r="B52" s="4" t="s">
        <v>93</v>
      </c>
      <c r="C52" s="5" t="s">
        <v>141</v>
      </c>
      <c r="D52" s="4">
        <v>123</v>
      </c>
      <c r="E52" s="5" t="s">
        <v>161</v>
      </c>
      <c r="F52" s="5">
        <v>2</v>
      </c>
    </row>
    <row r="53" spans="1:6" x14ac:dyDescent="0.25">
      <c r="A53" s="4" t="s">
        <v>94</v>
      </c>
      <c r="B53" s="4" t="s">
        <v>95</v>
      </c>
      <c r="C53" s="5" t="s">
        <v>21</v>
      </c>
      <c r="D53" s="4">
        <v>122</v>
      </c>
      <c r="E53" s="5" t="s">
        <v>161</v>
      </c>
      <c r="F53" s="5">
        <v>3</v>
      </c>
    </row>
    <row r="54" spans="1:6" x14ac:dyDescent="0.25">
      <c r="A54" s="4" t="s">
        <v>96</v>
      </c>
      <c r="B54" s="4" t="s">
        <v>25</v>
      </c>
      <c r="C54" s="5" t="s">
        <v>141</v>
      </c>
      <c r="D54" s="4">
        <v>269</v>
      </c>
      <c r="E54" s="5" t="s">
        <v>161</v>
      </c>
      <c r="F54" s="5">
        <v>3</v>
      </c>
    </row>
    <row r="55" spans="1:6" x14ac:dyDescent="0.25">
      <c r="A55" s="4" t="s">
        <v>97</v>
      </c>
      <c r="B55" s="4" t="s">
        <v>25</v>
      </c>
      <c r="C55" s="5" t="s">
        <v>141</v>
      </c>
      <c r="D55" s="4">
        <v>497</v>
      </c>
      <c r="E55" s="5" t="s">
        <v>161</v>
      </c>
      <c r="F55" s="5">
        <v>5</v>
      </c>
    </row>
    <row r="56" spans="1:6" x14ac:dyDescent="0.25">
      <c r="A56" s="4" t="s">
        <v>98</v>
      </c>
      <c r="B56" s="4" t="s">
        <v>90</v>
      </c>
      <c r="C56" s="5" t="s">
        <v>21</v>
      </c>
      <c r="D56" s="4">
        <v>231</v>
      </c>
      <c r="E56" s="5" t="s">
        <v>162</v>
      </c>
      <c r="F56" s="5">
        <v>5</v>
      </c>
    </row>
    <row r="57" spans="1:6" x14ac:dyDescent="0.25">
      <c r="A57" s="4" t="s">
        <v>99</v>
      </c>
      <c r="B57" s="4" t="s">
        <v>100</v>
      </c>
      <c r="C57" s="5" t="s">
        <v>21</v>
      </c>
      <c r="D57" s="4">
        <v>58</v>
      </c>
      <c r="E57" s="5" t="s">
        <v>161</v>
      </c>
      <c r="F57" s="5">
        <v>2</v>
      </c>
    </row>
    <row r="58" spans="1:6" x14ac:dyDescent="0.25">
      <c r="A58" s="4" t="s">
        <v>101</v>
      </c>
      <c r="B58" s="4" t="s">
        <v>14</v>
      </c>
      <c r="C58" s="5" t="s">
        <v>15</v>
      </c>
      <c r="D58" s="4">
        <v>156</v>
      </c>
      <c r="E58" s="5" t="s">
        <v>161</v>
      </c>
      <c r="F58" s="5">
        <v>2</v>
      </c>
    </row>
    <row r="59" spans="1:6" x14ac:dyDescent="0.25">
      <c r="A59" s="4" t="s">
        <v>102</v>
      </c>
      <c r="B59" s="4" t="s">
        <v>103</v>
      </c>
      <c r="C59" s="5" t="s">
        <v>44</v>
      </c>
      <c r="D59" s="4">
        <v>292</v>
      </c>
      <c r="E59" s="5" t="s">
        <v>161</v>
      </c>
      <c r="F59" s="5">
        <v>4</v>
      </c>
    </row>
    <row r="60" spans="1:6" x14ac:dyDescent="0.25">
      <c r="A60" s="4" t="s">
        <v>104</v>
      </c>
      <c r="B60" s="4" t="s">
        <v>105</v>
      </c>
      <c r="C60" s="5" t="s">
        <v>21</v>
      </c>
      <c r="D60" s="4">
        <v>237</v>
      </c>
      <c r="E60" s="5" t="s">
        <v>161</v>
      </c>
      <c r="F60" s="5">
        <v>4</v>
      </c>
    </row>
    <row r="61" spans="1:6" x14ac:dyDescent="0.25">
      <c r="A61" s="4" t="s">
        <v>106</v>
      </c>
      <c r="B61" s="4" t="s">
        <v>14</v>
      </c>
      <c r="C61" s="5" t="s">
        <v>141</v>
      </c>
      <c r="D61" s="4">
        <v>105</v>
      </c>
      <c r="E61" s="5" t="s">
        <v>161</v>
      </c>
      <c r="F61" s="5">
        <v>2</v>
      </c>
    </row>
    <row r="62" spans="1:6" x14ac:dyDescent="0.25">
      <c r="A62" s="4" t="s">
        <v>107</v>
      </c>
      <c r="B62" s="4" t="s">
        <v>108</v>
      </c>
      <c r="C62" s="5" t="s">
        <v>143</v>
      </c>
      <c r="D62" s="4">
        <v>104</v>
      </c>
      <c r="E62" s="5" t="s">
        <v>162</v>
      </c>
      <c r="F62" s="5">
        <v>4</v>
      </c>
    </row>
    <row r="63" spans="1:6" x14ac:dyDescent="0.25">
      <c r="A63" s="4" t="s">
        <v>109</v>
      </c>
      <c r="B63" s="4" t="s">
        <v>110</v>
      </c>
      <c r="C63" s="5" t="s">
        <v>44</v>
      </c>
      <c r="D63" s="4">
        <v>171</v>
      </c>
      <c r="E63" s="5" t="s">
        <v>161</v>
      </c>
      <c r="F63" s="5">
        <v>2</v>
      </c>
    </row>
    <row r="64" spans="1:6" x14ac:dyDescent="0.25">
      <c r="A64" s="4" t="s">
        <v>111</v>
      </c>
      <c r="B64" s="4" t="s">
        <v>112</v>
      </c>
      <c r="C64" s="5" t="s">
        <v>21</v>
      </c>
      <c r="D64" s="4">
        <v>192</v>
      </c>
      <c r="E64" s="5" t="s">
        <v>162</v>
      </c>
      <c r="F64" s="5">
        <v>5</v>
      </c>
    </row>
    <row r="65" spans="1:6" x14ac:dyDescent="0.25">
      <c r="A65" s="4" t="s">
        <v>113</v>
      </c>
      <c r="B65" s="4" t="s">
        <v>112</v>
      </c>
      <c r="C65" s="5" t="s">
        <v>21</v>
      </c>
      <c r="D65" s="4">
        <v>192</v>
      </c>
      <c r="E65" s="5" t="s">
        <v>162</v>
      </c>
      <c r="F65" s="5">
        <v>5</v>
      </c>
    </row>
    <row r="66" spans="1:6" x14ac:dyDescent="0.25">
      <c r="A66" s="4" t="s">
        <v>114</v>
      </c>
      <c r="B66" s="4" t="s">
        <v>115</v>
      </c>
      <c r="C66" s="5" t="s">
        <v>141</v>
      </c>
      <c r="D66" s="4">
        <v>320</v>
      </c>
      <c r="E66" s="5" t="s">
        <v>161</v>
      </c>
      <c r="F66" s="5">
        <v>2</v>
      </c>
    </row>
    <row r="67" spans="1:6" x14ac:dyDescent="0.25">
      <c r="A67" s="4" t="s">
        <v>116</v>
      </c>
      <c r="B67" s="4" t="s">
        <v>117</v>
      </c>
      <c r="C67" s="5" t="s">
        <v>44</v>
      </c>
      <c r="D67" s="4">
        <v>192</v>
      </c>
      <c r="E67" s="5" t="s">
        <v>161</v>
      </c>
      <c r="F67" s="5">
        <v>3</v>
      </c>
    </row>
    <row r="68" spans="1:6" x14ac:dyDescent="0.25">
      <c r="A68" s="4" t="s">
        <v>118</v>
      </c>
      <c r="B68" s="4" t="s">
        <v>70</v>
      </c>
      <c r="C68" s="5" t="s">
        <v>21</v>
      </c>
      <c r="D68" s="4">
        <v>74</v>
      </c>
      <c r="E68" s="5" t="s">
        <v>161</v>
      </c>
      <c r="F68" s="5">
        <v>2</v>
      </c>
    </row>
    <row r="69" spans="1:6" x14ac:dyDescent="0.25">
      <c r="A69" s="4" t="s">
        <v>119</v>
      </c>
      <c r="B69" s="4" t="s">
        <v>14</v>
      </c>
      <c r="C69" s="5" t="s">
        <v>15</v>
      </c>
      <c r="D69" s="4">
        <v>95</v>
      </c>
      <c r="E69" s="5" t="s">
        <v>161</v>
      </c>
      <c r="F69" s="5">
        <v>2</v>
      </c>
    </row>
    <row r="70" spans="1:6" x14ac:dyDescent="0.25">
      <c r="A70" s="4" t="s">
        <v>120</v>
      </c>
      <c r="B70" s="4" t="s">
        <v>72</v>
      </c>
      <c r="C70" s="5" t="s">
        <v>15</v>
      </c>
      <c r="D70" s="4">
        <v>523</v>
      </c>
      <c r="E70" s="5" t="s">
        <v>161</v>
      </c>
      <c r="F70" s="5">
        <v>5</v>
      </c>
    </row>
    <row r="71" spans="1:6" x14ac:dyDescent="0.25">
      <c r="A71" s="4" t="s">
        <v>121</v>
      </c>
      <c r="B71" s="4" t="s">
        <v>122</v>
      </c>
      <c r="C71" s="5" t="s">
        <v>141</v>
      </c>
      <c r="D71" s="4">
        <v>118</v>
      </c>
      <c r="E71" s="5" t="s">
        <v>161</v>
      </c>
      <c r="F71" s="5">
        <v>1</v>
      </c>
    </row>
    <row r="72" spans="1:6" x14ac:dyDescent="0.25">
      <c r="A72" s="4" t="s">
        <v>123</v>
      </c>
      <c r="B72" s="4" t="s">
        <v>124</v>
      </c>
      <c r="C72" s="5" t="s">
        <v>21</v>
      </c>
      <c r="D72" s="4">
        <v>17</v>
      </c>
      <c r="E72" s="5" t="s">
        <v>161</v>
      </c>
      <c r="F72" s="5">
        <v>2</v>
      </c>
    </row>
    <row r="73" spans="1:6" x14ac:dyDescent="0.25">
      <c r="A73" s="4" t="s">
        <v>125</v>
      </c>
      <c r="B73" s="4" t="s">
        <v>126</v>
      </c>
      <c r="C73" s="5" t="s">
        <v>21</v>
      </c>
      <c r="D73" s="4">
        <v>182</v>
      </c>
      <c r="E73" s="5" t="s">
        <v>161</v>
      </c>
      <c r="F73" s="5">
        <v>3</v>
      </c>
    </row>
    <row r="74" spans="1:6" x14ac:dyDescent="0.25">
      <c r="A74" s="4" t="s">
        <v>127</v>
      </c>
      <c r="B74" s="4" t="s">
        <v>14</v>
      </c>
      <c r="C74" s="5" t="s">
        <v>141</v>
      </c>
      <c r="D74" s="4">
        <v>243</v>
      </c>
      <c r="E74" s="5" t="s">
        <v>161</v>
      </c>
      <c r="F74" s="5">
        <v>2</v>
      </c>
    </row>
    <row r="75" spans="1:6" x14ac:dyDescent="0.25">
      <c r="A75" s="4" t="s">
        <v>128</v>
      </c>
      <c r="B75" s="4" t="s">
        <v>14</v>
      </c>
      <c r="C75" s="5" t="s">
        <v>141</v>
      </c>
      <c r="D75" s="4">
        <v>119</v>
      </c>
      <c r="E75" s="5" t="s">
        <v>161</v>
      </c>
      <c r="F75" s="5">
        <v>2</v>
      </c>
    </row>
    <row r="76" spans="1:6" x14ac:dyDescent="0.25">
      <c r="A76" s="4" t="s">
        <v>129</v>
      </c>
      <c r="B76" s="4" t="s">
        <v>130</v>
      </c>
      <c r="C76" s="5" t="s">
        <v>44</v>
      </c>
      <c r="D76" s="4">
        <v>178</v>
      </c>
      <c r="E76" s="5" t="s">
        <v>161</v>
      </c>
      <c r="F76" s="5">
        <v>2</v>
      </c>
    </row>
    <row r="77" spans="1:6" x14ac:dyDescent="0.25">
      <c r="A77" s="4" t="s">
        <v>131</v>
      </c>
      <c r="B77" s="4" t="s">
        <v>14</v>
      </c>
      <c r="C77" s="5" t="s">
        <v>15</v>
      </c>
      <c r="D77" s="4">
        <v>113</v>
      </c>
      <c r="E77" s="5" t="s">
        <v>161</v>
      </c>
      <c r="F77" s="5">
        <v>2</v>
      </c>
    </row>
    <row r="78" spans="1:6" x14ac:dyDescent="0.25">
      <c r="A78" s="4" t="s">
        <v>132</v>
      </c>
      <c r="B78" s="4" t="s">
        <v>14</v>
      </c>
      <c r="C78" s="5" t="s">
        <v>143</v>
      </c>
      <c r="D78" s="4">
        <v>182</v>
      </c>
      <c r="E78" s="5" t="s">
        <v>161</v>
      </c>
      <c r="F78" s="5">
        <v>2</v>
      </c>
    </row>
    <row r="79" spans="1:6" x14ac:dyDescent="0.25">
      <c r="A79" s="4" t="s">
        <v>133</v>
      </c>
      <c r="B79" s="4" t="s">
        <v>14</v>
      </c>
      <c r="C79" s="5" t="s">
        <v>15</v>
      </c>
      <c r="D79" s="4">
        <v>80</v>
      </c>
      <c r="E79" s="5" t="s">
        <v>161</v>
      </c>
      <c r="F79" s="5">
        <v>2</v>
      </c>
    </row>
    <row r="80" spans="1:6" x14ac:dyDescent="0.25">
      <c r="A80" s="4" t="s">
        <v>134</v>
      </c>
      <c r="B80" s="4" t="s">
        <v>135</v>
      </c>
      <c r="C80" s="5" t="s">
        <v>21</v>
      </c>
      <c r="D80" s="4">
        <v>288</v>
      </c>
      <c r="E80" s="5" t="s">
        <v>161</v>
      </c>
      <c r="F80" s="5">
        <v>5</v>
      </c>
    </row>
    <row r="81" spans="1:6" x14ac:dyDescent="0.25">
      <c r="A81" s="4" t="s">
        <v>136</v>
      </c>
      <c r="B81" s="4" t="s">
        <v>14</v>
      </c>
      <c r="C81" s="5" t="s">
        <v>143</v>
      </c>
      <c r="D81" s="4">
        <v>45</v>
      </c>
      <c r="E81" s="5" t="s">
        <v>161</v>
      </c>
      <c r="F81" s="5">
        <v>2</v>
      </c>
    </row>
    <row r="82" spans="1:6" x14ac:dyDescent="0.25">
      <c r="A82" s="4" t="s">
        <v>137</v>
      </c>
      <c r="B82" s="4" t="s">
        <v>25</v>
      </c>
      <c r="C82" s="5" t="s">
        <v>141</v>
      </c>
      <c r="D82" s="4">
        <v>185</v>
      </c>
      <c r="E82" s="5" t="s">
        <v>161</v>
      </c>
      <c r="F82" s="5">
        <v>5</v>
      </c>
    </row>
    <row r="83" spans="1:6" x14ac:dyDescent="0.25">
      <c r="A83" s="4" t="s">
        <v>138</v>
      </c>
      <c r="B83" s="4" t="s">
        <v>112</v>
      </c>
      <c r="C83" s="5" t="s">
        <v>21</v>
      </c>
      <c r="D83" s="4">
        <v>148</v>
      </c>
      <c r="E83" s="5" t="s">
        <v>161</v>
      </c>
      <c r="F83" s="5">
        <v>2</v>
      </c>
    </row>
    <row r="84" spans="1:6" x14ac:dyDescent="0.25">
      <c r="A84" s="4" t="s">
        <v>139</v>
      </c>
      <c r="B84" s="4" t="s">
        <v>25</v>
      </c>
      <c r="C84" s="5" t="s">
        <v>141</v>
      </c>
      <c r="D84" s="4">
        <v>368</v>
      </c>
      <c r="E84" s="5" t="s">
        <v>161</v>
      </c>
      <c r="F84" s="5">
        <v>5</v>
      </c>
    </row>
  </sheetData>
  <dataValidations count="2">
    <dataValidation type="list" allowBlank="1" sqref="E2:E84" xr:uid="{00000000-0002-0000-0100-000001000000}">
      <formula1>"ورقي,إلكتروني,صوتي"</formula1>
      <formula2>0</formula2>
    </dataValidation>
    <dataValidation type="whole" allowBlank="1" sqref="F2:F84" xr:uid="{00000000-0002-0000-0100-000003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Lists!$A$2:$A$9</xm:f>
          </x14:formula1>
          <x14:formula2>
            <xm:f>0</xm:f>
          </x14:formula2>
          <xm:sqref>C2:C84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rightToLeft="1" zoomScaleNormal="100" workbookViewId="0"/>
  </sheetViews>
  <sheetFormatPr defaultColWidth="8.7109375" defaultRowHeight="15" x14ac:dyDescent="0.25"/>
  <cols>
    <col min="1" max="1" width="34" customWidth="1"/>
  </cols>
  <sheetData>
    <row r="1" spans="1:1" x14ac:dyDescent="0.25">
      <c r="A1" s="6" t="s">
        <v>140</v>
      </c>
    </row>
    <row r="2" spans="1:1" x14ac:dyDescent="0.25">
      <c r="A2" s="4" t="s">
        <v>141</v>
      </c>
    </row>
    <row r="3" spans="1:1" x14ac:dyDescent="0.25">
      <c r="A3" s="4" t="s">
        <v>21</v>
      </c>
    </row>
    <row r="4" spans="1:1" x14ac:dyDescent="0.25">
      <c r="A4" s="4" t="s">
        <v>34</v>
      </c>
    </row>
    <row r="5" spans="1:1" x14ac:dyDescent="0.25">
      <c r="A5" s="4" t="s">
        <v>44</v>
      </c>
    </row>
    <row r="6" spans="1:1" x14ac:dyDescent="0.25">
      <c r="A6" s="4" t="s">
        <v>15</v>
      </c>
    </row>
    <row r="7" spans="1:1" x14ac:dyDescent="0.25">
      <c r="A7" s="4" t="s">
        <v>142</v>
      </c>
    </row>
    <row r="8" spans="1:1" x14ac:dyDescent="0.25">
      <c r="A8" s="4" t="s">
        <v>143</v>
      </c>
    </row>
    <row r="9" spans="1:1" x14ac:dyDescent="0.25">
      <c r="A9" s="4" t="s">
        <v>144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rightToLeft="1" zoomScaleNormal="100" workbookViewId="0"/>
  </sheetViews>
  <sheetFormatPr defaultColWidth="8.7109375" defaultRowHeight="15" x14ac:dyDescent="0.25"/>
  <cols>
    <col min="1" max="1" width="30" customWidth="1"/>
    <col min="2" max="4" width="14" customWidth="1"/>
  </cols>
  <sheetData>
    <row r="1" spans="1:4" x14ac:dyDescent="0.25">
      <c r="A1" s="6" t="s">
        <v>145</v>
      </c>
      <c r="B1" s="6" t="s">
        <v>146</v>
      </c>
      <c r="C1" s="6"/>
      <c r="D1" s="6"/>
    </row>
    <row r="2" spans="1:4" x14ac:dyDescent="0.25">
      <c r="A2" s="4" t="s">
        <v>147</v>
      </c>
      <c r="B2" s="4">
        <f>COUNTA(Books!$A$2:$A$84)</f>
        <v>83</v>
      </c>
      <c r="C2" s="4"/>
      <c r="D2" s="4"/>
    </row>
    <row r="3" spans="1:4" x14ac:dyDescent="0.25">
      <c r="A3" s="4" t="s">
        <v>148</v>
      </c>
      <c r="B3" s="4">
        <f>SUM(Books!$D$2:$D$84)</f>
        <v>16938</v>
      </c>
      <c r="C3" s="4"/>
      <c r="D3" s="4"/>
    </row>
    <row r="4" spans="1:4" x14ac:dyDescent="0.25">
      <c r="A4" s="4" t="s">
        <v>149</v>
      </c>
      <c r="B4" s="4">
        <f>ROUND(AVERAGE(Books!$D$2:$D$84),0)</f>
        <v>204</v>
      </c>
      <c r="C4" s="4"/>
      <c r="D4" s="4"/>
    </row>
    <row r="5" spans="1:4" x14ac:dyDescent="0.25">
      <c r="A5" s="4" t="s">
        <v>150</v>
      </c>
      <c r="B5" s="4">
        <f>MEDIAN(Books!$D$2:$D$84)</f>
        <v>185</v>
      </c>
      <c r="C5" s="4"/>
      <c r="D5" s="4"/>
    </row>
    <row r="6" spans="1:4" x14ac:dyDescent="0.25">
      <c r="A6" s="4" t="s">
        <v>151</v>
      </c>
      <c r="B6" s="4">
        <f>SUMPRODUCT(1/COUNTIF(Books!$B$2:$B$84,Books!$B$2:$B$84))</f>
        <v>40</v>
      </c>
      <c r="C6" s="4"/>
      <c r="D6" s="4"/>
    </row>
    <row r="7" spans="1:4" x14ac:dyDescent="0.25">
      <c r="A7" s="4" t="s">
        <v>152</v>
      </c>
      <c r="B7" s="4">
        <f>MAX(Books!$D$2:$D$84)</f>
        <v>669</v>
      </c>
      <c r="C7" s="4"/>
      <c r="D7" s="4"/>
    </row>
    <row r="8" spans="1:4" x14ac:dyDescent="0.25">
      <c r="A8" s="4" t="s">
        <v>153</v>
      </c>
      <c r="B8" s="4">
        <f>MIN(Books!$D$2:$D$84)</f>
        <v>17</v>
      </c>
      <c r="C8" s="4"/>
      <c r="D8" s="4"/>
    </row>
    <row r="9" spans="1:4" x14ac:dyDescent="0.25">
      <c r="A9" s="4" t="s">
        <v>154</v>
      </c>
      <c r="B9" s="4">
        <f>COUNTA(Books!$A$2:$A$84)-COUNTA(Books!$C$2:$C$84)</f>
        <v>0</v>
      </c>
      <c r="C9" s="4"/>
      <c r="D9" s="4"/>
    </row>
    <row r="10" spans="1:4" x14ac:dyDescent="0.25">
      <c r="A10" s="4" t="s">
        <v>155</v>
      </c>
      <c r="B10" s="7">
        <f>B9/B2</f>
        <v>0</v>
      </c>
      <c r="C10" s="4"/>
      <c r="D10" s="4"/>
    </row>
    <row r="11" spans="1:4" x14ac:dyDescent="0.25">
      <c r="A11" s="4"/>
      <c r="B11" s="4"/>
      <c r="C11" s="4"/>
      <c r="D11" s="4"/>
    </row>
    <row r="12" spans="1:4" x14ac:dyDescent="0.25">
      <c r="A12" s="6" t="s">
        <v>156</v>
      </c>
      <c r="B12" s="6"/>
      <c r="C12" s="6"/>
      <c r="D12" s="6"/>
    </row>
    <row r="13" spans="1:4" x14ac:dyDescent="0.25">
      <c r="A13" s="6" t="s">
        <v>157</v>
      </c>
      <c r="B13" s="6" t="s">
        <v>147</v>
      </c>
      <c r="C13" s="6" t="s">
        <v>158</v>
      </c>
      <c r="D13" s="6" t="s">
        <v>159</v>
      </c>
    </row>
    <row r="14" spans="1:4" x14ac:dyDescent="0.25">
      <c r="A14" s="4" t="str">
        <f>Lists!A2</f>
        <v>رواية</v>
      </c>
      <c r="B14" s="4">
        <f>COUNTIF(Books!$C$2:$C$84,A14)</f>
        <v>11</v>
      </c>
      <c r="C14" s="4">
        <f>SUMIF(Books!$C$2:$C$84,A14,Books!$D$2:$D$84)</f>
        <v>2715</v>
      </c>
      <c r="D14" s="7">
        <f t="shared" ref="D14:D21" si="0">IF($B$2=0,0,B14/$B$2)</f>
        <v>0.13253012048192772</v>
      </c>
    </row>
    <row r="15" spans="1:4" x14ac:dyDescent="0.25">
      <c r="A15" s="4" t="str">
        <f>Lists!A3</f>
        <v>ديني</v>
      </c>
      <c r="B15" s="4">
        <f>COUNTIF(Books!$C$2:$C$84,A15)</f>
        <v>27</v>
      </c>
      <c r="C15" s="4">
        <f>SUMIF(Books!$C$2:$C$84,A15,Books!$D$2:$D$84)</f>
        <v>4377</v>
      </c>
      <c r="D15" s="7">
        <f t="shared" si="0"/>
        <v>0.3253012048192771</v>
      </c>
    </row>
    <row r="16" spans="1:4" x14ac:dyDescent="0.25">
      <c r="A16" s="4" t="str">
        <f>Lists!A4</f>
        <v>تربوي</v>
      </c>
      <c r="B16" s="4">
        <f>COUNTIF(Books!$C$2:$C$84,A16)</f>
        <v>1</v>
      </c>
      <c r="C16" s="4">
        <f>SUMIF(Books!$C$2:$C$84,A16,Books!$D$2:$D$84)</f>
        <v>51</v>
      </c>
      <c r="D16" s="7">
        <f t="shared" si="0"/>
        <v>1.2048192771084338E-2</v>
      </c>
    </row>
    <row r="17" spans="1:4" x14ac:dyDescent="0.25">
      <c r="A17" s="4" t="str">
        <f>Lists!A5</f>
        <v>نفسي وتطوير ذات</v>
      </c>
      <c r="B17" s="4">
        <f>COUNTIF(Books!$C$2:$C$84,A17)</f>
        <v>10</v>
      </c>
      <c r="C17" s="4">
        <f>SUMIF(Books!$C$2:$C$84,A17,Books!$D$2:$D$84)</f>
        <v>1813</v>
      </c>
      <c r="D17" s="7">
        <f t="shared" si="0"/>
        <v>0.12048192771084337</v>
      </c>
    </row>
    <row r="18" spans="1:4" x14ac:dyDescent="0.25">
      <c r="A18" s="4" t="str">
        <f>Lists!A6</f>
        <v>غموض ورعب</v>
      </c>
      <c r="B18" s="4">
        <f>COUNTIF(Books!$C$2:$C$84,A18)</f>
        <v>24</v>
      </c>
      <c r="C18" s="4">
        <f>SUMIF(Books!$C$2:$C$84,A18,Books!$D$2:$D$84)</f>
        <v>4866</v>
      </c>
      <c r="D18" s="7">
        <f t="shared" si="0"/>
        <v>0.28915662650602408</v>
      </c>
    </row>
    <row r="19" spans="1:4" x14ac:dyDescent="0.25">
      <c r="A19" s="4" t="str">
        <f>Lists!A7</f>
        <v>تاريخ وسير</v>
      </c>
      <c r="B19" s="4">
        <f>COUNTIF(Books!$C$2:$C$84,A19)</f>
        <v>6</v>
      </c>
      <c r="C19" s="4">
        <f>SUMIF(Books!$C$2:$C$84,A19,Books!$D$2:$D$84)</f>
        <v>2684</v>
      </c>
      <c r="D19" s="7">
        <f t="shared" si="0"/>
        <v>7.2289156626506021E-2</v>
      </c>
    </row>
    <row r="20" spans="1:4" x14ac:dyDescent="0.25">
      <c r="A20" s="4" t="str">
        <f>Lists!A8</f>
        <v>علمي وثقافي</v>
      </c>
      <c r="B20" s="4">
        <f>COUNTIF(Books!$C$2:$C$84,A20)</f>
        <v>4</v>
      </c>
      <c r="C20" s="4">
        <f>SUMIF(Books!$C$2:$C$84,A20,Books!$D$2:$D$84)</f>
        <v>432</v>
      </c>
      <c r="D20" s="7">
        <f t="shared" si="0"/>
        <v>4.8192771084337352E-2</v>
      </c>
    </row>
    <row r="21" spans="1:4" x14ac:dyDescent="0.25">
      <c r="A21" s="4" t="str">
        <f>Lists!A9</f>
        <v>أخرى</v>
      </c>
      <c r="B21" s="4">
        <f>COUNTIF(Books!$C$2:$C$84,A21)</f>
        <v>0</v>
      </c>
      <c r="C21" s="4">
        <f>SUMIF(Books!$C$2:$C$84,A21,Books!$D$2:$D$84)</f>
        <v>0</v>
      </c>
      <c r="D21" s="7">
        <f t="shared" si="0"/>
        <v>0</v>
      </c>
    </row>
    <row r="22" spans="1:4" x14ac:dyDescent="0.25">
      <c r="A22" s="4"/>
      <c r="B22" s="4"/>
      <c r="C22" s="4"/>
      <c r="D22" s="4"/>
    </row>
    <row r="23" spans="1:4" x14ac:dyDescent="0.25">
      <c r="A23" s="4" t="s">
        <v>160</v>
      </c>
      <c r="B23" s="4"/>
      <c r="C23" s="4"/>
      <c r="D23" s="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اقرأني</vt:lpstr>
      <vt:lpstr>Books</vt:lpstr>
      <vt:lpstr>Lists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rawan omar</cp:lastModifiedBy>
  <cp:revision>0</cp:revision>
  <dcterms:created xsi:type="dcterms:W3CDTF">2026-10-02T08:06:41Z</dcterms:created>
  <dcterms:modified xsi:type="dcterms:W3CDTF">2026-10-02T08:21:36Z</dcterms:modified>
  <dc:language>en-US</dc:language>
</cp:coreProperties>
</file>