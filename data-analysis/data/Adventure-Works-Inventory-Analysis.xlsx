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ensitivity" sheetId="3" state="visible" r:id="rId5"/>
    <sheet name="Review list" sheetId="4" state="visible" r:id="rId6"/>
    <sheet name="Data" sheetId="5" state="visible" r:id="rId7"/>
  </sheets>
  <definedNames>
    <definedName function="false" hidden="true" localSheetId="4" name="_xlnm._FilterDatabase" vbProcedure="false">Data!$A$1:$N$151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<sst xmlns="http://schemas.openxmlformats.org/spreadsheetml/2006/main" count="711" uniqueCount="115">
  <si>
    <t xml:space="preserve">Inventory Risk Analysis: Adventure Works (sample data)</t>
  </si>
  <si>
    <t xml:space="preserve">All figures are formulas over the Data sheet. Change Assumptions to test other thresholds.</t>
  </si>
  <si>
    <t xml:space="preserve">KPI</t>
  </si>
  <si>
    <t xml:space="preserve">Value</t>
  </si>
  <si>
    <t xml:space="preserve">By category</t>
  </si>
  <si>
    <t xml:space="preserve">Stock lines</t>
  </si>
  <si>
    <t xml:space="preserve">Category</t>
  </si>
  <si>
    <t xml:space="preserve">Supplier</t>
  </si>
  <si>
    <t xml:space="preserve">Lines</t>
  </si>
  <si>
    <t xml:space="preserve">Stock value</t>
  </si>
  <si>
    <t xml:space="preserve">Share of value</t>
  </si>
  <si>
    <t xml:space="preserve">Discontinued</t>
  </si>
  <si>
    <t xml:space="preserve">Active, no reorder level</t>
  </si>
  <si>
    <t xml:space="preserve">Units in stock</t>
  </si>
  <si>
    <t xml:space="preserve">Frames</t>
  </si>
  <si>
    <t xml:space="preserve">Inventory value</t>
  </si>
  <si>
    <t xml:space="preserve">Tyres</t>
  </si>
  <si>
    <t xml:space="preserve">Active lines (not discontinued)</t>
  </si>
  <si>
    <t xml:space="preserve">Gear Components</t>
  </si>
  <si>
    <t xml:space="preserve">Active lines with no reorder level</t>
  </si>
  <si>
    <t xml:space="preserve">Saddles</t>
  </si>
  <si>
    <t xml:space="preserve">  value held</t>
  </si>
  <si>
    <t xml:space="preserve">Brake System</t>
  </si>
  <si>
    <t xml:space="preserve">Overstock lines (threshold on Assumptions)</t>
  </si>
  <si>
    <t xml:space="preserve">Total</t>
  </si>
  <si>
    <t xml:space="preserve">Check: category total equals KPI value</t>
  </si>
  <si>
    <t xml:space="preserve">  share of inventory value</t>
  </si>
  <si>
    <t xml:space="preserve">Discontinued lines still in stock</t>
  </si>
  <si>
    <t xml:space="preserve">Stock-outs (all)</t>
  </si>
  <si>
    <t xml:space="preserve">  of which active and not on order</t>
  </si>
  <si>
    <t xml:space="preserve">Exact duplicate rows (repeats)</t>
  </si>
  <si>
    <t xml:space="preserve">  value in repeats</t>
  </si>
  <si>
    <t xml:space="preserve">Price outlier lines</t>
  </si>
  <si>
    <t xml:space="preserve">Assumptions (change the yellow cells; every sheet recalculates)</t>
  </si>
  <si>
    <t xml:space="preserve">Parameter</t>
  </si>
  <si>
    <t xml:space="preserve">Note</t>
  </si>
  <si>
    <t xml:space="preserve">Overstock threshold (stock ÷ reorder level ≥)</t>
  </si>
  <si>
    <t xml:space="preserve">My choice, not an industry standard. 10, 20 and 30 are compared on the Sensitivity sheet.</t>
  </si>
  <si>
    <t xml:space="preserve">Outlier fence multiplier (× IQR above Q3)</t>
  </si>
  <si>
    <t xml:space="preserve">Tukey rule.</t>
  </si>
  <si>
    <t xml:space="preserve">Value basis</t>
  </si>
  <si>
    <t xml:space="preserve">Unit Price × Units In Stock</t>
  </si>
  <si>
    <t xml:space="preserve">The file does not say whether Unit Price is cost or selling price. Value is therefore an upper bound if it is a selling price.</t>
  </si>
  <si>
    <t xml:space="preserve">Reorder level = 0</t>
  </si>
  <si>
    <t xml:space="preserve">May be deliberate</t>
  </si>
  <si>
    <t xml:space="preserve">A level of 0 can mean made-to-order. The Status column calls these 'No reorder level'; confirm the policy before treating them as a gap.</t>
  </si>
  <si>
    <t xml:space="preserve">Source</t>
  </si>
  <si>
    <t xml:space="preserve">Adventure Works Inventory sample workbook (training file)</t>
  </si>
  <si>
    <t xml:space="preserve">Not real company data. Contains no sales or demand, so days of cover and turnover cannot be calculated.</t>
  </si>
  <si>
    <t xml:space="preserve">Date Entered</t>
  </si>
  <si>
    <t xml:space="preserve">Static snapshot</t>
  </si>
  <si>
    <t xml:space="preserve">Original used =TODAY()+n in 48 rows, so dates moved every time the file opened. Cached values are kept for reference only; no date analysis is made.</t>
  </si>
  <si>
    <t xml:space="preserve">Removed from source</t>
  </si>
  <si>
    <t xml:space="preserve">ProductsA sheet, external link, broken names</t>
  </si>
  <si>
    <t xml:space="preserve">ProductsA = same 150 rows reordered + a SUM row (verified). The source also had a link to another file on a personal drive and a broken named range.</t>
  </si>
  <si>
    <t xml:space="preserve">How robust are the findings? (counts exclude discontinued lines)</t>
  </si>
  <si>
    <t xml:space="preserve">Overstock threshold (x reorder level)</t>
  </si>
  <si>
    <t xml:space="preserve">Value held</t>
  </si>
  <si>
    <t xml:space="preserve">Share of inventory value</t>
  </si>
  <si>
    <t xml:space="preserve">Reading: even at 30x, a large block of capital sits far above its reorder level. The count depends on the threshold, so treat 48 lines as an estimate.</t>
  </si>
  <si>
    <t xml:space="preserve">Duplicates: results with and without exact duplicate rows</t>
  </si>
  <si>
    <t xml:space="preserve">Metric</t>
  </si>
  <si>
    <t xml:space="preserve">With duplicates</t>
  </si>
  <si>
    <t xml:space="preserve">Without repeats</t>
  </si>
  <si>
    <t xml:space="preserve">Change</t>
  </si>
  <si>
    <t xml:space="preserve">Overstock value</t>
  </si>
  <si>
    <t xml:space="preserve">Discontinued, in stock, value</t>
  </si>
  <si>
    <t xml:space="preserve">Lines to review first (filter the Data sheet by Status for the full list)</t>
  </si>
  <si>
    <t xml:space="preserve">Largest overstock lines</t>
  </si>
  <si>
    <t xml:space="preserve">Row numbers point at the Data sheet. The selection was made in Python (build_data.py logic); the displayed values are live formulas.</t>
  </si>
  <si>
    <t xml:space="preserve">Data row</t>
  </si>
  <si>
    <t xml:space="preserve">Product</t>
  </si>
  <si>
    <t xml:space="preserve">Stock</t>
  </si>
  <si>
    <t xml:space="preserve">Reorder level</t>
  </si>
  <si>
    <t xml:space="preserve">Largest discontinued lines still in stock</t>
  </si>
  <si>
    <t xml:space="preserve">Largest active lines with no reorder level</t>
  </si>
  <si>
    <t xml:space="preserve">Date Entered (snapshot)</t>
  </si>
  <si>
    <t xml:space="preserve">Product Name</t>
  </si>
  <si>
    <t xml:space="preserve">Unit Price</t>
  </si>
  <si>
    <t xml:space="preserve">Units In Stock</t>
  </si>
  <si>
    <t xml:space="preserve">Units On Order</t>
  </si>
  <si>
    <t xml:space="preserve">Reorder Level</t>
  </si>
  <si>
    <t xml:space="preserve">Stock Value</t>
  </si>
  <si>
    <t xml:space="preserve">Cover (x reorder)</t>
  </si>
  <si>
    <t xml:space="preserve">Status</t>
  </si>
  <si>
    <t xml:space="preserve">Exact Duplicate</t>
  </si>
  <si>
    <t xml:space="preserve">Price Outlier</t>
  </si>
  <si>
    <t xml:space="preserve">Levers</t>
  </si>
  <si>
    <t xml:space="preserve">Cyclesaz</t>
  </si>
  <si>
    <t xml:space="preserve">No</t>
  </si>
  <si>
    <t xml:space="preserve">Cables</t>
  </si>
  <si>
    <t xml:space="preserve">Pads</t>
  </si>
  <si>
    <t xml:space="preserve">Yes</t>
  </si>
  <si>
    <t xml:space="preserve">Zelectric</t>
  </si>
  <si>
    <t xml:space="preserve">Imortadores Neptuno</t>
  </si>
  <si>
    <t xml:space="preserve">14City</t>
  </si>
  <si>
    <t xml:space="preserve">Rac325</t>
  </si>
  <si>
    <t xml:space="preserve">A2Mountain</t>
  </si>
  <si>
    <t xml:space="preserve">Rac564</t>
  </si>
  <si>
    <t xml:space="preserve">A1Mountain</t>
  </si>
  <si>
    <t xml:space="preserve">Narrow</t>
  </si>
  <si>
    <t xml:space="preserve">Sadleab</t>
  </si>
  <si>
    <t xml:space="preserve">All weather</t>
  </si>
  <si>
    <t xml:space="preserve">Racing</t>
  </si>
  <si>
    <t xml:space="preserve">Comfort</t>
  </si>
  <si>
    <t xml:space="preserve">Tubular</t>
  </si>
  <si>
    <t xml:space="preserve">Tyresaz</t>
  </si>
  <si>
    <t xml:space="preserve">Tubeless</t>
  </si>
  <si>
    <t xml:space="preserve">Clincher</t>
  </si>
  <si>
    <t xml:space="preserve">Crankset</t>
  </si>
  <si>
    <t xml:space="preserve">Z123</t>
  </si>
  <si>
    <t xml:space="preserve">belt drives</t>
  </si>
  <si>
    <t xml:space="preserve">derailleurs</t>
  </si>
  <si>
    <t xml:space="preserve">Chain</t>
  </si>
  <si>
    <t xml:space="preserve">shifter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</si>
</sst>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"/>
    <numFmt numFmtId="167" formatCode="0.0%"/>
    <numFmt numFmtId="168" formatCode="yyyy\-mm\-dd"/>
    <numFmt numFmtId="169" formatCode="\$#,##0.00"/>
    <numFmt numFmtId="170" formatCode="\$#,##0;&quot;($&quot;#,##0\);\-"/>
    <numFmt numFmtId="171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5B3A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5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5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8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4" t="s">
        <v>4</v>
      </c>
    </row>
    <row r="5" customFormat="false" ht="26.85" hidden="false" customHeight="false" outlineLevel="0" collapsed="false">
      <c r="A5" s="4" t="s">
        <v>5</v>
      </c>
      <c r="B5" s="5" t="n">
        <f aca="false">COUNTA(Data!$C$2:$C$151)</f>
        <v>150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 customFormat="false" ht="15" hidden="false" customHeight="false" outlineLevel="0" collapsed="false">
      <c r="A6" s="4" t="s">
        <v>13</v>
      </c>
      <c r="B6" s="5" t="n">
        <f aca="false">SUM(Data!$F$2:$F$151)</f>
        <v>56920</v>
      </c>
      <c r="D6" s="7" t="s">
        <v>14</v>
      </c>
      <c r="E6" s="7" t="str">
        <f aca="false">INDEX(Data!$D$2:$D$151,MATCH(D6,Data!$A$2:$A$151,0))</f>
        <v>Imortadores Neptuno</v>
      </c>
      <c r="F6" s="7" t="n">
        <f aca="false">COUNTIF(Data!$A$2:$A$151,D6)</f>
        <v>74</v>
      </c>
      <c r="G6" s="8" t="n">
        <f aca="false">SUMIFS(Data!$J$2:$J$151,Data!$A$2:$A$151,D6)</f>
        <v>643920</v>
      </c>
      <c r="H6" s="9" t="n">
        <f aca="false">G6/$B$7</f>
        <v>0.469207356394874</v>
      </c>
      <c r="I6" s="7" t="n">
        <f aca="false">COUNTIFS(Data!$A$2:$A$151,D6,Data!$I$2:$I$151,"Yes")</f>
        <v>4</v>
      </c>
      <c r="J6" s="7" t="n">
        <f aca="false">COUNTIFS(Data!$A$2:$A$151,D6,Data!$L$2:$L$151,"No reorder level")</f>
        <v>14</v>
      </c>
    </row>
    <row r="7" customFormat="false" ht="15" hidden="false" customHeight="false" outlineLevel="0" collapsed="false">
      <c r="A7" s="4" t="s">
        <v>15</v>
      </c>
      <c r="B7" s="10" t="n">
        <f aca="false">SUM(Data!$J$2:$J$151)</f>
        <v>1372357</v>
      </c>
      <c r="D7" s="7" t="s">
        <v>16</v>
      </c>
      <c r="E7" s="7" t="str">
        <f aca="false">INDEX(Data!$D$2:$D$151,MATCH(D7,Data!$A$2:$A$151,0))</f>
        <v>Tyresaz</v>
      </c>
      <c r="F7" s="7" t="n">
        <f aca="false">COUNTIF(Data!$A$2:$A$151,D7)</f>
        <v>34</v>
      </c>
      <c r="G7" s="8" t="n">
        <f aca="false">SUMIFS(Data!$J$2:$J$151,Data!$A$2:$A$151,D7)</f>
        <v>331194</v>
      </c>
      <c r="H7" s="9" t="n">
        <f aca="false">G7/$B$7</f>
        <v>0.241332248095794</v>
      </c>
      <c r="I7" s="7" t="n">
        <f aca="false">COUNTIFS(Data!$A$2:$A$151,D7,Data!$I$2:$I$151,"Yes")</f>
        <v>2</v>
      </c>
      <c r="J7" s="7" t="n">
        <f aca="false">COUNTIFS(Data!$A$2:$A$151,D7,Data!$L$2:$L$151,"No reorder level")</f>
        <v>8</v>
      </c>
    </row>
    <row r="8" customFormat="false" ht="15" hidden="false" customHeight="false" outlineLevel="0" collapsed="false">
      <c r="A8" s="4" t="s">
        <v>17</v>
      </c>
      <c r="B8" s="5" t="n">
        <f aca="false">COUNTIF(Data!$I$2:$I$151,"No")</f>
        <v>134</v>
      </c>
      <c r="D8" s="7" t="s">
        <v>18</v>
      </c>
      <c r="E8" s="7" t="str">
        <f aca="false">INDEX(Data!$D$2:$D$151,MATCH(D8,Data!$A$2:$A$151,0))</f>
        <v>Z123</v>
      </c>
      <c r="F8" s="7" t="n">
        <f aca="false">COUNTIF(Data!$A$2:$A$151,D8)</f>
        <v>20</v>
      </c>
      <c r="G8" s="8" t="n">
        <f aca="false">SUMIFS(Data!$J$2:$J$151,Data!$A$2:$A$151,D8)</f>
        <v>225424</v>
      </c>
      <c r="H8" s="9" t="n">
        <f aca="false">G8/$B$7</f>
        <v>0.164260465753445</v>
      </c>
      <c r="I8" s="7" t="n">
        <f aca="false">COUNTIFS(Data!$A$2:$A$151,D8,Data!$I$2:$I$151,"Yes")</f>
        <v>0</v>
      </c>
      <c r="J8" s="7" t="n">
        <f aca="false">COUNTIFS(Data!$A$2:$A$151,D8,Data!$L$2:$L$151,"No reorder level")</f>
        <v>10</v>
      </c>
    </row>
    <row r="9" customFormat="false" ht="15" hidden="false" customHeight="false" outlineLevel="0" collapsed="false">
      <c r="A9" s="4" t="s">
        <v>19</v>
      </c>
      <c r="B9" s="5" t="n">
        <f aca="false">COUNTIF(Data!$L$2:$L$151,"No reorder level")</f>
        <v>32</v>
      </c>
      <c r="D9" s="7" t="s">
        <v>20</v>
      </c>
      <c r="E9" s="7" t="str">
        <f aca="false">INDEX(Data!$D$2:$D$151,MATCH(D9,Data!$A$2:$A$151,0))</f>
        <v>Sadleab</v>
      </c>
      <c r="F9" s="7" t="n">
        <f aca="false">COUNTIF(Data!$A$2:$A$151,D9)</f>
        <v>12</v>
      </c>
      <c r="G9" s="8" t="n">
        <f aca="false">SUMIFS(Data!$J$2:$J$151,Data!$A$2:$A$151,D9)</f>
        <v>114589</v>
      </c>
      <c r="H9" s="9" t="n">
        <f aca="false">G9/$B$7</f>
        <v>0.0834979527921671</v>
      </c>
      <c r="I9" s="7" t="n">
        <f aca="false">COUNTIFS(Data!$A$2:$A$151,D9,Data!$I$2:$I$151,"Yes")</f>
        <v>8</v>
      </c>
      <c r="J9" s="7" t="n">
        <f aca="false">COUNTIFS(Data!$A$2:$A$151,D9,Data!$L$2:$L$151,"No reorder level")</f>
        <v>0</v>
      </c>
    </row>
    <row r="10" customFormat="false" ht="15" hidden="false" customHeight="false" outlineLevel="0" collapsed="false">
      <c r="A10" s="7" t="s">
        <v>21</v>
      </c>
      <c r="B10" s="10" t="n">
        <f aca="false">SUMIFS(Data!$J$2:$J$151,Data!$L$2:$L$151,"No reorder level")</f>
        <v>454786</v>
      </c>
      <c r="D10" s="7" t="s">
        <v>22</v>
      </c>
      <c r="E10" s="7" t="str">
        <f aca="false">INDEX(Data!$D$2:$D$151,MATCH(D10,Data!$A$2:$A$151,0))</f>
        <v>Cyclesaz</v>
      </c>
      <c r="F10" s="7" t="n">
        <f aca="false">COUNTIF(Data!$A$2:$A$151,D10)</f>
        <v>10</v>
      </c>
      <c r="G10" s="8" t="n">
        <f aca="false">SUMIFS(Data!$J$2:$J$151,Data!$A$2:$A$151,D10)</f>
        <v>57230</v>
      </c>
      <c r="H10" s="9" t="n">
        <f aca="false">G10/$B$7</f>
        <v>0.0417019769637201</v>
      </c>
      <c r="I10" s="7" t="n">
        <f aca="false">COUNTIFS(Data!$A$2:$A$151,D10,Data!$I$2:$I$151,"Yes")</f>
        <v>2</v>
      </c>
      <c r="J10" s="7" t="n">
        <f aca="false">COUNTIFS(Data!$A$2:$A$151,D10,Data!$L$2:$L$151,"No reorder level")</f>
        <v>0</v>
      </c>
    </row>
    <row r="11" customFormat="false" ht="15" hidden="false" customHeight="false" outlineLevel="0" collapsed="false">
      <c r="A11" s="4" t="s">
        <v>23</v>
      </c>
      <c r="B11" s="5" t="n">
        <f aca="false">COUNTIF(Data!$L$2:$L$151,"Overstock")</f>
        <v>48</v>
      </c>
      <c r="D11" s="4" t="s">
        <v>24</v>
      </c>
      <c r="F11" s="11" t="n">
        <f aca="false">SUM(F6:F10)</f>
        <v>150</v>
      </c>
      <c r="G11" s="12" t="n">
        <f aca="false">SUM(G6:G10)</f>
        <v>1372357</v>
      </c>
      <c r="H11" s="13" t="n">
        <f aca="false">SUM(H6:H10)</f>
        <v>1</v>
      </c>
      <c r="I11" s="11" t="n">
        <f aca="false">SUM(I6:I10)</f>
        <v>16</v>
      </c>
      <c r="J11" s="11" t="n">
        <f aca="false">SUM(J6:J10)</f>
        <v>32</v>
      </c>
    </row>
    <row r="12" customFormat="false" ht="15" hidden="false" customHeight="false" outlineLevel="0" collapsed="false">
      <c r="A12" s="7" t="s">
        <v>21</v>
      </c>
      <c r="B12" s="10" t="n">
        <f aca="false">SUMIFS(Data!$J$2:$J$151,Data!$L$2:$L$151,"Overstock")</f>
        <v>526401</v>
      </c>
      <c r="D12" s="14" t="s">
        <v>25</v>
      </c>
      <c r="G12" s="4" t="str">
        <f aca="false">IF(ROUND(G11-B7,2)=0,"OK","MISMATCH")</f>
        <v>OK</v>
      </c>
    </row>
    <row r="13" customFormat="false" ht="15" hidden="false" customHeight="false" outlineLevel="0" collapsed="false">
      <c r="A13" s="7" t="s">
        <v>26</v>
      </c>
      <c r="B13" s="15" t="n">
        <f aca="false">B12/B7</f>
        <v>0.383574390628678</v>
      </c>
    </row>
    <row r="14" customFormat="false" ht="15" hidden="false" customHeight="false" outlineLevel="0" collapsed="false">
      <c r="A14" s="4" t="s">
        <v>27</v>
      </c>
      <c r="B14" s="5" t="n">
        <f aca="false">COUNTIF(Data!$L$2:$L$151,"Discontinued - in stock")</f>
        <v>8</v>
      </c>
    </row>
    <row r="15" customFormat="false" ht="15" hidden="false" customHeight="false" outlineLevel="0" collapsed="false">
      <c r="A15" s="7" t="s">
        <v>21</v>
      </c>
      <c r="B15" s="10" t="n">
        <f aca="false">SUMIFS(Data!$J$2:$J$151,Data!$L$2:$L$151,"Discontinued - in stock")</f>
        <v>89052</v>
      </c>
    </row>
    <row r="16" customFormat="false" ht="15" hidden="false" customHeight="false" outlineLevel="0" collapsed="false">
      <c r="A16" s="7" t="s">
        <v>26</v>
      </c>
      <c r="B16" s="15" t="n">
        <f aca="false">B15/B7</f>
        <v>0.0648898209430928</v>
      </c>
    </row>
    <row r="17" customFormat="false" ht="15" hidden="false" customHeight="false" outlineLevel="0" collapsed="false">
      <c r="A17" s="4" t="s">
        <v>28</v>
      </c>
      <c r="B17" s="5" t="n">
        <f aca="false">COUNTIF(Data!$F$2:$F$151,0)</f>
        <v>10</v>
      </c>
    </row>
    <row r="18" customFormat="false" ht="15" hidden="false" customHeight="false" outlineLevel="0" collapsed="false">
      <c r="A18" s="7" t="s">
        <v>29</v>
      </c>
      <c r="B18" s="5" t="n">
        <f aca="false">COUNTIF(Data!$L$2:$L$151,"Stock-out")</f>
        <v>0</v>
      </c>
    </row>
    <row r="19" customFormat="false" ht="15" hidden="false" customHeight="false" outlineLevel="0" collapsed="false">
      <c r="A19" s="4" t="s">
        <v>30</v>
      </c>
      <c r="B19" s="5" t="n">
        <f aca="false">COUNTIF(Data!$M$2:$M$151,"Repeat")</f>
        <v>21</v>
      </c>
    </row>
    <row r="20" customFormat="false" ht="15" hidden="false" customHeight="false" outlineLevel="0" collapsed="false">
      <c r="A20" s="7" t="s">
        <v>31</v>
      </c>
      <c r="B20" s="10" t="n">
        <f aca="false">SUMIFS(Data!$J$2:$J$151,Data!$M$2:$M$151,"Repeat")</f>
        <v>210899</v>
      </c>
    </row>
    <row r="21" customFormat="false" ht="15" hidden="false" customHeight="false" outlineLevel="0" collapsed="false">
      <c r="A21" s="4" t="s">
        <v>32</v>
      </c>
      <c r="B21" s="5" t="n">
        <f aca="false">COUNTIF(Data!$N$2:$N$151,"Outlier")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6" t="s">
        <v>33</v>
      </c>
    </row>
    <row r="3" customFormat="false" ht="15" hidden="false" customHeight="false" outlineLevel="0" collapsed="false">
      <c r="A3" s="3" t="s">
        <v>34</v>
      </c>
      <c r="B3" s="3" t="s">
        <v>3</v>
      </c>
      <c r="C3" s="3" t="s">
        <v>35</v>
      </c>
    </row>
    <row r="4" customFormat="false" ht="15" hidden="false" customHeight="false" outlineLevel="0" collapsed="false">
      <c r="A4" s="4" t="s">
        <v>36</v>
      </c>
      <c r="B4" s="17" t="n">
        <v>20</v>
      </c>
      <c r="C4" s="18" t="s">
        <v>37</v>
      </c>
    </row>
    <row r="5" customFormat="false" ht="15" hidden="false" customHeight="false" outlineLevel="0" collapsed="false">
      <c r="A5" s="4" t="s">
        <v>38</v>
      </c>
      <c r="B5" s="17" t="n">
        <v>1.5</v>
      </c>
      <c r="C5" s="18" t="s">
        <v>39</v>
      </c>
    </row>
    <row r="6" customFormat="false" ht="26.85" hidden="false" customHeight="false" outlineLevel="0" collapsed="false">
      <c r="A6" s="4" t="s">
        <v>40</v>
      </c>
      <c r="B6" s="7" t="s">
        <v>41</v>
      </c>
      <c r="C6" s="18" t="s">
        <v>42</v>
      </c>
    </row>
    <row r="7" customFormat="false" ht="26.85" hidden="false" customHeight="false" outlineLevel="0" collapsed="false">
      <c r="A7" s="4" t="s">
        <v>43</v>
      </c>
      <c r="B7" s="7" t="s">
        <v>44</v>
      </c>
      <c r="C7" s="18" t="s">
        <v>45</v>
      </c>
    </row>
    <row r="8" customFormat="false" ht="26.85" hidden="false" customHeight="false" outlineLevel="0" collapsed="false">
      <c r="A8" s="4" t="s">
        <v>46</v>
      </c>
      <c r="B8" s="7" t="s">
        <v>47</v>
      </c>
      <c r="C8" s="18" t="s">
        <v>48</v>
      </c>
    </row>
    <row r="9" customFormat="false" ht="26.85" hidden="false" customHeight="false" outlineLevel="0" collapsed="false">
      <c r="A9" s="4" t="s">
        <v>49</v>
      </c>
      <c r="B9" s="7" t="s">
        <v>50</v>
      </c>
      <c r="C9" s="18" t="s">
        <v>51</v>
      </c>
    </row>
    <row r="10" customFormat="false" ht="26.85" hidden="false" customHeight="false" outlineLevel="0" collapsed="false">
      <c r="A10" s="4" t="s">
        <v>52</v>
      </c>
      <c r="B10" s="7" t="s">
        <v>53</v>
      </c>
      <c r="C10" s="1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22"/>
  </cols>
  <sheetData>
    <row r="1" customFormat="false" ht="16.15" hidden="false" customHeight="false" outlineLevel="0" collapsed="false">
      <c r="A1" s="16" t="s">
        <v>55</v>
      </c>
    </row>
    <row r="3" customFormat="false" ht="26.85" hidden="false" customHeight="false" outlineLevel="0" collapsed="false">
      <c r="A3" s="3" t="s">
        <v>56</v>
      </c>
      <c r="B3" s="3" t="s">
        <v>8</v>
      </c>
      <c r="C3" s="3" t="s">
        <v>57</v>
      </c>
      <c r="D3" s="3" t="s">
        <v>58</v>
      </c>
    </row>
    <row r="4" customFormat="false" ht="15" hidden="false" customHeight="false" outlineLevel="0" collapsed="false">
      <c r="A4" s="17" t="n">
        <v>10</v>
      </c>
      <c r="B4" s="7" t="n">
        <f aca="false">COUNTIFS(Data!$K$2:$K$151,"&gt;="&amp;A4,Data!$I$2:$I$151,"No")</f>
        <v>64</v>
      </c>
      <c r="C4" s="8" t="n">
        <f aca="false">SUMIFS(Data!$J$2:$J$151,Data!$K$2:$K$151,"&gt;="&amp;A4,Data!$I$2:$I$151,"No")</f>
        <v>723796</v>
      </c>
      <c r="D4" s="9" t="n">
        <f aca="false">C4/Summary!$B$7</f>
        <v>0.527410870495068</v>
      </c>
    </row>
    <row r="5" customFormat="false" ht="15" hidden="false" customHeight="false" outlineLevel="0" collapsed="false">
      <c r="A5" s="17" t="n">
        <v>20</v>
      </c>
      <c r="B5" s="7" t="n">
        <f aca="false">COUNTIFS(Data!$K$2:$K$151,"&gt;="&amp;A5,Data!$I$2:$I$151,"No")</f>
        <v>48</v>
      </c>
      <c r="C5" s="8" t="n">
        <f aca="false">SUMIFS(Data!$J$2:$J$151,Data!$K$2:$K$151,"&gt;="&amp;A5,Data!$I$2:$I$151,"No")</f>
        <v>526401</v>
      </c>
      <c r="D5" s="9" t="n">
        <f aca="false">C5/Summary!$B$7</f>
        <v>0.383574390628678</v>
      </c>
    </row>
    <row r="6" customFormat="false" ht="15" hidden="false" customHeight="false" outlineLevel="0" collapsed="false">
      <c r="A6" s="17" t="n">
        <v>30</v>
      </c>
      <c r="B6" s="7" t="n">
        <f aca="false">COUNTIFS(Data!$K$2:$K$151,"&gt;="&amp;A6,Data!$I$2:$I$151,"No")</f>
        <v>34</v>
      </c>
      <c r="C6" s="8" t="n">
        <f aca="false">SUMIFS(Data!$J$2:$J$151,Data!$K$2:$K$151,"&gt;="&amp;A6,Data!$I$2:$I$151,"No")</f>
        <v>420706</v>
      </c>
      <c r="D6" s="9" t="n">
        <f aca="false">C6/Summary!$B$7</f>
        <v>0.306557258789076</v>
      </c>
    </row>
    <row r="8" customFormat="false" ht="15" hidden="false" customHeight="false" outlineLevel="0" collapsed="false">
      <c r="A8" s="14" t="s">
        <v>59</v>
      </c>
    </row>
    <row r="10" customFormat="false" ht="15" hidden="false" customHeight="false" outlineLevel="0" collapsed="false">
      <c r="A10" s="4" t="s">
        <v>60</v>
      </c>
    </row>
    <row r="11" customFormat="false" ht="15" hidden="false" customHeight="false" outlineLevel="0" collapsed="false">
      <c r="A11" s="3" t="s">
        <v>61</v>
      </c>
      <c r="B11" s="3" t="s">
        <v>62</v>
      </c>
      <c r="C11" s="3" t="s">
        <v>63</v>
      </c>
      <c r="D11" s="3" t="s">
        <v>64</v>
      </c>
    </row>
    <row r="12" customFormat="false" ht="15" hidden="false" customHeight="false" outlineLevel="0" collapsed="false">
      <c r="A12" s="7" t="s">
        <v>5</v>
      </c>
      <c r="B12" s="19" t="n">
        <f aca="false">Summary!B5</f>
        <v>150</v>
      </c>
      <c r="C12" s="19" t="n">
        <f aca="false">B12-COUNTIF(Data!$M$2:$M$151,"Repeat")</f>
        <v>129</v>
      </c>
      <c r="D12" s="9" t="n">
        <f aca="false">C12/B12-1</f>
        <v>-0.14</v>
      </c>
    </row>
    <row r="13" customFormat="false" ht="15" hidden="false" customHeight="false" outlineLevel="0" collapsed="false">
      <c r="A13" s="7" t="s">
        <v>15</v>
      </c>
      <c r="B13" s="8" t="n">
        <f aca="false">Summary!B7</f>
        <v>1372357</v>
      </c>
      <c r="C13" s="8" t="n">
        <f aca="false">B13-SUMIFS(Data!$J$2:$J$151,Data!$M$2:$M$151,"Repeat")</f>
        <v>1161458</v>
      </c>
      <c r="D13" s="9" t="n">
        <f aca="false">C13/B13-1</f>
        <v>-0.153676485054545</v>
      </c>
    </row>
    <row r="14" customFormat="false" ht="15" hidden="false" customHeight="false" outlineLevel="0" collapsed="false">
      <c r="A14" s="7" t="s">
        <v>65</v>
      </c>
      <c r="B14" s="8" t="n">
        <f aca="false">Summary!B12</f>
        <v>526401</v>
      </c>
      <c r="C14" s="8" t="n">
        <f aca="false">B14-SUMIFS(Data!$J$2:$J$151,Data!$M$2:$M$151,"Repeat",Data!$L$2:$L$151,"Overstock")</f>
        <v>467328.5</v>
      </c>
      <c r="D14" s="9" t="n">
        <f aca="false">C14/B14-1</f>
        <v>-0.112219581649731</v>
      </c>
    </row>
    <row r="15" customFormat="false" ht="15" hidden="false" customHeight="false" outlineLevel="0" collapsed="false">
      <c r="A15" s="7" t="s">
        <v>66</v>
      </c>
      <c r="B15" s="8" t="n">
        <f aca="false">Summary!B15</f>
        <v>89052</v>
      </c>
      <c r="C15" s="8" t="n">
        <f aca="false">B15-SUMIFS(Data!$J$2:$J$151,Data!$M$2:$M$151,"Repeat",Data!$L$2:$L$151,"Discontinued - in stock")</f>
        <v>60922</v>
      </c>
      <c r="D15" s="9" t="n">
        <f aca="false">C15/B15-1</f>
        <v>-0.315882854961146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16" t="s">
        <v>67</v>
      </c>
    </row>
    <row r="3" customFormat="false" ht="15" hidden="false" customHeight="false" outlineLevel="0" collapsed="false">
      <c r="A3" s="4" t="s">
        <v>68</v>
      </c>
      <c r="H3" s="14" t="s">
        <v>69</v>
      </c>
    </row>
    <row r="4" customFormat="false" ht="15" hidden="false" customHeight="false" outlineLevel="0" collapsed="false">
      <c r="A4" s="3" t="s">
        <v>70</v>
      </c>
      <c r="B4" s="3" t="s">
        <v>6</v>
      </c>
      <c r="C4" s="3" t="s">
        <v>71</v>
      </c>
      <c r="D4" s="3" t="s">
        <v>72</v>
      </c>
      <c r="E4" s="3" t="s">
        <v>73</v>
      </c>
      <c r="F4" s="3" t="s">
        <v>3</v>
      </c>
    </row>
    <row r="5" customFormat="false" ht="15" hidden="false" customHeight="false" outlineLevel="0" collapsed="false">
      <c r="A5" s="7" t="n">
        <v>15</v>
      </c>
      <c r="B5" s="7" t="str">
        <f aca="false">INDEX(Data!$A:$A,$A5)</f>
        <v>Frames</v>
      </c>
      <c r="C5" s="7" t="str">
        <f aca="false">INDEX(Data!$C:$C,$A5)</f>
        <v>A2Mountain</v>
      </c>
      <c r="D5" s="7" t="n">
        <f aca="false">INDEX(Data!$F:$F,$A5)</f>
        <v>1130</v>
      </c>
      <c r="E5" s="7" t="n">
        <f aca="false">INDEX(Data!$H:$H,$A5)</f>
        <v>25</v>
      </c>
      <c r="F5" s="8" t="n">
        <f aca="false">INDEX(Data!$J:$J,$A5)</f>
        <v>32205</v>
      </c>
    </row>
    <row r="6" customFormat="false" ht="15" hidden="false" customHeight="false" outlineLevel="0" collapsed="false">
      <c r="A6" s="7" t="n">
        <v>14</v>
      </c>
      <c r="B6" s="7" t="str">
        <f aca="false">INDEX(Data!$A:$A,$A6)</f>
        <v>Frames</v>
      </c>
      <c r="C6" s="7" t="str">
        <f aca="false">INDEX(Data!$C:$C,$A6)</f>
        <v>Rac325</v>
      </c>
      <c r="D6" s="7" t="n">
        <f aca="false">INDEX(Data!$F:$F,$A6)</f>
        <v>1130</v>
      </c>
      <c r="E6" s="7" t="n">
        <f aca="false">INDEX(Data!$H:$H,$A6)</f>
        <v>25</v>
      </c>
      <c r="F6" s="8" t="n">
        <f aca="false">INDEX(Data!$J:$J,$A6)</f>
        <v>32205</v>
      </c>
    </row>
    <row r="7" customFormat="false" ht="15" hidden="false" customHeight="false" outlineLevel="0" collapsed="false">
      <c r="A7" s="7" t="n">
        <v>87</v>
      </c>
      <c r="B7" s="7" t="str">
        <f aca="false">INDEX(Data!$A:$A,$A7)</f>
        <v>Saddles</v>
      </c>
      <c r="C7" s="7" t="str">
        <f aca="false">INDEX(Data!$C:$C,$A7)</f>
        <v>All weather</v>
      </c>
      <c r="D7" s="7" t="n">
        <f aca="false">INDEX(Data!$F:$F,$A7)</f>
        <v>1150</v>
      </c>
      <c r="E7" s="7" t="n">
        <f aca="false">INDEX(Data!$H:$H,$A7)</f>
        <v>20</v>
      </c>
      <c r="F7" s="8" t="n">
        <f aca="false">INDEX(Data!$J:$J,$A7)</f>
        <v>27600</v>
      </c>
    </row>
    <row r="8" customFormat="false" ht="15" hidden="false" customHeight="false" outlineLevel="0" collapsed="false">
      <c r="A8" s="7" t="n">
        <v>86</v>
      </c>
      <c r="B8" s="7" t="str">
        <f aca="false">INDEX(Data!$A:$A,$A8)</f>
        <v>Saddles</v>
      </c>
      <c r="C8" s="7" t="str">
        <f aca="false">INDEX(Data!$C:$C,$A8)</f>
        <v>Narrow</v>
      </c>
      <c r="D8" s="7" t="n">
        <f aca="false">INDEX(Data!$F:$F,$A8)</f>
        <v>1150</v>
      </c>
      <c r="E8" s="7" t="n">
        <f aca="false">INDEX(Data!$H:$H,$A8)</f>
        <v>20</v>
      </c>
      <c r="F8" s="8" t="n">
        <f aca="false">INDEX(Data!$J:$J,$A8)</f>
        <v>27600</v>
      </c>
    </row>
    <row r="9" customFormat="false" ht="15" hidden="false" customHeight="false" outlineLevel="0" collapsed="false">
      <c r="A9" s="7" t="n">
        <v>98</v>
      </c>
      <c r="B9" s="7" t="str">
        <f aca="false">INDEX(Data!$A:$A,$A9)</f>
        <v>Tyres</v>
      </c>
      <c r="C9" s="7" t="str">
        <f aca="false">INDEX(Data!$C:$C,$A9)</f>
        <v>Tubular</v>
      </c>
      <c r="D9" s="7" t="n">
        <f aca="false">INDEX(Data!$F:$F,$A9)</f>
        <v>1230</v>
      </c>
      <c r="E9" s="7" t="n">
        <f aca="false">INDEX(Data!$H:$H,$A9)</f>
        <v>30</v>
      </c>
      <c r="F9" s="8" t="n">
        <f aca="false">INDEX(Data!$J:$J,$A9)</f>
        <v>22632</v>
      </c>
    </row>
    <row r="10" customFormat="false" ht="15" hidden="false" customHeight="false" outlineLevel="0" collapsed="false">
      <c r="A10" s="7" t="n">
        <v>99</v>
      </c>
      <c r="B10" s="7" t="str">
        <f aca="false">INDEX(Data!$A:$A,$A10)</f>
        <v>Tyres</v>
      </c>
      <c r="C10" s="7" t="str">
        <f aca="false">INDEX(Data!$C:$C,$A10)</f>
        <v>Tubeless</v>
      </c>
      <c r="D10" s="7" t="n">
        <f aca="false">INDEX(Data!$F:$F,$A10)</f>
        <v>1230</v>
      </c>
      <c r="E10" s="7" t="n">
        <f aca="false">INDEX(Data!$H:$H,$A10)</f>
        <v>30</v>
      </c>
      <c r="F10" s="8" t="n">
        <f aca="false">INDEX(Data!$J:$J,$A10)</f>
        <v>22632</v>
      </c>
    </row>
    <row r="11" customFormat="false" ht="15" hidden="false" customHeight="false" outlineLevel="0" collapsed="false">
      <c r="A11" s="7" t="n">
        <v>100</v>
      </c>
      <c r="B11" s="7" t="str">
        <f aca="false">INDEX(Data!$A:$A,$A11)</f>
        <v>Tyres</v>
      </c>
      <c r="C11" s="7" t="str">
        <f aca="false">INDEX(Data!$C:$C,$A11)</f>
        <v>Tubeless</v>
      </c>
      <c r="D11" s="7" t="n">
        <f aca="false">INDEX(Data!$F:$F,$A11)</f>
        <v>1120</v>
      </c>
      <c r="E11" s="7" t="n">
        <f aca="false">INDEX(Data!$H:$H,$A11)</f>
        <v>20</v>
      </c>
      <c r="F11" s="8" t="n">
        <f aca="false">INDEX(Data!$J:$J,$A11)</f>
        <v>21280</v>
      </c>
    </row>
    <row r="12" customFormat="false" ht="15" hidden="false" customHeight="false" outlineLevel="0" collapsed="false">
      <c r="A12" s="7" t="n">
        <v>101</v>
      </c>
      <c r="B12" s="7" t="str">
        <f aca="false">INDEX(Data!$A:$A,$A12)</f>
        <v>Tyres</v>
      </c>
      <c r="C12" s="7" t="str">
        <f aca="false">INDEX(Data!$C:$C,$A12)</f>
        <v>Tubeless</v>
      </c>
      <c r="D12" s="7" t="n">
        <f aca="false">INDEX(Data!$F:$F,$A12)</f>
        <v>1120</v>
      </c>
      <c r="E12" s="7" t="n">
        <f aca="false">INDEX(Data!$H:$H,$A12)</f>
        <v>20</v>
      </c>
      <c r="F12" s="8" t="n">
        <f aca="false">INDEX(Data!$J:$J,$A12)</f>
        <v>21280</v>
      </c>
    </row>
    <row r="13" customFormat="false" ht="15" hidden="false" customHeight="false" outlineLevel="0" collapsed="false">
      <c r="A13" s="7" t="n">
        <v>17</v>
      </c>
      <c r="B13" s="7" t="str">
        <f aca="false">INDEX(Data!$A:$A,$A13)</f>
        <v>Frames</v>
      </c>
      <c r="C13" s="7" t="str">
        <f aca="false">INDEX(Data!$C:$C,$A13)</f>
        <v>14City</v>
      </c>
      <c r="D13" s="7" t="n">
        <f aca="false">INDEX(Data!$F:$F,$A13)</f>
        <v>1110</v>
      </c>
      <c r="E13" s="7" t="n">
        <f aca="false">INDEX(Data!$H:$H,$A13)</f>
        <v>15</v>
      </c>
      <c r="F13" s="8" t="n">
        <f aca="false">INDEX(Data!$J:$J,$A13)</f>
        <v>15540</v>
      </c>
    </row>
    <row r="14" customFormat="false" ht="15" hidden="false" customHeight="false" outlineLevel="0" collapsed="false">
      <c r="A14" s="7" t="n">
        <v>16</v>
      </c>
      <c r="B14" s="7" t="str">
        <f aca="false">INDEX(Data!$A:$A,$A14)</f>
        <v>Frames</v>
      </c>
      <c r="C14" s="7" t="str">
        <f aca="false">INDEX(Data!$C:$C,$A14)</f>
        <v>Rac564</v>
      </c>
      <c r="D14" s="7" t="n">
        <f aca="false">INDEX(Data!$F:$F,$A14)</f>
        <v>1110</v>
      </c>
      <c r="E14" s="7" t="n">
        <f aca="false">INDEX(Data!$H:$H,$A14)</f>
        <v>15</v>
      </c>
      <c r="F14" s="8" t="n">
        <f aca="false">INDEX(Data!$J:$J,$A14)</f>
        <v>15540</v>
      </c>
    </row>
    <row r="16" customFormat="false" ht="15" hidden="false" customHeight="false" outlineLevel="0" collapsed="false">
      <c r="A16" s="4" t="s">
        <v>74</v>
      </c>
    </row>
    <row r="17" customFormat="false" ht="15" hidden="false" customHeight="false" outlineLevel="0" collapsed="false">
      <c r="A17" s="3" t="s">
        <v>70</v>
      </c>
      <c r="B17" s="3" t="s">
        <v>6</v>
      </c>
      <c r="C17" s="3" t="s">
        <v>71</v>
      </c>
      <c r="D17" s="3" t="s">
        <v>72</v>
      </c>
      <c r="E17" s="3" t="s">
        <v>73</v>
      </c>
      <c r="F17" s="3" t="s">
        <v>3</v>
      </c>
    </row>
    <row r="18" customFormat="false" ht="15" hidden="false" customHeight="false" outlineLevel="0" collapsed="false">
      <c r="A18" s="7" t="n">
        <v>89</v>
      </c>
      <c r="B18" s="7" t="str">
        <f aca="false">INDEX(Data!$A:$A,$A18)</f>
        <v>Saddles</v>
      </c>
      <c r="C18" s="7" t="str">
        <f aca="false">INDEX(Data!$C:$C,$A18)</f>
        <v>All weather</v>
      </c>
      <c r="D18" s="7" t="n">
        <f aca="false">INDEX(Data!$F:$F,$A18)</f>
        <v>290</v>
      </c>
      <c r="E18" s="7" t="n">
        <f aca="false">INDEX(Data!$H:$H,$A18)</f>
        <v>0</v>
      </c>
      <c r="F18" s="8" t="n">
        <f aca="false">INDEX(Data!$J:$J,$A18)</f>
        <v>28130</v>
      </c>
    </row>
    <row r="19" customFormat="false" ht="15" hidden="false" customHeight="false" outlineLevel="0" collapsed="false">
      <c r="A19" s="7" t="n">
        <v>88</v>
      </c>
      <c r="B19" s="7" t="str">
        <f aca="false">INDEX(Data!$A:$A,$A19)</f>
        <v>Saddles</v>
      </c>
      <c r="C19" s="7" t="str">
        <f aca="false">INDEX(Data!$C:$C,$A19)</f>
        <v>All weather</v>
      </c>
      <c r="D19" s="7" t="n">
        <f aca="false">INDEX(Data!$F:$F,$A19)</f>
        <v>290</v>
      </c>
      <c r="E19" s="7" t="n">
        <f aca="false">INDEX(Data!$H:$H,$A19)</f>
        <v>0</v>
      </c>
      <c r="F19" s="8" t="n">
        <f aca="false">INDEX(Data!$J:$J,$A19)</f>
        <v>28130</v>
      </c>
    </row>
    <row r="20" customFormat="false" ht="15" hidden="false" customHeight="false" outlineLevel="0" collapsed="false">
      <c r="A20" s="7" t="n">
        <v>117</v>
      </c>
      <c r="B20" s="7" t="str">
        <f aca="false">INDEX(Data!$A:$A,$A20)</f>
        <v>Tyres</v>
      </c>
      <c r="C20" s="7" t="str">
        <f aca="false">INDEX(Data!$C:$C,$A20)</f>
        <v>Tubeless</v>
      </c>
      <c r="D20" s="7" t="n">
        <f aca="false">INDEX(Data!$F:$F,$A20)</f>
        <v>260</v>
      </c>
      <c r="E20" s="7" t="n">
        <f aca="false">INDEX(Data!$H:$H,$A20)</f>
        <v>0</v>
      </c>
      <c r="F20" s="8" t="n">
        <f aca="false">INDEX(Data!$J:$J,$A20)</f>
        <v>11856</v>
      </c>
    </row>
    <row r="21" customFormat="false" ht="15" hidden="false" customHeight="false" outlineLevel="0" collapsed="false">
      <c r="A21" s="7" t="n">
        <v>116</v>
      </c>
      <c r="B21" s="7" t="str">
        <f aca="false">INDEX(Data!$A:$A,$A21)</f>
        <v>Tyres</v>
      </c>
      <c r="C21" s="7" t="str">
        <f aca="false">INDEX(Data!$C:$C,$A21)</f>
        <v>Tubular</v>
      </c>
      <c r="D21" s="7" t="n">
        <f aca="false">INDEX(Data!$F:$F,$A21)</f>
        <v>260</v>
      </c>
      <c r="E21" s="7" t="n">
        <f aca="false">INDEX(Data!$H:$H,$A21)</f>
        <v>0</v>
      </c>
      <c r="F21" s="8" t="n">
        <f aca="false">INDEX(Data!$J:$J,$A21)</f>
        <v>11856</v>
      </c>
    </row>
    <row r="22" customFormat="false" ht="15" hidden="false" customHeight="false" outlineLevel="0" collapsed="false">
      <c r="A22" s="7" t="n">
        <v>7</v>
      </c>
      <c r="B22" s="7" t="str">
        <f aca="false">INDEX(Data!$A:$A,$A22)</f>
        <v>Brake System</v>
      </c>
      <c r="C22" s="7" t="str">
        <f aca="false">INDEX(Data!$C:$C,$A22)</f>
        <v>Levers</v>
      </c>
      <c r="D22" s="7" t="n">
        <f aca="false">INDEX(Data!$F:$F,$A22)</f>
        <v>260</v>
      </c>
      <c r="E22" s="7" t="n">
        <f aca="false">INDEX(Data!$H:$H,$A22)</f>
        <v>0</v>
      </c>
      <c r="F22" s="8" t="n">
        <f aca="false">INDEX(Data!$J:$J,$A22)</f>
        <v>3640</v>
      </c>
    </row>
    <row r="23" customFormat="false" ht="15" hidden="false" customHeight="false" outlineLevel="0" collapsed="false">
      <c r="A23" s="7" t="n">
        <v>6</v>
      </c>
      <c r="B23" s="7" t="str">
        <f aca="false">INDEX(Data!$A:$A,$A23)</f>
        <v>Brake System</v>
      </c>
      <c r="C23" s="7" t="str">
        <f aca="false">INDEX(Data!$C:$C,$A23)</f>
        <v>Pads</v>
      </c>
      <c r="D23" s="7" t="n">
        <f aca="false">INDEX(Data!$F:$F,$A23)</f>
        <v>260</v>
      </c>
      <c r="E23" s="7" t="n">
        <f aca="false">INDEX(Data!$H:$H,$A23)</f>
        <v>0</v>
      </c>
      <c r="F23" s="8" t="n">
        <f aca="false">INDEX(Data!$J:$J,$A23)</f>
        <v>3640</v>
      </c>
    </row>
    <row r="24" customFormat="false" ht="15" hidden="false" customHeight="false" outlineLevel="0" collapsed="false">
      <c r="A24" s="7" t="n">
        <v>55</v>
      </c>
      <c r="B24" s="7" t="str">
        <f aca="false">INDEX(Data!$A:$A,$A24)</f>
        <v>Frames</v>
      </c>
      <c r="C24" s="7" t="str">
        <f aca="false">INDEX(Data!$C:$C,$A24)</f>
        <v>14City</v>
      </c>
      <c r="D24" s="7" t="n">
        <f aca="false">INDEX(Data!$F:$F,$A24)</f>
        <v>200</v>
      </c>
      <c r="E24" s="7" t="n">
        <f aca="false">INDEX(Data!$H:$H,$A24)</f>
        <v>0</v>
      </c>
      <c r="F24" s="8" t="n">
        <f aca="false">INDEX(Data!$J:$J,$A24)</f>
        <v>900</v>
      </c>
    </row>
    <row r="25" customFormat="false" ht="15" hidden="false" customHeight="false" outlineLevel="0" collapsed="false">
      <c r="A25" s="7" t="n">
        <v>54</v>
      </c>
      <c r="B25" s="7" t="str">
        <f aca="false">INDEX(Data!$A:$A,$A25)</f>
        <v>Frames</v>
      </c>
      <c r="C25" s="7" t="str">
        <f aca="false">INDEX(Data!$C:$C,$A25)</f>
        <v>Rac564</v>
      </c>
      <c r="D25" s="7" t="n">
        <f aca="false">INDEX(Data!$F:$F,$A25)</f>
        <v>200</v>
      </c>
      <c r="E25" s="7" t="n">
        <f aca="false">INDEX(Data!$H:$H,$A25)</f>
        <v>0</v>
      </c>
      <c r="F25" s="8" t="n">
        <f aca="false">INDEX(Data!$J:$J,$A25)</f>
        <v>900</v>
      </c>
    </row>
    <row r="27" customFormat="false" ht="15" hidden="false" customHeight="false" outlineLevel="0" collapsed="false">
      <c r="A27" s="4" t="s">
        <v>75</v>
      </c>
    </row>
    <row r="28" customFormat="false" ht="15" hidden="false" customHeight="false" outlineLevel="0" collapsed="false">
      <c r="A28" s="3" t="s">
        <v>70</v>
      </c>
      <c r="B28" s="3" t="s">
        <v>6</v>
      </c>
      <c r="C28" s="3" t="s">
        <v>71</v>
      </c>
      <c r="D28" s="3" t="s">
        <v>72</v>
      </c>
      <c r="E28" s="3" t="s">
        <v>73</v>
      </c>
      <c r="F28" s="3" t="s">
        <v>3</v>
      </c>
    </row>
    <row r="29" customFormat="false" ht="15" hidden="false" customHeight="false" outlineLevel="0" collapsed="false">
      <c r="A29" s="7" t="n">
        <v>136</v>
      </c>
      <c r="B29" s="7" t="str">
        <f aca="false">INDEX(Data!$A:$A,$A29)</f>
        <v>Gear Components</v>
      </c>
      <c r="C29" s="7" t="str">
        <f aca="false">INDEX(Data!$C:$C,$A29)</f>
        <v>Chain</v>
      </c>
      <c r="D29" s="7" t="n">
        <f aca="false">INDEX(Data!$F:$F,$A29)</f>
        <v>790</v>
      </c>
      <c r="E29" s="7" t="n">
        <f aca="false">INDEX(Data!$H:$H,$A29)</f>
        <v>0</v>
      </c>
      <c r="F29" s="8" t="n">
        <f aca="false">INDEX(Data!$J:$J,$A29)</f>
        <v>43450</v>
      </c>
    </row>
    <row r="30" customFormat="false" ht="15" hidden="false" customHeight="false" outlineLevel="0" collapsed="false">
      <c r="A30" s="7" t="n">
        <v>137</v>
      </c>
      <c r="B30" s="7" t="str">
        <f aca="false">INDEX(Data!$A:$A,$A30)</f>
        <v>Gear Components</v>
      </c>
      <c r="C30" s="7" t="str">
        <f aca="false">INDEX(Data!$C:$C,$A30)</f>
        <v>belt drives</v>
      </c>
      <c r="D30" s="7" t="n">
        <f aca="false">INDEX(Data!$F:$F,$A30)</f>
        <v>790</v>
      </c>
      <c r="E30" s="7" t="n">
        <f aca="false">INDEX(Data!$H:$H,$A30)</f>
        <v>0</v>
      </c>
      <c r="F30" s="8" t="n">
        <f aca="false">INDEX(Data!$J:$J,$A30)</f>
        <v>43450</v>
      </c>
    </row>
    <row r="31" customFormat="false" ht="15" hidden="false" customHeight="false" outlineLevel="0" collapsed="false">
      <c r="A31" s="7" t="n">
        <v>135</v>
      </c>
      <c r="B31" s="7" t="str">
        <f aca="false">INDEX(Data!$A:$A,$A31)</f>
        <v>Gear Components</v>
      </c>
      <c r="C31" s="7" t="str">
        <f aca="false">INDEX(Data!$C:$C,$A31)</f>
        <v>derailleurs</v>
      </c>
      <c r="D31" s="7" t="n">
        <f aca="false">INDEX(Data!$F:$F,$A31)</f>
        <v>860</v>
      </c>
      <c r="E31" s="7" t="n">
        <f aca="false">INDEX(Data!$H:$H,$A31)</f>
        <v>0</v>
      </c>
      <c r="F31" s="8" t="n">
        <f aca="false">INDEX(Data!$J:$J,$A31)</f>
        <v>32680</v>
      </c>
    </row>
    <row r="32" customFormat="false" ht="15" hidden="false" customHeight="false" outlineLevel="0" collapsed="false">
      <c r="A32" s="7" t="n">
        <v>134</v>
      </c>
      <c r="B32" s="7" t="str">
        <f aca="false">INDEX(Data!$A:$A,$A32)</f>
        <v>Gear Components</v>
      </c>
      <c r="C32" s="7" t="str">
        <f aca="false">INDEX(Data!$C:$C,$A32)</f>
        <v>derailleurs</v>
      </c>
      <c r="D32" s="7" t="n">
        <f aca="false">INDEX(Data!$F:$F,$A32)</f>
        <v>860</v>
      </c>
      <c r="E32" s="7" t="n">
        <f aca="false">INDEX(Data!$H:$H,$A32)</f>
        <v>0</v>
      </c>
      <c r="F32" s="8" t="n">
        <f aca="false">INDEX(Data!$J:$J,$A32)</f>
        <v>32680</v>
      </c>
    </row>
    <row r="33" customFormat="false" ht="15" hidden="false" customHeight="false" outlineLevel="0" collapsed="false">
      <c r="A33" s="7" t="n">
        <v>35</v>
      </c>
      <c r="B33" s="7" t="str">
        <f aca="false">INDEX(Data!$A:$A,$A33)</f>
        <v>Frames</v>
      </c>
      <c r="C33" s="7" t="str">
        <f aca="false">INDEX(Data!$C:$C,$A33)</f>
        <v>A2Mountain</v>
      </c>
      <c r="D33" s="7" t="n">
        <f aca="false">INDEX(Data!$F:$F,$A33)</f>
        <v>400</v>
      </c>
      <c r="E33" s="7" t="n">
        <f aca="false">INDEX(Data!$H:$H,$A33)</f>
        <v>0</v>
      </c>
      <c r="F33" s="8" t="n">
        <f aca="false">INDEX(Data!$J:$J,$A33)</f>
        <v>32400</v>
      </c>
    </row>
    <row r="34" customFormat="false" ht="15" hidden="false" customHeight="false" outlineLevel="0" collapsed="false">
      <c r="A34" s="7" t="n">
        <v>34</v>
      </c>
      <c r="B34" s="7" t="str">
        <f aca="false">INDEX(Data!$A:$A,$A34)</f>
        <v>Frames</v>
      </c>
      <c r="C34" s="7" t="str">
        <f aca="false">INDEX(Data!$C:$C,$A34)</f>
        <v>Zelectric</v>
      </c>
      <c r="D34" s="7" t="n">
        <f aca="false">INDEX(Data!$F:$F,$A34)</f>
        <v>400</v>
      </c>
      <c r="E34" s="7" t="n">
        <f aca="false">INDEX(Data!$H:$H,$A34)</f>
        <v>0</v>
      </c>
      <c r="F34" s="8" t="n">
        <f aca="false">INDEX(Data!$J:$J,$A34)</f>
        <v>32400</v>
      </c>
    </row>
    <row r="35" customFormat="false" ht="15" hidden="false" customHeight="false" outlineLevel="0" collapsed="false">
      <c r="A35" s="7" t="n">
        <v>111</v>
      </c>
      <c r="B35" s="7" t="str">
        <f aca="false">INDEX(Data!$A:$A,$A35)</f>
        <v>Tyres</v>
      </c>
      <c r="C35" s="7" t="str">
        <f aca="false">INDEX(Data!$C:$C,$A35)</f>
        <v>Clincher</v>
      </c>
      <c r="D35" s="7" t="n">
        <f aca="false">INDEX(Data!$F:$F,$A35)</f>
        <v>420</v>
      </c>
      <c r="E35" s="7" t="n">
        <f aca="false">INDEX(Data!$H:$H,$A35)</f>
        <v>0</v>
      </c>
      <c r="F35" s="8" t="n">
        <f aca="false">INDEX(Data!$J:$J,$A35)</f>
        <v>26250</v>
      </c>
    </row>
    <row r="36" customFormat="false" ht="15" hidden="false" customHeight="false" outlineLevel="0" collapsed="false">
      <c r="A36" s="7" t="n">
        <v>110</v>
      </c>
      <c r="B36" s="7" t="str">
        <f aca="false">INDEX(Data!$A:$A,$A36)</f>
        <v>Tyres</v>
      </c>
      <c r="C36" s="7" t="str">
        <f aca="false">INDEX(Data!$C:$C,$A36)</f>
        <v>Tubular</v>
      </c>
      <c r="D36" s="7" t="n">
        <f aca="false">INDEX(Data!$F:$F,$A36)</f>
        <v>420</v>
      </c>
      <c r="E36" s="7" t="n">
        <f aca="false">INDEX(Data!$H:$H,$A36)</f>
        <v>0</v>
      </c>
      <c r="F36" s="8" t="n">
        <f aca="false">INDEX(Data!$J:$J,$A36)</f>
        <v>26250</v>
      </c>
    </row>
    <row r="37" customFormat="false" ht="15" hidden="false" customHeight="false" outlineLevel="0" collapsed="false">
      <c r="A37" s="7" t="n">
        <v>20</v>
      </c>
      <c r="B37" s="7" t="str">
        <f aca="false">INDEX(Data!$A:$A,$A37)</f>
        <v>Frames</v>
      </c>
      <c r="C37" s="7" t="str">
        <f aca="false">INDEX(Data!$C:$C,$A37)</f>
        <v>Rac564</v>
      </c>
      <c r="D37" s="7" t="n">
        <f aca="false">INDEX(Data!$F:$F,$A37)</f>
        <v>760</v>
      </c>
      <c r="E37" s="7" t="n">
        <f aca="false">INDEX(Data!$H:$H,$A37)</f>
        <v>0</v>
      </c>
      <c r="F37" s="8" t="n">
        <f aca="false">INDEX(Data!$J:$J,$A37)</f>
        <v>15998</v>
      </c>
    </row>
    <row r="38" customFormat="false" ht="15" hidden="false" customHeight="false" outlineLevel="0" collapsed="false">
      <c r="A38" s="7" t="n">
        <v>21</v>
      </c>
      <c r="B38" s="7" t="str">
        <f aca="false">INDEX(Data!$A:$A,$A38)</f>
        <v>Frames</v>
      </c>
      <c r="C38" s="7" t="str">
        <f aca="false">INDEX(Data!$C:$C,$A38)</f>
        <v>14City</v>
      </c>
      <c r="D38" s="7" t="n">
        <f aca="false">INDEX(Data!$F:$F,$A38)</f>
        <v>760</v>
      </c>
      <c r="E38" s="7" t="n">
        <f aca="false">INDEX(Data!$H:$H,$A38)</f>
        <v>0</v>
      </c>
      <c r="F38" s="8" t="n">
        <f aca="false">INDEX(Data!$J:$J,$A38)</f>
        <v>15998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8" min="5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24"/>
    <col collapsed="false" customWidth="true" hidden="false" outlineLevel="0" max="13" min="13" style="0" width="12"/>
    <col collapsed="false" customWidth="true" hidden="false" outlineLevel="0" max="14" min="14" style="0" width="11"/>
  </cols>
  <sheetData>
    <row r="1" customFormat="false" ht="39.55" hidden="false" customHeight="false" outlineLevel="0" collapsed="false">
      <c r="A1" s="3" t="s">
        <v>6</v>
      </c>
      <c r="B1" s="3" t="s">
        <v>76</v>
      </c>
      <c r="C1" s="3" t="s">
        <v>77</v>
      </c>
      <c r="D1" s="3" t="s">
        <v>7</v>
      </c>
      <c r="E1" s="3" t="s">
        <v>78</v>
      </c>
      <c r="F1" s="3" t="s">
        <v>79</v>
      </c>
      <c r="G1" s="3" t="s">
        <v>80</v>
      </c>
      <c r="H1" s="3" t="s">
        <v>81</v>
      </c>
      <c r="I1" s="3" t="s">
        <v>11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</row>
    <row r="2" customFormat="false" ht="15" hidden="false" customHeight="false" outlineLevel="0" collapsed="false">
      <c r="A2" s="7" t="s">
        <v>22</v>
      </c>
      <c r="B2" s="20" t="n">
        <v>46338</v>
      </c>
      <c r="C2" s="7" t="s">
        <v>87</v>
      </c>
      <c r="D2" s="7" t="s">
        <v>88</v>
      </c>
      <c r="E2" s="21" t="n">
        <v>7</v>
      </c>
      <c r="F2" s="22" t="n">
        <v>380</v>
      </c>
      <c r="G2" s="22" t="n">
        <v>0</v>
      </c>
      <c r="H2" s="22" t="n">
        <v>25</v>
      </c>
      <c r="I2" s="7" t="s">
        <v>89</v>
      </c>
      <c r="J2" s="23" t="n">
        <f aca="false">E2*F2</f>
        <v>2660</v>
      </c>
      <c r="K2" s="24" t="n">
        <f aca="false">IF(H2&gt;0,F2/H2,"")</f>
        <v>15.2</v>
      </c>
      <c r="L2" s="7" t="str">
        <f aca="false">IF(I2="Yes",IF(F2&gt;0,"Discontinued - in stock","Discontinued"),IF(F2=0,IF(G2&gt;0,"Stock-out - on order","Stock-out"),IF(H2=0,"No reorder level",IF(K2&gt;=Assumptions!$B$4,"Overstock","OK"))))</f>
        <v>OK</v>
      </c>
      <c r="M2" s="7" t="str">
        <f aca="false">IF(COUNTIFS($A$2:$A$151,A2,$B$2:$B$151,B2,$C$2:$C$151,C2,$D$2:$D$151,D2,$E$2:$E$151,E2,$F$2:$F$151,F2,$G$2:$G$151,G2,$H$2:$H$151,H2,$I$2:$I$151,I2)&gt;1,IF(COUNTIFS($A$2:A2,A2,$B$2:B2,B2,$C$2:C2,C2,$D$2:D2,D2,$E$2:E2,E2,$F$2:F2,F2,$G$2:G2,G2,$H$2:H2,H2,$I$2:I2,I2)&gt;1,"Repeat","First"),"")</f>
        <v/>
      </c>
      <c r="N2" s="7" t="str">
        <f aca="false">IF(E2&gt;QUARTILE($E$2:$E$151,3)+Assumptions!$B$5*(QUARTILE($E$2:$E$151,3)-QUARTILE($E$2:$E$151,1)),"Outlier","")</f>
        <v/>
      </c>
    </row>
    <row r="3" customFormat="false" ht="15" hidden="false" customHeight="false" outlineLevel="0" collapsed="false">
      <c r="A3" s="7" t="s">
        <v>22</v>
      </c>
      <c r="B3" s="20" t="n">
        <v>46338</v>
      </c>
      <c r="C3" s="7" t="s">
        <v>90</v>
      </c>
      <c r="D3" s="7" t="s">
        <v>88</v>
      </c>
      <c r="E3" s="21" t="n">
        <v>7</v>
      </c>
      <c r="F3" s="22" t="n">
        <v>380</v>
      </c>
      <c r="G3" s="22" t="n">
        <v>0</v>
      </c>
      <c r="H3" s="22" t="n">
        <v>25</v>
      </c>
      <c r="I3" s="7" t="s">
        <v>89</v>
      </c>
      <c r="J3" s="23" t="n">
        <f aca="false">E3*F3</f>
        <v>2660</v>
      </c>
      <c r="K3" s="24" t="n">
        <f aca="false">IF(H3&gt;0,F3/H3,"")</f>
        <v>15.2</v>
      </c>
      <c r="L3" s="7" t="str">
        <f aca="false">IF(I3="Yes",IF(F3&gt;0,"Discontinued - in stock","Discontinued"),IF(F3=0,IF(G3&gt;0,"Stock-out - on order","Stock-out"),IF(H3=0,"No reorder level",IF(K3&gt;=Assumptions!$B$4,"Overstock","OK"))))</f>
        <v>OK</v>
      </c>
      <c r="M3" s="7" t="str">
        <f aca="false">IF(COUNTIFS($A$2:$A$151,A3,$B$2:$B$151,B3,$C$2:$C$151,C3,$D$2:$D$151,D3,$E$2:$E$151,E3,$F$2:$F$151,F3,$G$2:$G$151,G3,$H$2:$H$151,H3,$I$2:$I$151,I3)&gt;1,IF(COUNTIFS($A$2:A3,A3,$B$2:B3,B3,$C$2:C3,C3,$D$2:D3,D3,$E$2:E3,E3,$F$2:F3,F3,$G$2:G3,G3,$H$2:H3,H3,$I$2:I3,I3)&gt;1,"Repeat","First"),"")</f>
        <v/>
      </c>
      <c r="N3" s="7" t="str">
        <f aca="false">IF(E3&gt;QUARTILE($E$2:$E$151,3)+Assumptions!$B$5*(QUARTILE($E$2:$E$151,3)-QUARTILE($E$2:$E$151,1)),"Outlier","")</f>
        <v/>
      </c>
    </row>
    <row r="4" customFormat="false" ht="15" hidden="false" customHeight="false" outlineLevel="0" collapsed="false">
      <c r="A4" s="7" t="s">
        <v>22</v>
      </c>
      <c r="B4" s="20" t="n">
        <v>44571</v>
      </c>
      <c r="C4" s="7" t="s">
        <v>91</v>
      </c>
      <c r="D4" s="7" t="s">
        <v>88</v>
      </c>
      <c r="E4" s="21" t="n">
        <v>19.5</v>
      </c>
      <c r="F4" s="22" t="n">
        <v>360</v>
      </c>
      <c r="G4" s="22" t="n">
        <v>0</v>
      </c>
      <c r="H4" s="22" t="n">
        <v>20</v>
      </c>
      <c r="I4" s="7" t="s">
        <v>89</v>
      </c>
      <c r="J4" s="23" t="n">
        <f aca="false">E4*F4</f>
        <v>7020</v>
      </c>
      <c r="K4" s="24" t="n">
        <f aca="false">IF(H4&gt;0,F4/H4,"")</f>
        <v>18</v>
      </c>
      <c r="L4" s="7" t="str">
        <f aca="false">IF(I4="Yes",IF(F4&gt;0,"Discontinued - in stock","Discontinued"),IF(F4=0,IF(G4&gt;0,"Stock-out - on order","Stock-out"),IF(H4=0,"No reorder level",IF(K4&gt;=Assumptions!$B$4,"Overstock","OK"))))</f>
        <v>OK</v>
      </c>
      <c r="M4" s="7" t="str">
        <f aca="false">IF(COUNTIFS($A$2:$A$151,A4,$B$2:$B$151,B4,$C$2:$C$151,C4,$D$2:$D$151,D4,$E$2:$E$151,E4,$F$2:$F$151,F4,$G$2:$G$151,G4,$H$2:$H$151,H4,$I$2:$I$151,I4)&gt;1,IF(COUNTIFS($A$2:A4,A4,$B$2:B4,B4,$C$2:C4,C4,$D$2:D4,D4,$E$2:E4,E4,$F$2:F4,F4,$G$2:G4,G4,$H$2:H4,H4,$I$2:I4,I4)&gt;1,"Repeat","First"),"")</f>
        <v/>
      </c>
      <c r="N4" s="7" t="str">
        <f aca="false">IF(E4&gt;QUARTILE($E$2:$E$151,3)+Assumptions!$B$5*(QUARTILE($E$2:$E$151,3)-QUARTILE($E$2:$E$151,1)),"Outlier","")</f>
        <v/>
      </c>
    </row>
    <row r="5" customFormat="false" ht="15" hidden="false" customHeight="false" outlineLevel="0" collapsed="false">
      <c r="A5" s="7" t="s">
        <v>22</v>
      </c>
      <c r="B5" s="20" t="n">
        <v>44571</v>
      </c>
      <c r="C5" s="7" t="s">
        <v>87</v>
      </c>
      <c r="D5" s="7" t="s">
        <v>88</v>
      </c>
      <c r="E5" s="21" t="n">
        <v>19.5</v>
      </c>
      <c r="F5" s="22" t="n">
        <v>360</v>
      </c>
      <c r="G5" s="22" t="n">
        <v>0</v>
      </c>
      <c r="H5" s="22" t="n">
        <v>20</v>
      </c>
      <c r="I5" s="7" t="s">
        <v>89</v>
      </c>
      <c r="J5" s="23" t="n">
        <f aca="false">E5*F5</f>
        <v>7020</v>
      </c>
      <c r="K5" s="24" t="n">
        <f aca="false">IF(H5&gt;0,F5/H5,"")</f>
        <v>18</v>
      </c>
      <c r="L5" s="7" t="str">
        <f aca="false">IF(I5="Yes",IF(F5&gt;0,"Discontinued - in stock","Discontinued"),IF(F5=0,IF(G5&gt;0,"Stock-out - on order","Stock-out"),IF(H5=0,"No reorder level",IF(K5&gt;=Assumptions!$B$4,"Overstock","OK"))))</f>
        <v>OK</v>
      </c>
      <c r="M5" s="7" t="str">
        <f aca="false">IF(COUNTIFS($A$2:$A$151,A5,$B$2:$B$151,B5,$C$2:$C$151,C5,$D$2:$D$151,D5,$E$2:$E$151,E5,$F$2:$F$151,F5,$G$2:$G$151,G5,$H$2:$H$151,H5,$I$2:$I$151,I5)&gt;1,IF(COUNTIFS($A$2:A5,A5,$B$2:B5,B5,$C$2:C5,C5,$D$2:D5,D5,$E$2:E5,E5,$F$2:F5,F5,$G$2:G5,G5,$H$2:H5,H5,$I$2:I5,I5)&gt;1,"Repeat","First"),"")</f>
        <v/>
      </c>
      <c r="N5" s="7" t="str">
        <f aca="false">IF(E5&gt;QUARTILE($E$2:$E$151,3)+Assumptions!$B$5*(QUARTILE($E$2:$E$151,3)-QUARTILE($E$2:$E$151,1)),"Outlier","")</f>
        <v/>
      </c>
    </row>
    <row r="6" customFormat="false" ht="15" hidden="false" customHeight="false" outlineLevel="0" collapsed="false">
      <c r="A6" s="7" t="s">
        <v>22</v>
      </c>
      <c r="B6" s="20" t="n">
        <v>44549</v>
      </c>
      <c r="C6" s="7" t="s">
        <v>91</v>
      </c>
      <c r="D6" s="7" t="s">
        <v>88</v>
      </c>
      <c r="E6" s="21" t="n">
        <v>14</v>
      </c>
      <c r="F6" s="22" t="n">
        <v>260</v>
      </c>
      <c r="G6" s="22" t="n">
        <v>0</v>
      </c>
      <c r="H6" s="22" t="n">
        <v>0</v>
      </c>
      <c r="I6" s="7" t="s">
        <v>92</v>
      </c>
      <c r="J6" s="23" t="n">
        <f aca="false">E6*F6</f>
        <v>3640</v>
      </c>
      <c r="K6" s="24" t="str">
        <f aca="false">IF(H6&gt;0,F6/H6,"")</f>
        <v/>
      </c>
      <c r="L6" s="7" t="str">
        <f aca="false">IF(I6="Yes",IF(F6&gt;0,"Discontinued - in stock","Discontinued"),IF(F6=0,IF(G6&gt;0,"Stock-out - on order","Stock-out"),IF(H6=0,"No reorder level",IF(K6&gt;=Assumptions!$B$4,"Overstock","OK"))))</f>
        <v>Discontinued - in stock</v>
      </c>
      <c r="M6" s="7" t="str">
        <f aca="false">IF(COUNTIFS($A$2:$A$151,A6,$B$2:$B$151,B6,$C$2:$C$151,C6,$D$2:$D$151,D6,$E$2:$E$151,E6,$F$2:$F$151,F6,$G$2:$G$151,G6,$H$2:$H$151,H6,$I$2:$I$151,I6)&gt;1,IF(COUNTIFS($A$2:A6,A6,$B$2:B6,B6,$C$2:C6,C6,$D$2:D6,D6,$E$2:E6,E6,$F$2:F6,F6,$G$2:G6,G6,$H$2:H6,H6,$I$2:I6,I6)&gt;1,"Repeat","First"),"")</f>
        <v/>
      </c>
      <c r="N6" s="7" t="str">
        <f aca="false">IF(E6&gt;QUARTILE($E$2:$E$151,3)+Assumptions!$B$5*(QUARTILE($E$2:$E$151,3)-QUARTILE($E$2:$E$151,1)),"Outlier","")</f>
        <v/>
      </c>
    </row>
    <row r="7" customFormat="false" ht="15" hidden="false" customHeight="false" outlineLevel="0" collapsed="false">
      <c r="A7" s="7" t="s">
        <v>22</v>
      </c>
      <c r="B7" s="20" t="n">
        <v>44549</v>
      </c>
      <c r="C7" s="7" t="s">
        <v>87</v>
      </c>
      <c r="D7" s="7" t="s">
        <v>88</v>
      </c>
      <c r="E7" s="21" t="n">
        <v>14</v>
      </c>
      <c r="F7" s="22" t="n">
        <v>260</v>
      </c>
      <c r="G7" s="22" t="n">
        <v>0</v>
      </c>
      <c r="H7" s="22" t="n">
        <v>0</v>
      </c>
      <c r="I7" s="7" t="s">
        <v>92</v>
      </c>
      <c r="J7" s="23" t="n">
        <f aca="false">E7*F7</f>
        <v>3640</v>
      </c>
      <c r="K7" s="24" t="str">
        <f aca="false">IF(H7&gt;0,F7/H7,"")</f>
        <v/>
      </c>
      <c r="L7" s="7" t="str">
        <f aca="false">IF(I7="Yes",IF(F7&gt;0,"Discontinued - in stock","Discontinued"),IF(F7=0,IF(G7&gt;0,"Stock-out - on order","Stock-out"),IF(H7=0,"No reorder level",IF(K7&gt;=Assumptions!$B$4,"Overstock","OK"))))</f>
        <v>Discontinued - in stock</v>
      </c>
      <c r="M7" s="7" t="str">
        <f aca="false">IF(COUNTIFS($A$2:$A$151,A7,$B$2:$B$151,B7,$C$2:$C$151,C7,$D$2:$D$151,D7,$E$2:$E$151,E7,$F$2:$F$151,F7,$G$2:$G$151,G7,$H$2:$H$151,H7,$I$2:$I$151,I7)&gt;1,IF(COUNTIFS($A$2:A7,A7,$B$2:B7,B7,$C$2:C7,C7,$D$2:D7,D7,$E$2:E7,E7,$F$2:F7,F7,$G$2:G7,G7,$H$2:H7,H7,$I$2:I7,I7)&gt;1,"Repeat","First"),"")</f>
        <v/>
      </c>
      <c r="N7" s="7" t="str">
        <f aca="false">IF(E7&gt;QUARTILE($E$2:$E$151,3)+Assumptions!$B$5*(QUARTILE($E$2:$E$151,3)-QUARTILE($E$2:$E$151,1)),"Outlier","")</f>
        <v/>
      </c>
    </row>
    <row r="8" customFormat="false" ht="15" hidden="false" customHeight="false" outlineLevel="0" collapsed="false">
      <c r="A8" s="7" t="s">
        <v>22</v>
      </c>
      <c r="B8" s="20" t="n">
        <v>44581</v>
      </c>
      <c r="C8" s="7" t="s">
        <v>91</v>
      </c>
      <c r="D8" s="7" t="s">
        <v>88</v>
      </c>
      <c r="E8" s="21" t="n">
        <v>33.25</v>
      </c>
      <c r="F8" s="22" t="n">
        <v>220</v>
      </c>
      <c r="G8" s="22" t="n">
        <v>80</v>
      </c>
      <c r="H8" s="22" t="n">
        <v>30</v>
      </c>
      <c r="I8" s="7" t="s">
        <v>89</v>
      </c>
      <c r="J8" s="23" t="n">
        <f aca="false">E8*F8</f>
        <v>7315</v>
      </c>
      <c r="K8" s="24" t="n">
        <f aca="false">IF(H8&gt;0,F8/H8,"")</f>
        <v>7.33333333333333</v>
      </c>
      <c r="L8" s="7" t="str">
        <f aca="false">IF(I8="Yes",IF(F8&gt;0,"Discontinued - in stock","Discontinued"),IF(F8=0,IF(G8&gt;0,"Stock-out - on order","Stock-out"),IF(H8=0,"No reorder level",IF(K8&gt;=Assumptions!$B$4,"Overstock","OK"))))</f>
        <v>OK</v>
      </c>
      <c r="M8" s="7" t="str">
        <f aca="false">IF(COUNTIFS($A$2:$A$151,A8,$B$2:$B$151,B8,$C$2:$C$151,C8,$D$2:$D$151,D8,$E$2:$E$151,E8,$F$2:$F$151,F8,$G$2:$G$151,G8,$H$2:$H$151,H8,$I$2:$I$151,I8)&gt;1,IF(COUNTIFS($A$2:A8,A8,$B$2:B8,B8,$C$2:C8,C8,$D$2:D8,D8,$E$2:E8,E8,$F$2:F8,F8,$G$2:G8,G8,$H$2:H8,H8,$I$2:I8,I8)&gt;1,"Repeat","First"),"")</f>
        <v>First</v>
      </c>
      <c r="N8" s="7" t="str">
        <f aca="false">IF(E8&gt;QUARTILE($E$2:$E$151,3)+Assumptions!$B$5*(QUARTILE($E$2:$E$151,3)-QUARTILE($E$2:$E$151,1)),"Outlier","")</f>
        <v/>
      </c>
    </row>
    <row r="9" customFormat="false" ht="15" hidden="false" customHeight="false" outlineLevel="0" collapsed="false">
      <c r="A9" s="7" t="s">
        <v>22</v>
      </c>
      <c r="B9" s="20" t="n">
        <v>44581</v>
      </c>
      <c r="C9" s="7" t="s">
        <v>91</v>
      </c>
      <c r="D9" s="7" t="s">
        <v>88</v>
      </c>
      <c r="E9" s="21" t="n">
        <v>33.25</v>
      </c>
      <c r="F9" s="22" t="n">
        <v>220</v>
      </c>
      <c r="G9" s="22" t="n">
        <v>80</v>
      </c>
      <c r="H9" s="22" t="n">
        <v>30</v>
      </c>
      <c r="I9" s="7" t="s">
        <v>89</v>
      </c>
      <c r="J9" s="23" t="n">
        <f aca="false">E9*F9</f>
        <v>7315</v>
      </c>
      <c r="K9" s="24" t="n">
        <f aca="false">IF(H9&gt;0,F9/H9,"")</f>
        <v>7.33333333333333</v>
      </c>
      <c r="L9" s="7" t="str">
        <f aca="false">IF(I9="Yes",IF(F9&gt;0,"Discontinued - in stock","Discontinued"),IF(F9=0,IF(G9&gt;0,"Stock-out - on order","Stock-out"),IF(H9=0,"No reorder level",IF(K9&gt;=Assumptions!$B$4,"Overstock","OK"))))</f>
        <v>OK</v>
      </c>
      <c r="M9" s="7" t="str">
        <f aca="false">IF(COUNTIFS($A$2:$A$151,A9,$B$2:$B$151,B9,$C$2:$C$151,C9,$D$2:$D$151,D9,$E$2:$E$151,E9,$F$2:$F$151,F9,$G$2:$G$151,G9,$H$2:$H$151,H9,$I$2:$I$151,I9)&gt;1,IF(COUNTIFS($A$2:A9,A9,$B$2:B9,B9,$C$2:C9,C9,$D$2:D9,D9,$E$2:E9,E9,$F$2:F9,F9,$G$2:G9,G9,$H$2:H9,H9,$I$2:I9,I9)&gt;1,"Repeat","First"),"")</f>
        <v>Repeat</v>
      </c>
      <c r="N9" s="7" t="str">
        <f aca="false">IF(E9&gt;QUARTILE($E$2:$E$151,3)+Assumptions!$B$5*(QUARTILE($E$2:$E$151,3)-QUARTILE($E$2:$E$151,1)),"Outlier","")</f>
        <v/>
      </c>
    </row>
    <row r="10" customFormat="false" ht="15" hidden="false" customHeight="false" outlineLevel="0" collapsed="false">
      <c r="A10" s="7" t="s">
        <v>22</v>
      </c>
      <c r="B10" s="20" t="n">
        <v>44570</v>
      </c>
      <c r="C10" s="7" t="s">
        <v>87</v>
      </c>
      <c r="D10" s="7" t="s">
        <v>88</v>
      </c>
      <c r="E10" s="21" t="n">
        <v>38</v>
      </c>
      <c r="F10" s="22" t="n">
        <v>210</v>
      </c>
      <c r="G10" s="22" t="n">
        <v>10</v>
      </c>
      <c r="H10" s="22" t="n">
        <v>30</v>
      </c>
      <c r="I10" s="7" t="s">
        <v>89</v>
      </c>
      <c r="J10" s="23" t="n">
        <f aca="false">E10*F10</f>
        <v>7980</v>
      </c>
      <c r="K10" s="24" t="n">
        <f aca="false">IF(H10&gt;0,F10/H10,"")</f>
        <v>7</v>
      </c>
      <c r="L10" s="7" t="str">
        <f aca="false">IF(I10="Yes",IF(F10&gt;0,"Discontinued - in stock","Discontinued"),IF(F10=0,IF(G10&gt;0,"Stock-out - on order","Stock-out"),IF(H10=0,"No reorder level",IF(K10&gt;=Assumptions!$B$4,"Overstock","OK"))))</f>
        <v>OK</v>
      </c>
      <c r="M10" s="7" t="str">
        <f aca="false">IF(COUNTIFS($A$2:$A$151,A10,$B$2:$B$151,B10,$C$2:$C$151,C10,$D$2:$D$151,D10,$E$2:$E$151,E10,$F$2:$F$151,F10,$G$2:$G$151,G10,$H$2:$H$151,H10,$I$2:$I$151,I10)&gt;1,IF(COUNTIFS($A$2:A10,A10,$B$2:B10,B10,$C$2:C10,C10,$D$2:D10,D10,$E$2:E10,E10,$F$2:F10,F10,$G$2:G10,G10,$H$2:H10,H10,$I$2:I10,I10)&gt;1,"Repeat","First"),"")</f>
        <v/>
      </c>
      <c r="N10" s="7" t="str">
        <f aca="false">IF(E10&gt;QUARTILE($E$2:$E$151,3)+Assumptions!$B$5*(QUARTILE($E$2:$E$151,3)-QUARTILE($E$2:$E$151,1)),"Outlier","")</f>
        <v/>
      </c>
    </row>
    <row r="11" customFormat="false" ht="15" hidden="false" customHeight="false" outlineLevel="0" collapsed="false">
      <c r="A11" s="7" t="s">
        <v>22</v>
      </c>
      <c r="B11" s="20" t="n">
        <v>44570</v>
      </c>
      <c r="C11" s="7" t="s">
        <v>90</v>
      </c>
      <c r="D11" s="7" t="s">
        <v>88</v>
      </c>
      <c r="E11" s="21" t="n">
        <v>38</v>
      </c>
      <c r="F11" s="22" t="n">
        <v>210</v>
      </c>
      <c r="G11" s="22" t="n">
        <v>10</v>
      </c>
      <c r="H11" s="22" t="n">
        <v>30</v>
      </c>
      <c r="I11" s="7" t="s">
        <v>89</v>
      </c>
      <c r="J11" s="23" t="n">
        <f aca="false">E11*F11</f>
        <v>7980</v>
      </c>
      <c r="K11" s="24" t="n">
        <f aca="false">IF(H11&gt;0,F11/H11,"")</f>
        <v>7</v>
      </c>
      <c r="L11" s="7" t="str">
        <f aca="false">IF(I11="Yes",IF(F11&gt;0,"Discontinued - in stock","Discontinued"),IF(F11=0,IF(G11&gt;0,"Stock-out - on order","Stock-out"),IF(H11=0,"No reorder level",IF(K11&gt;=Assumptions!$B$4,"Overstock","OK"))))</f>
        <v>OK</v>
      </c>
      <c r="M11" s="7" t="str">
        <f aca="false">IF(COUNTIFS($A$2:$A$151,A11,$B$2:$B$151,B11,$C$2:$C$151,C11,$D$2:$D$151,D11,$E$2:$E$151,E11,$F$2:$F$151,F11,$G$2:$G$151,G11,$H$2:$H$151,H11,$I$2:$I$151,I11)&gt;1,IF(COUNTIFS($A$2:A11,A11,$B$2:B11,B11,$C$2:C11,C11,$D$2:D11,D11,$E$2:E11,E11,$F$2:F11,F11,$G$2:G11,G11,$H$2:H11,H11,$I$2:I11,I11)&gt;1,"Repeat","First"),"")</f>
        <v/>
      </c>
      <c r="N11" s="7" t="str">
        <f aca="false">IF(E11&gt;QUARTILE($E$2:$E$151,3)+Assumptions!$B$5*(QUARTILE($E$2:$E$151,3)-QUARTILE($E$2:$E$151,1)),"Outlier","")</f>
        <v/>
      </c>
    </row>
    <row r="12" customFormat="false" ht="15" hidden="false" customHeight="false" outlineLevel="0" collapsed="false">
      <c r="A12" s="7" t="s">
        <v>14</v>
      </c>
      <c r="B12" s="20" t="n">
        <v>46298</v>
      </c>
      <c r="C12" s="7" t="s">
        <v>93</v>
      </c>
      <c r="D12" s="7" t="s">
        <v>94</v>
      </c>
      <c r="E12" s="21" t="n">
        <v>7.75</v>
      </c>
      <c r="F12" s="22" t="n">
        <v>1250</v>
      </c>
      <c r="G12" s="22" t="n">
        <v>0</v>
      </c>
      <c r="H12" s="22" t="n">
        <v>25</v>
      </c>
      <c r="I12" s="7" t="s">
        <v>89</v>
      </c>
      <c r="J12" s="23" t="n">
        <f aca="false">E12*F12</f>
        <v>9687.5</v>
      </c>
      <c r="K12" s="24" t="n">
        <f aca="false">IF(H12&gt;0,F12/H12,"")</f>
        <v>50</v>
      </c>
      <c r="L12" s="7" t="str">
        <f aca="false">IF(I12="Yes",IF(F12&gt;0,"Discontinued - in stock","Discontinued"),IF(F12=0,IF(G12&gt;0,"Stock-out - on order","Stock-out"),IF(H12=0,"No reorder level",IF(K12&gt;=Assumptions!$B$4,"Overstock","OK"))))</f>
        <v>Overstock</v>
      </c>
      <c r="M12" s="7" t="str">
        <f aca="false">IF(COUNTIFS($A$2:$A$151,A12,$B$2:$B$151,B12,$C$2:$C$151,C12,$D$2:$D$151,D12,$E$2:$E$151,E12,$F$2:$F$151,F12,$G$2:$G$151,G12,$H$2:$H$151,H12,$I$2:$I$151,I12)&gt;1,IF(COUNTIFS($A$2:A12,A12,$B$2:B12,B12,$C$2:C12,C12,$D$2:D12,D12,$E$2:E12,E12,$F$2:F12,F12,$G$2:G12,G12,$H$2:H12,H12,$I$2:I12,I12)&gt;1,"Repeat","First"),"")</f>
        <v/>
      </c>
      <c r="N12" s="7" t="str">
        <f aca="false">IF(E12&gt;QUARTILE($E$2:$E$151,3)+Assumptions!$B$5*(QUARTILE($E$2:$E$151,3)-QUARTILE($E$2:$E$151,1)),"Outlier","")</f>
        <v/>
      </c>
    </row>
    <row r="13" customFormat="false" ht="15" hidden="false" customHeight="false" outlineLevel="0" collapsed="false">
      <c r="A13" s="7" t="s">
        <v>14</v>
      </c>
      <c r="B13" s="20" t="n">
        <v>46298</v>
      </c>
      <c r="C13" s="7" t="s">
        <v>95</v>
      </c>
      <c r="D13" s="7" t="s">
        <v>94</v>
      </c>
      <c r="E13" s="21" t="n">
        <v>7.75</v>
      </c>
      <c r="F13" s="22" t="n">
        <v>1250</v>
      </c>
      <c r="G13" s="22" t="n">
        <v>0</v>
      </c>
      <c r="H13" s="22" t="n">
        <v>25</v>
      </c>
      <c r="I13" s="7" t="s">
        <v>89</v>
      </c>
      <c r="J13" s="23" t="n">
        <f aca="false">E13*F13</f>
        <v>9687.5</v>
      </c>
      <c r="K13" s="24" t="n">
        <f aca="false">IF(H13&gt;0,F13/H13,"")</f>
        <v>50</v>
      </c>
      <c r="L13" s="7" t="str">
        <f aca="false">IF(I13="Yes",IF(F13&gt;0,"Discontinued - in stock","Discontinued"),IF(F13=0,IF(G13&gt;0,"Stock-out - on order","Stock-out"),IF(H13=0,"No reorder level",IF(K13&gt;=Assumptions!$B$4,"Overstock","OK"))))</f>
        <v>Overstock</v>
      </c>
      <c r="M13" s="7" t="str">
        <f aca="false">IF(COUNTIFS($A$2:$A$151,A13,$B$2:$B$151,B13,$C$2:$C$151,C13,$D$2:$D$151,D13,$E$2:$E$151,E13,$F$2:$F$151,F13,$G$2:$G$151,G13,$H$2:$H$151,H13,$I$2:$I$151,I13)&gt;1,IF(COUNTIFS($A$2:A13,A13,$B$2:B13,B13,$C$2:C13,C13,$D$2:D13,D13,$E$2:E13,E13,$F$2:F13,F13,$G$2:G13,G13,$H$2:H13,H13,$I$2:I13,I13)&gt;1,"Repeat","First"),"")</f>
        <v/>
      </c>
      <c r="N13" s="7" t="str">
        <f aca="false">IF(E13&gt;QUARTILE($E$2:$E$151,3)+Assumptions!$B$5*(QUARTILE($E$2:$E$151,3)-QUARTILE($E$2:$E$151,1)),"Outlier","")</f>
        <v/>
      </c>
    </row>
    <row r="14" customFormat="false" ht="15" hidden="false" customHeight="false" outlineLevel="0" collapsed="false">
      <c r="A14" s="7" t="s">
        <v>14</v>
      </c>
      <c r="B14" s="20" t="n">
        <v>44439</v>
      </c>
      <c r="C14" s="7" t="s">
        <v>96</v>
      </c>
      <c r="D14" s="7" t="s">
        <v>94</v>
      </c>
      <c r="E14" s="21" t="n">
        <v>28.5</v>
      </c>
      <c r="F14" s="22" t="n">
        <v>1130</v>
      </c>
      <c r="G14" s="22" t="n">
        <v>0</v>
      </c>
      <c r="H14" s="22" t="n">
        <v>25</v>
      </c>
      <c r="I14" s="7" t="s">
        <v>89</v>
      </c>
      <c r="J14" s="23" t="n">
        <f aca="false">E14*F14</f>
        <v>32205</v>
      </c>
      <c r="K14" s="24" t="n">
        <f aca="false">IF(H14&gt;0,F14/H14,"")</f>
        <v>45.2</v>
      </c>
      <c r="L14" s="7" t="str">
        <f aca="false">IF(I14="Yes",IF(F14&gt;0,"Discontinued - in stock","Discontinued"),IF(F14=0,IF(G14&gt;0,"Stock-out - on order","Stock-out"),IF(H14=0,"No reorder level",IF(K14&gt;=Assumptions!$B$4,"Overstock","OK"))))</f>
        <v>Overstock</v>
      </c>
      <c r="M14" s="7" t="str">
        <f aca="false">IF(COUNTIFS($A$2:$A$151,A14,$B$2:$B$151,B14,$C$2:$C$151,C14,$D$2:$D$151,D14,$E$2:$E$151,E14,$F$2:$F$151,F14,$G$2:$G$151,G14,$H$2:$H$151,H14,$I$2:$I$151,I14)&gt;1,IF(COUNTIFS($A$2:A14,A14,$B$2:B14,B14,$C$2:C14,C14,$D$2:D14,D14,$E$2:E14,E14,$F$2:F14,F14,$G$2:G14,G14,$H$2:H14,H14,$I$2:I14,I14)&gt;1,"Repeat","First"),"")</f>
        <v/>
      </c>
      <c r="N14" s="7" t="str">
        <f aca="false">IF(E14&gt;QUARTILE($E$2:$E$151,3)+Assumptions!$B$5*(QUARTILE($E$2:$E$151,3)-QUARTILE($E$2:$E$151,1)),"Outlier","")</f>
        <v/>
      </c>
    </row>
    <row r="15" customFormat="false" ht="15" hidden="false" customHeight="false" outlineLevel="0" collapsed="false">
      <c r="A15" s="7" t="s">
        <v>14</v>
      </c>
      <c r="B15" s="20" t="n">
        <v>44439</v>
      </c>
      <c r="C15" s="7" t="s">
        <v>97</v>
      </c>
      <c r="D15" s="7" t="s">
        <v>94</v>
      </c>
      <c r="E15" s="21" t="n">
        <v>28.5</v>
      </c>
      <c r="F15" s="22" t="n">
        <v>1130</v>
      </c>
      <c r="G15" s="22" t="n">
        <v>0</v>
      </c>
      <c r="H15" s="22" t="n">
        <v>25</v>
      </c>
      <c r="I15" s="7" t="s">
        <v>89</v>
      </c>
      <c r="J15" s="23" t="n">
        <f aca="false">E15*F15</f>
        <v>32205</v>
      </c>
      <c r="K15" s="24" t="n">
        <f aca="false">IF(H15&gt;0,F15/H15,"")</f>
        <v>45.2</v>
      </c>
      <c r="L15" s="7" t="str">
        <f aca="false">IF(I15="Yes",IF(F15&gt;0,"Discontinued - in stock","Discontinued"),IF(F15=0,IF(G15&gt;0,"Stock-out - on order","Stock-out"),IF(H15=0,"No reorder level",IF(K15&gt;=Assumptions!$B$4,"Overstock","OK"))))</f>
        <v>Overstock</v>
      </c>
      <c r="M15" s="7" t="str">
        <f aca="false">IF(COUNTIFS($A$2:$A$151,A15,$B$2:$B$151,B15,$C$2:$C$151,C15,$D$2:$D$151,D15,$E$2:$E$151,E15,$F$2:$F$151,F15,$G$2:$G$151,G15,$H$2:$H$151,H15,$I$2:$I$151,I15)&gt;1,IF(COUNTIFS($A$2:A15,A15,$B$2:B15,B15,$C$2:C15,C15,$D$2:D15,D15,$E$2:E15,E15,$F$2:F15,F15,$G$2:G15,G15,$H$2:H15,H15,$I$2:I15,I15)&gt;1,"Repeat","First"),"")</f>
        <v/>
      </c>
      <c r="N15" s="7" t="str">
        <f aca="false">IF(E15&gt;QUARTILE($E$2:$E$151,3)+Assumptions!$B$5*(QUARTILE($E$2:$E$151,3)-QUARTILE($E$2:$E$151,1)),"Outlier","")</f>
        <v/>
      </c>
    </row>
    <row r="16" customFormat="false" ht="15" hidden="false" customHeight="false" outlineLevel="0" collapsed="false">
      <c r="A16" s="7" t="s">
        <v>14</v>
      </c>
      <c r="B16" s="20" t="n">
        <v>44367</v>
      </c>
      <c r="C16" s="7" t="s">
        <v>98</v>
      </c>
      <c r="D16" s="7" t="s">
        <v>94</v>
      </c>
      <c r="E16" s="21" t="n">
        <v>14</v>
      </c>
      <c r="F16" s="22" t="n">
        <v>1110</v>
      </c>
      <c r="G16" s="22" t="n">
        <v>0</v>
      </c>
      <c r="H16" s="22" t="n">
        <v>15</v>
      </c>
      <c r="I16" s="7" t="s">
        <v>89</v>
      </c>
      <c r="J16" s="23" t="n">
        <f aca="false">E16*F16</f>
        <v>15540</v>
      </c>
      <c r="K16" s="24" t="n">
        <f aca="false">IF(H16&gt;0,F16/H16,"")</f>
        <v>74</v>
      </c>
      <c r="L16" s="7" t="str">
        <f aca="false">IF(I16="Yes",IF(F16&gt;0,"Discontinued - in stock","Discontinued"),IF(F16=0,IF(G16&gt;0,"Stock-out - on order","Stock-out"),IF(H16=0,"No reorder level",IF(K16&gt;=Assumptions!$B$4,"Overstock","OK"))))</f>
        <v>Overstock</v>
      </c>
      <c r="M16" s="7" t="str">
        <f aca="false">IF(COUNTIFS($A$2:$A$151,A16,$B$2:$B$151,B16,$C$2:$C$151,C16,$D$2:$D$151,D16,$E$2:$E$151,E16,$F$2:$F$151,F16,$G$2:$G$151,G16,$H$2:$H$151,H16,$I$2:$I$151,I16)&gt;1,IF(COUNTIFS($A$2:A16,A16,$B$2:B16,B16,$C$2:C16,C16,$D$2:D16,D16,$E$2:E16,E16,$F$2:F16,F16,$G$2:G16,G16,$H$2:H16,H16,$I$2:I16,I16)&gt;1,"Repeat","First"),"")</f>
        <v/>
      </c>
      <c r="N16" s="7" t="str">
        <f aca="false">IF(E16&gt;QUARTILE($E$2:$E$151,3)+Assumptions!$B$5*(QUARTILE($E$2:$E$151,3)-QUARTILE($E$2:$E$151,1)),"Outlier","")</f>
        <v/>
      </c>
    </row>
    <row r="17" customFormat="false" ht="15" hidden="false" customHeight="false" outlineLevel="0" collapsed="false">
      <c r="A17" s="7" t="s">
        <v>14</v>
      </c>
      <c r="B17" s="20" t="n">
        <v>44367</v>
      </c>
      <c r="C17" s="7" t="s">
        <v>95</v>
      </c>
      <c r="D17" s="7" t="s">
        <v>94</v>
      </c>
      <c r="E17" s="21" t="n">
        <v>14</v>
      </c>
      <c r="F17" s="22" t="n">
        <v>1110</v>
      </c>
      <c r="G17" s="22" t="n">
        <v>0</v>
      </c>
      <c r="H17" s="22" t="n">
        <v>15</v>
      </c>
      <c r="I17" s="7" t="s">
        <v>89</v>
      </c>
      <c r="J17" s="23" t="n">
        <f aca="false">E17*F17</f>
        <v>15540</v>
      </c>
      <c r="K17" s="24" t="n">
        <f aca="false">IF(H17&gt;0,F17/H17,"")</f>
        <v>74</v>
      </c>
      <c r="L17" s="7" t="str">
        <f aca="false">IF(I17="Yes",IF(F17&gt;0,"Discontinued - in stock","Discontinued"),IF(F17=0,IF(G17&gt;0,"Stock-out - on order","Stock-out"),IF(H17=0,"No reorder level",IF(K17&gt;=Assumptions!$B$4,"Overstock","OK"))))</f>
        <v>Overstock</v>
      </c>
      <c r="M17" s="7" t="str">
        <f aca="false">IF(COUNTIFS($A$2:$A$151,A17,$B$2:$B$151,B17,$C$2:$C$151,C17,$D$2:$D$151,D17,$E$2:$E$151,E17,$F$2:$F$151,F17,$G$2:$G$151,G17,$H$2:$H$151,H17,$I$2:$I$151,I17)&gt;1,IF(COUNTIFS($A$2:A17,A17,$B$2:B17,B17,$C$2:C17,C17,$D$2:D17,D17,$E$2:E17,E17,$F$2:F17,F17,$G$2:G17,G17,$H$2:H17,H17,$I$2:I17,I17)&gt;1,"Repeat","First"),"")</f>
        <v/>
      </c>
      <c r="N17" s="7" t="str">
        <f aca="false">IF(E17&gt;QUARTILE($E$2:$E$151,3)+Assumptions!$B$5*(QUARTILE($E$2:$E$151,3)-QUARTILE($E$2:$E$151,1)),"Outlier","")</f>
        <v/>
      </c>
    </row>
    <row r="18" customFormat="false" ht="15" hidden="false" customHeight="false" outlineLevel="0" collapsed="false">
      <c r="A18" s="7" t="s">
        <v>14</v>
      </c>
      <c r="B18" s="20" t="n">
        <v>44544</v>
      </c>
      <c r="C18" s="7" t="s">
        <v>96</v>
      </c>
      <c r="D18" s="7" t="s">
        <v>94</v>
      </c>
      <c r="E18" s="21" t="n">
        <v>14</v>
      </c>
      <c r="F18" s="22" t="n">
        <v>760</v>
      </c>
      <c r="G18" s="22" t="n">
        <v>0</v>
      </c>
      <c r="H18" s="22" t="n">
        <v>30</v>
      </c>
      <c r="I18" s="7" t="s">
        <v>89</v>
      </c>
      <c r="J18" s="23" t="n">
        <f aca="false">E18*F18</f>
        <v>10640</v>
      </c>
      <c r="K18" s="24" t="n">
        <f aca="false">IF(H18&gt;0,F18/H18,"")</f>
        <v>25.3333333333333</v>
      </c>
      <c r="L18" s="7" t="str">
        <f aca="false">IF(I18="Yes",IF(F18&gt;0,"Discontinued - in stock","Discontinued"),IF(F18=0,IF(G18&gt;0,"Stock-out - on order","Stock-out"),IF(H18=0,"No reorder level",IF(K18&gt;=Assumptions!$B$4,"Overstock","OK"))))</f>
        <v>Overstock</v>
      </c>
      <c r="M18" s="7" t="str">
        <f aca="false">IF(COUNTIFS($A$2:$A$151,A18,$B$2:$B$151,B18,$C$2:$C$151,C18,$D$2:$D$151,D18,$E$2:$E$151,E18,$F$2:$F$151,F18,$G$2:$G$151,G18,$H$2:$H$151,H18,$I$2:$I$151,I18)&gt;1,IF(COUNTIFS($A$2:A18,A18,$B$2:B18,B18,$C$2:C18,C18,$D$2:D18,D18,$E$2:E18,E18,$F$2:F18,F18,$G$2:G18,G18,$H$2:H18,H18,$I$2:I18,I18)&gt;1,"Repeat","First"),"")</f>
        <v>First</v>
      </c>
      <c r="N18" s="7" t="str">
        <f aca="false">IF(E18&gt;QUARTILE($E$2:$E$151,3)+Assumptions!$B$5*(QUARTILE($E$2:$E$151,3)-QUARTILE($E$2:$E$151,1)),"Outlier","")</f>
        <v/>
      </c>
    </row>
    <row r="19" customFormat="false" ht="15" hidden="false" customHeight="false" outlineLevel="0" collapsed="false">
      <c r="A19" s="7" t="s">
        <v>14</v>
      </c>
      <c r="B19" s="20" t="n">
        <v>44544</v>
      </c>
      <c r="C19" s="7" t="s">
        <v>96</v>
      </c>
      <c r="D19" s="7" t="s">
        <v>94</v>
      </c>
      <c r="E19" s="21" t="n">
        <v>14</v>
      </c>
      <c r="F19" s="22" t="n">
        <v>760</v>
      </c>
      <c r="G19" s="22" t="n">
        <v>0</v>
      </c>
      <c r="H19" s="22" t="n">
        <v>30</v>
      </c>
      <c r="I19" s="7" t="s">
        <v>89</v>
      </c>
      <c r="J19" s="23" t="n">
        <f aca="false">E19*F19</f>
        <v>10640</v>
      </c>
      <c r="K19" s="24" t="n">
        <f aca="false">IF(H19&gt;0,F19/H19,"")</f>
        <v>25.3333333333333</v>
      </c>
      <c r="L19" s="7" t="str">
        <f aca="false">IF(I19="Yes",IF(F19&gt;0,"Discontinued - in stock","Discontinued"),IF(F19=0,IF(G19&gt;0,"Stock-out - on order","Stock-out"),IF(H19=0,"No reorder level",IF(K19&gt;=Assumptions!$B$4,"Overstock","OK"))))</f>
        <v>Overstock</v>
      </c>
      <c r="M19" s="7" t="str">
        <f aca="false">IF(COUNTIFS($A$2:$A$151,A19,$B$2:$B$151,B19,$C$2:$C$151,C19,$D$2:$D$151,D19,$E$2:$E$151,E19,$F$2:$F$151,F19,$G$2:$G$151,G19,$H$2:$H$151,H19,$I$2:$I$151,I19)&gt;1,IF(COUNTIFS($A$2:A19,A19,$B$2:B19,B19,$C$2:C19,C19,$D$2:D19,D19,$E$2:E19,E19,$F$2:F19,F19,$G$2:G19,G19,$H$2:H19,H19,$I$2:I19,I19)&gt;1,"Repeat","First"),"")</f>
        <v>Repeat</v>
      </c>
      <c r="N19" s="7" t="str">
        <f aca="false">IF(E19&gt;QUARTILE($E$2:$E$151,3)+Assumptions!$B$5*(QUARTILE($E$2:$E$151,3)-QUARTILE($E$2:$E$151,1)),"Outlier","")</f>
        <v/>
      </c>
    </row>
    <row r="20" customFormat="false" ht="15" hidden="false" customHeight="false" outlineLevel="0" collapsed="false">
      <c r="A20" s="7" t="s">
        <v>14</v>
      </c>
      <c r="B20" s="20" t="n">
        <v>46291</v>
      </c>
      <c r="C20" s="7" t="s">
        <v>98</v>
      </c>
      <c r="D20" s="7" t="s">
        <v>94</v>
      </c>
      <c r="E20" s="21" t="n">
        <v>21.05</v>
      </c>
      <c r="F20" s="22" t="n">
        <v>760</v>
      </c>
      <c r="G20" s="22" t="n">
        <v>0</v>
      </c>
      <c r="H20" s="22" t="n">
        <v>0</v>
      </c>
      <c r="I20" s="7" t="s">
        <v>89</v>
      </c>
      <c r="J20" s="23" t="n">
        <f aca="false">E20*F20</f>
        <v>15998</v>
      </c>
      <c r="K20" s="24" t="str">
        <f aca="false">IF(H20&gt;0,F20/H20,"")</f>
        <v/>
      </c>
      <c r="L20" s="7" t="str">
        <f aca="false">IF(I20="Yes",IF(F20&gt;0,"Discontinued - in stock","Discontinued"),IF(F20=0,IF(G20&gt;0,"Stock-out - on order","Stock-out"),IF(H20=0,"No reorder level",IF(K20&gt;=Assumptions!$B$4,"Overstock","OK"))))</f>
        <v>No reorder level</v>
      </c>
      <c r="M20" s="7" t="str">
        <f aca="false">IF(COUNTIFS($A$2:$A$151,A20,$B$2:$B$151,B20,$C$2:$C$151,C20,$D$2:$D$151,D20,$E$2:$E$151,E20,$F$2:$F$151,F20,$G$2:$G$151,G20,$H$2:$H$151,H20,$I$2:$I$151,I20)&gt;1,IF(COUNTIFS($A$2:A20,A20,$B$2:B20,B20,$C$2:C20,C20,$D$2:D20,D20,$E$2:E20,E20,$F$2:F20,F20,$G$2:G20,G20,$H$2:H20,H20,$I$2:I20,I20)&gt;1,"Repeat","First"),"")</f>
        <v/>
      </c>
      <c r="N20" s="7" t="str">
        <f aca="false">IF(E20&gt;QUARTILE($E$2:$E$151,3)+Assumptions!$B$5*(QUARTILE($E$2:$E$151,3)-QUARTILE($E$2:$E$151,1)),"Outlier","")</f>
        <v/>
      </c>
    </row>
    <row r="21" customFormat="false" ht="15" hidden="false" customHeight="false" outlineLevel="0" collapsed="false">
      <c r="A21" s="7" t="s">
        <v>14</v>
      </c>
      <c r="B21" s="20" t="n">
        <v>46291</v>
      </c>
      <c r="C21" s="7" t="s">
        <v>95</v>
      </c>
      <c r="D21" s="7" t="s">
        <v>94</v>
      </c>
      <c r="E21" s="21" t="n">
        <v>21.05</v>
      </c>
      <c r="F21" s="22" t="n">
        <v>760</v>
      </c>
      <c r="G21" s="22" t="n">
        <v>0</v>
      </c>
      <c r="H21" s="22" t="n">
        <v>0</v>
      </c>
      <c r="I21" s="7" t="s">
        <v>89</v>
      </c>
      <c r="J21" s="23" t="n">
        <f aca="false">E21*F21</f>
        <v>15998</v>
      </c>
      <c r="K21" s="24" t="str">
        <f aca="false">IF(H21&gt;0,F21/H21,"")</f>
        <v/>
      </c>
      <c r="L21" s="7" t="str">
        <f aca="false">IF(I21="Yes",IF(F21&gt;0,"Discontinued - in stock","Discontinued"),IF(F21=0,IF(G21&gt;0,"Stock-out - on order","Stock-out"),IF(H21=0,"No reorder level",IF(K21&gt;=Assumptions!$B$4,"Overstock","OK"))))</f>
        <v>No reorder level</v>
      </c>
      <c r="M21" s="7" t="str">
        <f aca="false">IF(COUNTIFS($A$2:$A$151,A21,$B$2:$B$151,B21,$C$2:$C$151,C21,$D$2:$D$151,D21,$E$2:$E$151,E21,$F$2:$F$151,F21,$G$2:$G$151,G21,$H$2:$H$151,H21,$I$2:$I$151,I21)&gt;1,IF(COUNTIFS($A$2:A21,A21,$B$2:B21,B21,$C$2:C21,C21,$D$2:D21,D21,$E$2:E21,E21,$F$2:F21,F21,$G$2:G21,G21,$H$2:H21,H21,$I$2:I21,I21)&gt;1,"Repeat","First"),"")</f>
        <v/>
      </c>
      <c r="N21" s="7" t="str">
        <f aca="false">IF(E21&gt;QUARTILE($E$2:$E$151,3)+Assumptions!$B$5*(QUARTILE($E$2:$E$151,3)-QUARTILE($E$2:$E$151,1)),"Outlier","")</f>
        <v/>
      </c>
    </row>
    <row r="22" customFormat="false" ht="15" hidden="false" customHeight="false" outlineLevel="0" collapsed="false">
      <c r="A22" s="7" t="s">
        <v>14</v>
      </c>
      <c r="B22" s="20" t="n">
        <v>44359</v>
      </c>
      <c r="C22" s="7" t="s">
        <v>93</v>
      </c>
      <c r="D22" s="7" t="s">
        <v>94</v>
      </c>
      <c r="E22" s="21" t="n">
        <v>18</v>
      </c>
      <c r="F22" s="22" t="n">
        <v>690</v>
      </c>
      <c r="G22" s="22" t="n">
        <v>0</v>
      </c>
      <c r="H22" s="22" t="n">
        <v>5</v>
      </c>
      <c r="I22" s="7" t="s">
        <v>89</v>
      </c>
      <c r="J22" s="23" t="n">
        <f aca="false">E22*F22</f>
        <v>12420</v>
      </c>
      <c r="K22" s="24" t="n">
        <f aca="false">IF(H22&gt;0,F22/H22,"")</f>
        <v>138</v>
      </c>
      <c r="L22" s="7" t="str">
        <f aca="false">IF(I22="Yes",IF(F22&gt;0,"Discontinued - in stock","Discontinued"),IF(F22=0,IF(G22&gt;0,"Stock-out - on order","Stock-out"),IF(H22=0,"No reorder level",IF(K22&gt;=Assumptions!$B$4,"Overstock","OK"))))</f>
        <v>Overstock</v>
      </c>
      <c r="M22" s="7" t="str">
        <f aca="false">IF(COUNTIFS($A$2:$A$151,A22,$B$2:$B$151,B22,$C$2:$C$151,C22,$D$2:$D$151,D22,$E$2:$E$151,E22,$F$2:$F$151,F22,$G$2:$G$151,G22,$H$2:$H$151,H22,$I$2:$I$151,I22)&gt;1,IF(COUNTIFS($A$2:A22,A22,$B$2:B22,B22,$C$2:C22,C22,$D$2:D22,D22,$E$2:E22,E22,$F$2:F22,F22,$G$2:G22,G22,$H$2:H22,H22,$I$2:I22,I22)&gt;1,"Repeat","First"),"")</f>
        <v/>
      </c>
      <c r="N22" s="7" t="str">
        <f aca="false">IF(E22&gt;QUARTILE($E$2:$E$151,3)+Assumptions!$B$5*(QUARTILE($E$2:$E$151,3)-QUARTILE($E$2:$E$151,1)),"Outlier","")</f>
        <v/>
      </c>
    </row>
    <row r="23" customFormat="false" ht="15" hidden="false" customHeight="false" outlineLevel="0" collapsed="false">
      <c r="A23" s="7" t="s">
        <v>14</v>
      </c>
      <c r="B23" s="20" t="n">
        <v>44359</v>
      </c>
      <c r="C23" s="7" t="s">
        <v>99</v>
      </c>
      <c r="D23" s="7" t="s">
        <v>94</v>
      </c>
      <c r="E23" s="21" t="n">
        <v>18</v>
      </c>
      <c r="F23" s="22" t="n">
        <v>690</v>
      </c>
      <c r="G23" s="22" t="n">
        <v>0</v>
      </c>
      <c r="H23" s="22" t="n">
        <v>5</v>
      </c>
      <c r="I23" s="7" t="s">
        <v>89</v>
      </c>
      <c r="J23" s="23" t="n">
        <f aca="false">E23*F23</f>
        <v>12420</v>
      </c>
      <c r="K23" s="24" t="n">
        <f aca="false">IF(H23&gt;0,F23/H23,"")</f>
        <v>138</v>
      </c>
      <c r="L23" s="7" t="str">
        <f aca="false">IF(I23="Yes",IF(F23&gt;0,"Discontinued - in stock","Discontinued"),IF(F23=0,IF(G23&gt;0,"Stock-out - on order","Stock-out"),IF(H23=0,"No reorder level",IF(K23&gt;=Assumptions!$B$4,"Overstock","OK"))))</f>
        <v>Overstock</v>
      </c>
      <c r="M23" s="7" t="str">
        <f aca="false">IF(COUNTIFS($A$2:$A$151,A23,$B$2:$B$151,B23,$C$2:$C$151,C23,$D$2:$D$151,D23,$E$2:$E$151,E23,$F$2:$F$151,F23,$G$2:$G$151,G23,$H$2:$H$151,H23,$I$2:$I$151,I23)&gt;1,IF(COUNTIFS($A$2:A23,A23,$B$2:B23,B23,$C$2:C23,C23,$D$2:D23,D23,$E$2:E23,E23,$F$2:F23,F23,$G$2:G23,G23,$H$2:H23,H23,$I$2:I23,I23)&gt;1,"Repeat","First"),"")</f>
        <v/>
      </c>
      <c r="N23" s="7" t="str">
        <f aca="false">IF(E23&gt;QUARTILE($E$2:$E$151,3)+Assumptions!$B$5*(QUARTILE($E$2:$E$151,3)-QUARTILE($E$2:$E$151,1)),"Outlier","")</f>
        <v/>
      </c>
    </row>
    <row r="24" customFormat="false" ht="15" hidden="false" customHeight="false" outlineLevel="0" collapsed="false">
      <c r="A24" s="7" t="s">
        <v>14</v>
      </c>
      <c r="B24" s="20" t="n">
        <v>46307</v>
      </c>
      <c r="C24" s="7" t="s">
        <v>98</v>
      </c>
      <c r="D24" s="7" t="s">
        <v>94</v>
      </c>
      <c r="E24" s="21" t="n">
        <v>16.25</v>
      </c>
      <c r="F24" s="22" t="n">
        <v>650</v>
      </c>
      <c r="G24" s="22" t="n">
        <v>0</v>
      </c>
      <c r="H24" s="22" t="n">
        <v>30</v>
      </c>
      <c r="I24" s="7" t="s">
        <v>89</v>
      </c>
      <c r="J24" s="23" t="n">
        <f aca="false">E24*F24</f>
        <v>10562.5</v>
      </c>
      <c r="K24" s="24" t="n">
        <f aca="false">IF(H24&gt;0,F24/H24,"")</f>
        <v>21.6666666666667</v>
      </c>
      <c r="L24" s="7" t="str">
        <f aca="false">IF(I24="Yes",IF(F24&gt;0,"Discontinued - in stock","Discontinued"),IF(F24=0,IF(G24&gt;0,"Stock-out - on order","Stock-out"),IF(H24=0,"No reorder level",IF(K24&gt;=Assumptions!$B$4,"Overstock","OK"))))</f>
        <v>Overstock</v>
      </c>
      <c r="M24" s="7" t="str">
        <f aca="false">IF(COUNTIFS($A$2:$A$151,A24,$B$2:$B$151,B24,$C$2:$C$151,C24,$D$2:$D$151,D24,$E$2:$E$151,E24,$F$2:$F$151,F24,$G$2:$G$151,G24,$H$2:$H$151,H24,$I$2:$I$151,I24)&gt;1,IF(COUNTIFS($A$2:A24,A24,$B$2:B24,B24,$C$2:C24,C24,$D$2:D24,D24,$E$2:E24,E24,$F$2:F24,F24,$G$2:G24,G24,$H$2:H24,H24,$I$2:I24,I24)&gt;1,"Repeat","First"),"")</f>
        <v>First</v>
      </c>
      <c r="N24" s="7" t="str">
        <f aca="false">IF(E24&gt;QUARTILE($E$2:$E$151,3)+Assumptions!$B$5*(QUARTILE($E$2:$E$151,3)-QUARTILE($E$2:$E$151,1)),"Outlier","")</f>
        <v/>
      </c>
    </row>
    <row r="25" customFormat="false" ht="15" hidden="false" customHeight="false" outlineLevel="0" collapsed="false">
      <c r="A25" s="7" t="s">
        <v>14</v>
      </c>
      <c r="B25" s="20" t="n">
        <v>46307</v>
      </c>
      <c r="C25" s="7" t="s">
        <v>98</v>
      </c>
      <c r="D25" s="7" t="s">
        <v>94</v>
      </c>
      <c r="E25" s="21" t="n">
        <v>16.25</v>
      </c>
      <c r="F25" s="22" t="n">
        <v>650</v>
      </c>
      <c r="G25" s="22" t="n">
        <v>0</v>
      </c>
      <c r="H25" s="22" t="n">
        <v>30</v>
      </c>
      <c r="I25" s="7" t="s">
        <v>89</v>
      </c>
      <c r="J25" s="23" t="n">
        <f aca="false">E25*F25</f>
        <v>10562.5</v>
      </c>
      <c r="K25" s="24" t="n">
        <f aca="false">IF(H25&gt;0,F25/H25,"")</f>
        <v>21.6666666666667</v>
      </c>
      <c r="L25" s="7" t="str">
        <f aca="false">IF(I25="Yes",IF(F25&gt;0,"Discontinued - in stock","Discontinued"),IF(F25=0,IF(G25&gt;0,"Stock-out - on order","Stock-out"),IF(H25=0,"No reorder level",IF(K25&gt;=Assumptions!$B$4,"Overstock","OK"))))</f>
        <v>Overstock</v>
      </c>
      <c r="M25" s="7" t="str">
        <f aca="false">IF(COUNTIFS($A$2:$A$151,A25,$B$2:$B$151,B25,$C$2:$C$151,C25,$D$2:$D$151,D25,$E$2:$E$151,E25,$F$2:$F$151,F25,$G$2:$G$151,G25,$H$2:$H$151,H25,$I$2:$I$151,I25)&gt;1,IF(COUNTIFS($A$2:A25,A25,$B$2:B25,B25,$C$2:C25,C25,$D$2:D25,D25,$E$2:E25,E25,$F$2:F25,F25,$G$2:G25,G25,$H$2:H25,H25,$I$2:I25,I25)&gt;1,"Repeat","First"),"")</f>
        <v>Repeat</v>
      </c>
      <c r="N25" s="7" t="str">
        <f aca="false">IF(E25&gt;QUARTILE($E$2:$E$151,3)+Assumptions!$B$5*(QUARTILE($E$2:$E$151,3)-QUARTILE($E$2:$E$151,1)),"Outlier","")</f>
        <v/>
      </c>
    </row>
    <row r="26" customFormat="false" ht="15" hidden="false" customHeight="false" outlineLevel="0" collapsed="false">
      <c r="A26" s="7" t="s">
        <v>14</v>
      </c>
      <c r="B26" s="20" t="n">
        <v>46265</v>
      </c>
      <c r="C26" s="7" t="s">
        <v>93</v>
      </c>
      <c r="D26" s="7" t="s">
        <v>94</v>
      </c>
      <c r="E26" s="21" t="n">
        <v>18</v>
      </c>
      <c r="F26" s="22" t="n">
        <v>570</v>
      </c>
      <c r="G26" s="22" t="n">
        <v>0</v>
      </c>
      <c r="H26" s="22" t="n">
        <v>20</v>
      </c>
      <c r="I26" s="7" t="s">
        <v>89</v>
      </c>
      <c r="J26" s="23" t="n">
        <f aca="false">E26*F26</f>
        <v>10260</v>
      </c>
      <c r="K26" s="24" t="n">
        <f aca="false">IF(H26&gt;0,F26/H26,"")</f>
        <v>28.5</v>
      </c>
      <c r="L26" s="7" t="str">
        <f aca="false">IF(I26="Yes",IF(F26&gt;0,"Discontinued - in stock","Discontinued"),IF(F26=0,IF(G26&gt;0,"Stock-out - on order","Stock-out"),IF(H26=0,"No reorder level",IF(K26&gt;=Assumptions!$B$4,"Overstock","OK"))))</f>
        <v>Overstock</v>
      </c>
      <c r="M26" s="7" t="str">
        <f aca="false">IF(COUNTIFS($A$2:$A$151,A26,$B$2:$B$151,B26,$C$2:$C$151,C26,$D$2:$D$151,D26,$E$2:$E$151,E26,$F$2:$F$151,F26,$G$2:$G$151,G26,$H$2:$H$151,H26,$I$2:$I$151,I26)&gt;1,IF(COUNTIFS($A$2:A26,A26,$B$2:B26,B26,$C$2:C26,C26,$D$2:D26,D26,$E$2:E26,E26,$F$2:F26,F26,$G$2:G26,G26,$H$2:H26,H26,$I$2:I26,I26)&gt;1,"Repeat","First"),"")</f>
        <v/>
      </c>
      <c r="N26" s="7" t="str">
        <f aca="false">IF(E26&gt;QUARTILE($E$2:$E$151,3)+Assumptions!$B$5*(QUARTILE($E$2:$E$151,3)-QUARTILE($E$2:$E$151,1)),"Outlier","")</f>
        <v/>
      </c>
    </row>
    <row r="27" customFormat="false" ht="15" hidden="false" customHeight="false" outlineLevel="0" collapsed="false">
      <c r="A27" s="7" t="s">
        <v>14</v>
      </c>
      <c r="B27" s="20" t="n">
        <v>46265</v>
      </c>
      <c r="C27" s="7" t="s">
        <v>98</v>
      </c>
      <c r="D27" s="7" t="s">
        <v>94</v>
      </c>
      <c r="E27" s="21" t="n">
        <v>18</v>
      </c>
      <c r="F27" s="22" t="n">
        <v>570</v>
      </c>
      <c r="G27" s="22" t="n">
        <v>0</v>
      </c>
      <c r="H27" s="22" t="n">
        <v>20</v>
      </c>
      <c r="I27" s="7" t="s">
        <v>89</v>
      </c>
      <c r="J27" s="23" t="n">
        <f aca="false">E27*F27</f>
        <v>10260</v>
      </c>
      <c r="K27" s="24" t="n">
        <f aca="false">IF(H27&gt;0,F27/H27,"")</f>
        <v>28.5</v>
      </c>
      <c r="L27" s="7" t="str">
        <f aca="false">IF(I27="Yes",IF(F27&gt;0,"Discontinued - in stock","Discontinued"),IF(F27=0,IF(G27&gt;0,"Stock-out - on order","Stock-out"),IF(H27=0,"No reorder level",IF(K27&gt;=Assumptions!$B$4,"Overstock","OK"))))</f>
        <v>Overstock</v>
      </c>
      <c r="M27" s="7" t="str">
        <f aca="false">IF(COUNTIFS($A$2:$A$151,A27,$B$2:$B$151,B27,$C$2:$C$151,C27,$D$2:$D$151,D27,$E$2:$E$151,E27,$F$2:$F$151,F27,$G$2:$G$151,G27,$H$2:$H$151,H27,$I$2:$I$151,I27)&gt;1,IF(COUNTIFS($A$2:A27,A27,$B$2:B27,B27,$C$2:C27,C27,$D$2:D27,D27,$E$2:E27,E27,$F$2:F27,F27,$G$2:G27,G27,$H$2:H27,H27,$I$2:I27,I27)&gt;1,"Repeat","First"),"")</f>
        <v/>
      </c>
      <c r="N27" s="7" t="str">
        <f aca="false">IF(E27&gt;QUARTILE($E$2:$E$151,3)+Assumptions!$B$5*(QUARTILE($E$2:$E$151,3)-QUARTILE($E$2:$E$151,1)),"Outlier","")</f>
        <v/>
      </c>
    </row>
    <row r="28" customFormat="false" ht="15" hidden="false" customHeight="false" outlineLevel="0" collapsed="false">
      <c r="A28" s="7" t="s">
        <v>14</v>
      </c>
      <c r="B28" s="20" t="n">
        <v>44562</v>
      </c>
      <c r="C28" s="7" t="s">
        <v>98</v>
      </c>
      <c r="D28" s="7" t="s">
        <v>94</v>
      </c>
      <c r="E28" s="21" t="n">
        <v>22</v>
      </c>
      <c r="F28" s="22" t="n">
        <v>530</v>
      </c>
      <c r="G28" s="22" t="n">
        <v>0</v>
      </c>
      <c r="H28" s="22" t="n">
        <v>0</v>
      </c>
      <c r="I28" s="7" t="s">
        <v>89</v>
      </c>
      <c r="J28" s="23" t="n">
        <f aca="false">E28*F28</f>
        <v>11660</v>
      </c>
      <c r="K28" s="24" t="str">
        <f aca="false">IF(H28&gt;0,F28/H28,"")</f>
        <v/>
      </c>
      <c r="L28" s="7" t="str">
        <f aca="false">IF(I28="Yes",IF(F28&gt;0,"Discontinued - in stock","Discontinued"),IF(F28=0,IF(G28&gt;0,"Stock-out - on order","Stock-out"),IF(H28=0,"No reorder level",IF(K28&gt;=Assumptions!$B$4,"Overstock","OK"))))</f>
        <v>No reorder level</v>
      </c>
      <c r="M28" s="7" t="str">
        <f aca="false">IF(COUNTIFS($A$2:$A$151,A28,$B$2:$B$151,B28,$C$2:$C$151,C28,$D$2:$D$151,D28,$E$2:$E$151,E28,$F$2:$F$151,F28,$G$2:$G$151,G28,$H$2:$H$151,H28,$I$2:$I$151,I28)&gt;1,IF(COUNTIFS($A$2:A28,A28,$B$2:B28,B28,$C$2:C28,C28,$D$2:D28,D28,$E$2:E28,E28,$F$2:F28,F28,$G$2:G28,G28,$H$2:H28,H28,$I$2:I28,I28)&gt;1,"Repeat","First"),"")</f>
        <v/>
      </c>
      <c r="N28" s="7" t="str">
        <f aca="false">IF(E28&gt;QUARTILE($E$2:$E$151,3)+Assumptions!$B$5*(QUARTILE($E$2:$E$151,3)-QUARTILE($E$2:$E$151,1)),"Outlier","")</f>
        <v/>
      </c>
    </row>
    <row r="29" customFormat="false" ht="15" hidden="false" customHeight="false" outlineLevel="0" collapsed="false">
      <c r="A29" s="7" t="s">
        <v>14</v>
      </c>
      <c r="B29" s="20" t="n">
        <v>44562</v>
      </c>
      <c r="C29" s="7" t="s">
        <v>95</v>
      </c>
      <c r="D29" s="7" t="s">
        <v>94</v>
      </c>
      <c r="E29" s="21" t="n">
        <v>22</v>
      </c>
      <c r="F29" s="22" t="n">
        <v>530</v>
      </c>
      <c r="G29" s="22" t="n">
        <v>0</v>
      </c>
      <c r="H29" s="22" t="n">
        <v>0</v>
      </c>
      <c r="I29" s="7" t="s">
        <v>89</v>
      </c>
      <c r="J29" s="23" t="n">
        <f aca="false">E29*F29</f>
        <v>11660</v>
      </c>
      <c r="K29" s="24" t="str">
        <f aca="false">IF(H29&gt;0,F29/H29,"")</f>
        <v/>
      </c>
      <c r="L29" s="7" t="str">
        <f aca="false">IF(I29="Yes",IF(F29&gt;0,"Discontinued - in stock","Discontinued"),IF(F29=0,IF(G29&gt;0,"Stock-out - on order","Stock-out"),IF(H29=0,"No reorder level",IF(K29&gt;=Assumptions!$B$4,"Overstock","OK"))))</f>
        <v>No reorder level</v>
      </c>
      <c r="M29" s="7" t="str">
        <f aca="false">IF(COUNTIFS($A$2:$A$151,A29,$B$2:$B$151,B29,$C$2:$C$151,C29,$D$2:$D$151,D29,$E$2:$E$151,E29,$F$2:$F$151,F29,$G$2:$G$151,G29,$H$2:$H$151,H29,$I$2:$I$151,I29)&gt;1,IF(COUNTIFS($A$2:A29,A29,$B$2:B29,B29,$C$2:C29,C29,$D$2:D29,D29,$E$2:E29,E29,$F$2:F29,F29,$G$2:G29,G29,$H$2:H29,H29,$I$2:I29,I29)&gt;1,"Repeat","First"),"")</f>
        <v/>
      </c>
      <c r="N29" s="7" t="str">
        <f aca="false">IF(E29&gt;QUARTILE($E$2:$E$151,3)+Assumptions!$B$5*(QUARTILE($E$2:$E$151,3)-QUARTILE($E$2:$E$151,1)),"Outlier","")</f>
        <v/>
      </c>
    </row>
    <row r="30" customFormat="false" ht="15" hidden="false" customHeight="false" outlineLevel="0" collapsed="false">
      <c r="A30" s="7" t="s">
        <v>14</v>
      </c>
      <c r="B30" s="20" t="n">
        <v>46267</v>
      </c>
      <c r="C30" s="7" t="s">
        <v>96</v>
      </c>
      <c r="D30" s="7" t="s">
        <v>94</v>
      </c>
      <c r="E30" s="21" t="n">
        <v>14</v>
      </c>
      <c r="F30" s="22" t="n">
        <v>520</v>
      </c>
      <c r="G30" s="22" t="n">
        <v>0</v>
      </c>
      <c r="H30" s="22" t="n">
        <v>10</v>
      </c>
      <c r="I30" s="7" t="s">
        <v>89</v>
      </c>
      <c r="J30" s="23" t="n">
        <f aca="false">E30*F30</f>
        <v>7280</v>
      </c>
      <c r="K30" s="24" t="n">
        <f aca="false">IF(H30&gt;0,F30/H30,"")</f>
        <v>52</v>
      </c>
      <c r="L30" s="7" t="str">
        <f aca="false">IF(I30="Yes",IF(F30&gt;0,"Discontinued - in stock","Discontinued"),IF(F30=0,IF(G30&gt;0,"Stock-out - on order","Stock-out"),IF(H30=0,"No reorder level",IF(K30&gt;=Assumptions!$B$4,"Overstock","OK"))))</f>
        <v>Overstock</v>
      </c>
      <c r="M30" s="7" t="str">
        <f aca="false">IF(COUNTIFS($A$2:$A$151,A30,$B$2:$B$151,B30,$C$2:$C$151,C30,$D$2:$D$151,D30,$E$2:$E$151,E30,$F$2:$F$151,F30,$G$2:$G$151,G30,$H$2:$H$151,H30,$I$2:$I$151,I30)&gt;1,IF(COUNTIFS($A$2:A30,A30,$B$2:B30,B30,$C$2:C30,C30,$D$2:D30,D30,$E$2:E30,E30,$F$2:F30,F30,$G$2:G30,G30,$H$2:H30,H30,$I$2:I30,I30)&gt;1,"Repeat","First"),"")</f>
        <v/>
      </c>
      <c r="N30" s="7" t="str">
        <f aca="false">IF(E30&gt;QUARTILE($E$2:$E$151,3)+Assumptions!$B$5*(QUARTILE($E$2:$E$151,3)-QUARTILE($E$2:$E$151,1)),"Outlier","")</f>
        <v/>
      </c>
    </row>
    <row r="31" customFormat="false" ht="15" hidden="false" customHeight="false" outlineLevel="0" collapsed="false">
      <c r="A31" s="7" t="s">
        <v>14</v>
      </c>
      <c r="B31" s="20" t="n">
        <v>46267</v>
      </c>
      <c r="C31" s="7" t="s">
        <v>97</v>
      </c>
      <c r="D31" s="7" t="s">
        <v>94</v>
      </c>
      <c r="E31" s="21" t="n">
        <v>14</v>
      </c>
      <c r="F31" s="22" t="n">
        <v>520</v>
      </c>
      <c r="G31" s="22" t="n">
        <v>0</v>
      </c>
      <c r="H31" s="22" t="n">
        <v>10</v>
      </c>
      <c r="I31" s="7" t="s">
        <v>89</v>
      </c>
      <c r="J31" s="23" t="n">
        <f aca="false">E31*F31</f>
        <v>7280</v>
      </c>
      <c r="K31" s="24" t="n">
        <f aca="false">IF(H31&gt;0,F31/H31,"")</f>
        <v>52</v>
      </c>
      <c r="L31" s="7" t="str">
        <f aca="false">IF(I31="Yes",IF(F31&gt;0,"Discontinued - in stock","Discontinued"),IF(F31=0,IF(G31&gt;0,"Stock-out - on order","Stock-out"),IF(H31=0,"No reorder level",IF(K31&gt;=Assumptions!$B$4,"Overstock","OK"))))</f>
        <v>Overstock</v>
      </c>
      <c r="M31" s="7" t="str">
        <f aca="false">IF(COUNTIFS($A$2:$A$151,A31,$B$2:$B$151,B31,$C$2:$C$151,C31,$D$2:$D$151,D31,$E$2:$E$151,E31,$F$2:$F$151,F31,$G$2:$G$151,G31,$H$2:$H$151,H31,$I$2:$I$151,I31)&gt;1,IF(COUNTIFS($A$2:A31,A31,$B$2:B31,B31,$C$2:C31,C31,$D$2:D31,D31,$E$2:E31,E31,$F$2:F31,F31,$G$2:G31,G31,$H$2:H31,H31,$I$2:I31,I31)&gt;1,"Repeat","First"),"")</f>
        <v/>
      </c>
      <c r="N31" s="7" t="str">
        <f aca="false">IF(E31&gt;QUARTILE($E$2:$E$151,3)+Assumptions!$B$5*(QUARTILE($E$2:$E$151,3)-QUARTILE($E$2:$E$151,1)),"Outlier","")</f>
        <v/>
      </c>
    </row>
    <row r="32" customFormat="false" ht="15" hidden="false" customHeight="false" outlineLevel="0" collapsed="false">
      <c r="A32" s="7" t="s">
        <v>14</v>
      </c>
      <c r="B32" s="20" t="n">
        <v>44543</v>
      </c>
      <c r="C32" s="7" t="s">
        <v>93</v>
      </c>
      <c r="D32" s="7" t="s">
        <v>94</v>
      </c>
      <c r="E32" s="21" t="n">
        <v>43.9</v>
      </c>
      <c r="F32" s="22" t="n">
        <v>490</v>
      </c>
      <c r="G32" s="22" t="n">
        <v>0</v>
      </c>
      <c r="H32" s="22" t="n">
        <v>30</v>
      </c>
      <c r="I32" s="7" t="s">
        <v>89</v>
      </c>
      <c r="J32" s="23" t="n">
        <f aca="false">E32*F32</f>
        <v>21511</v>
      </c>
      <c r="K32" s="24" t="n">
        <f aca="false">IF(H32&gt;0,F32/H32,"")</f>
        <v>16.3333333333333</v>
      </c>
      <c r="L32" s="7" t="str">
        <f aca="false">IF(I32="Yes",IF(F32&gt;0,"Discontinued - in stock","Discontinued"),IF(F32=0,IF(G32&gt;0,"Stock-out - on order","Stock-out"),IF(H32=0,"No reorder level",IF(K32&gt;=Assumptions!$B$4,"Overstock","OK"))))</f>
        <v>OK</v>
      </c>
      <c r="M32" s="7" t="str">
        <f aca="false">IF(COUNTIFS($A$2:$A$151,A32,$B$2:$B$151,B32,$C$2:$C$151,C32,$D$2:$D$151,D32,$E$2:$E$151,E32,$F$2:$F$151,F32,$G$2:$G$151,G32,$H$2:$H$151,H32,$I$2:$I$151,I32)&gt;1,IF(COUNTIFS($A$2:A32,A32,$B$2:B32,B32,$C$2:C32,C32,$D$2:D32,D32,$E$2:E32,E32,$F$2:F32,F32,$G$2:G32,G32,$H$2:H32,H32,$I$2:I32,I32)&gt;1,"Repeat","First"),"")</f>
        <v/>
      </c>
      <c r="N32" s="7" t="str">
        <f aca="false">IF(E32&gt;QUARTILE($E$2:$E$151,3)+Assumptions!$B$5*(QUARTILE($E$2:$E$151,3)-QUARTILE($E$2:$E$151,1)),"Outlier","")</f>
        <v/>
      </c>
    </row>
    <row r="33" customFormat="false" ht="15" hidden="false" customHeight="false" outlineLevel="0" collapsed="false">
      <c r="A33" s="7" t="s">
        <v>14</v>
      </c>
      <c r="B33" s="20" t="n">
        <v>44543</v>
      </c>
      <c r="C33" s="7" t="s">
        <v>99</v>
      </c>
      <c r="D33" s="7" t="s">
        <v>94</v>
      </c>
      <c r="E33" s="21" t="n">
        <v>43.9</v>
      </c>
      <c r="F33" s="22" t="n">
        <v>490</v>
      </c>
      <c r="G33" s="22" t="n">
        <v>0</v>
      </c>
      <c r="H33" s="22" t="n">
        <v>30</v>
      </c>
      <c r="I33" s="7" t="s">
        <v>89</v>
      </c>
      <c r="J33" s="23" t="n">
        <f aca="false">E33*F33</f>
        <v>21511</v>
      </c>
      <c r="K33" s="24" t="n">
        <f aca="false">IF(H33&gt;0,F33/H33,"")</f>
        <v>16.3333333333333</v>
      </c>
      <c r="L33" s="7" t="str">
        <f aca="false">IF(I33="Yes",IF(F33&gt;0,"Discontinued - in stock","Discontinued"),IF(F33=0,IF(G33&gt;0,"Stock-out - on order","Stock-out"),IF(H33=0,"No reorder level",IF(K33&gt;=Assumptions!$B$4,"Overstock","OK"))))</f>
        <v>OK</v>
      </c>
      <c r="M33" s="7" t="str">
        <f aca="false">IF(COUNTIFS($A$2:$A$151,A33,$B$2:$B$151,B33,$C$2:$C$151,C33,$D$2:$D$151,D33,$E$2:$E$151,E33,$F$2:$F$151,F33,$G$2:$G$151,G33,$H$2:$H$151,H33,$I$2:$I$151,I33)&gt;1,IF(COUNTIFS($A$2:A33,A33,$B$2:B33,B33,$C$2:C33,C33,$D$2:D33,D33,$E$2:E33,E33,$F$2:F33,F33,$G$2:G33,G33,$H$2:H33,H33,$I$2:I33,I33)&gt;1,"Repeat","First"),"")</f>
        <v/>
      </c>
      <c r="N33" s="7" t="str">
        <f aca="false">IF(E33&gt;QUARTILE($E$2:$E$151,3)+Assumptions!$B$5*(QUARTILE($E$2:$E$151,3)-QUARTILE($E$2:$E$151,1)),"Outlier","")</f>
        <v/>
      </c>
    </row>
    <row r="34" customFormat="false" ht="15" hidden="false" customHeight="false" outlineLevel="0" collapsed="false">
      <c r="A34" s="7" t="s">
        <v>14</v>
      </c>
      <c r="B34" s="20" t="n">
        <v>44587</v>
      </c>
      <c r="C34" s="7" t="s">
        <v>93</v>
      </c>
      <c r="D34" s="7" t="s">
        <v>94</v>
      </c>
      <c r="E34" s="21" t="n">
        <v>81</v>
      </c>
      <c r="F34" s="22" t="n">
        <v>400</v>
      </c>
      <c r="G34" s="22" t="n">
        <v>0</v>
      </c>
      <c r="H34" s="22" t="n">
        <v>0</v>
      </c>
      <c r="I34" s="7" t="s">
        <v>89</v>
      </c>
      <c r="J34" s="23" t="n">
        <f aca="false">E34*F34</f>
        <v>32400</v>
      </c>
      <c r="K34" s="24" t="str">
        <f aca="false">IF(H34&gt;0,F34/H34,"")</f>
        <v/>
      </c>
      <c r="L34" s="7" t="str">
        <f aca="false">IF(I34="Yes",IF(F34&gt;0,"Discontinued - in stock","Discontinued"),IF(F34=0,IF(G34&gt;0,"Stock-out - on order","Stock-out"),IF(H34=0,"No reorder level",IF(K34&gt;=Assumptions!$B$4,"Overstock","OK"))))</f>
        <v>No reorder level</v>
      </c>
      <c r="M34" s="7" t="str">
        <f aca="false">IF(COUNTIFS($A$2:$A$151,A34,$B$2:$B$151,B34,$C$2:$C$151,C34,$D$2:$D$151,D34,$E$2:$E$151,E34,$F$2:$F$151,F34,$G$2:$G$151,G34,$H$2:$H$151,H34,$I$2:$I$151,I34)&gt;1,IF(COUNTIFS($A$2:A34,A34,$B$2:B34,B34,$C$2:C34,C34,$D$2:D34,D34,$E$2:E34,E34,$F$2:F34,F34,$G$2:G34,G34,$H$2:H34,H34,$I$2:I34,I34)&gt;1,"Repeat","First"),"")</f>
        <v/>
      </c>
      <c r="N34" s="7" t="str">
        <f aca="false">IF(E34&gt;QUARTILE($E$2:$E$151,3)+Assumptions!$B$5*(QUARTILE($E$2:$E$151,3)-QUARTILE($E$2:$E$151,1)),"Outlier","")</f>
        <v>Outlier</v>
      </c>
    </row>
    <row r="35" customFormat="false" ht="15" hidden="false" customHeight="false" outlineLevel="0" collapsed="false">
      <c r="A35" s="7" t="s">
        <v>14</v>
      </c>
      <c r="B35" s="20" t="n">
        <v>44587</v>
      </c>
      <c r="C35" s="7" t="s">
        <v>97</v>
      </c>
      <c r="D35" s="7" t="s">
        <v>94</v>
      </c>
      <c r="E35" s="21" t="n">
        <v>81</v>
      </c>
      <c r="F35" s="22" t="n">
        <v>400</v>
      </c>
      <c r="G35" s="22" t="n">
        <v>0</v>
      </c>
      <c r="H35" s="22" t="n">
        <v>0</v>
      </c>
      <c r="I35" s="7" t="s">
        <v>89</v>
      </c>
      <c r="J35" s="23" t="n">
        <f aca="false">E35*F35</f>
        <v>32400</v>
      </c>
      <c r="K35" s="24" t="str">
        <f aca="false">IF(H35&gt;0,F35/H35,"")</f>
        <v/>
      </c>
      <c r="L35" s="7" t="str">
        <f aca="false">IF(I35="Yes",IF(F35&gt;0,"Discontinued - in stock","Discontinued"),IF(F35=0,IF(G35&gt;0,"Stock-out - on order","Stock-out"),IF(H35=0,"No reorder level",IF(K35&gt;=Assumptions!$B$4,"Overstock","OK"))))</f>
        <v>No reorder level</v>
      </c>
      <c r="M35" s="7" t="str">
        <f aca="false">IF(COUNTIFS($A$2:$A$151,A35,$B$2:$B$151,B35,$C$2:$C$151,C35,$D$2:$D$151,D35,$E$2:$E$151,E35,$F$2:$F$151,F35,$G$2:$G$151,G35,$H$2:$H$151,H35,$I$2:$I$151,I35)&gt;1,IF(COUNTIFS($A$2:A35,A35,$B$2:B35,B35,$C$2:C35,C35,$D$2:D35,D35,$E$2:E35,E35,$F$2:F35,F35,$G$2:G35,G35,$H$2:H35,H35,$I$2:I35,I35)&gt;1,"Repeat","First"),"")</f>
        <v/>
      </c>
      <c r="N35" s="7" t="str">
        <f aca="false">IF(E35&gt;QUARTILE($E$2:$E$151,3)+Assumptions!$B$5*(QUARTILE($E$2:$E$151,3)-QUARTILE($E$2:$E$151,1)),"Outlier","")</f>
        <v>Outlier</v>
      </c>
    </row>
    <row r="36" customFormat="false" ht="15" hidden="false" customHeight="false" outlineLevel="0" collapsed="false">
      <c r="A36" s="7" t="s">
        <v>14</v>
      </c>
      <c r="B36" s="20" t="n">
        <v>44415</v>
      </c>
      <c r="C36" s="7" t="s">
        <v>96</v>
      </c>
      <c r="D36" s="7" t="s">
        <v>94</v>
      </c>
      <c r="E36" s="21" t="n">
        <v>18</v>
      </c>
      <c r="F36" s="22" t="n">
        <v>390</v>
      </c>
      <c r="G36" s="22" t="n">
        <v>0</v>
      </c>
      <c r="H36" s="22" t="n">
        <v>10</v>
      </c>
      <c r="I36" s="7" t="s">
        <v>89</v>
      </c>
      <c r="J36" s="23" t="n">
        <f aca="false">E36*F36</f>
        <v>7020</v>
      </c>
      <c r="K36" s="24" t="n">
        <f aca="false">IF(H36&gt;0,F36/H36,"")</f>
        <v>39</v>
      </c>
      <c r="L36" s="7" t="str">
        <f aca="false">IF(I36="Yes",IF(F36&gt;0,"Discontinued - in stock","Discontinued"),IF(F36=0,IF(G36&gt;0,"Stock-out - on order","Stock-out"),IF(H36=0,"No reorder level",IF(K36&gt;=Assumptions!$B$4,"Overstock","OK"))))</f>
        <v>Overstock</v>
      </c>
      <c r="M36" s="7" t="str">
        <f aca="false">IF(COUNTIFS($A$2:$A$151,A36,$B$2:$B$151,B36,$C$2:$C$151,C36,$D$2:$D$151,D36,$E$2:$E$151,E36,$F$2:$F$151,F36,$G$2:$G$151,G36,$H$2:$H$151,H36,$I$2:$I$151,I36)&gt;1,IF(COUNTIFS($A$2:A36,A36,$B$2:B36,B36,$C$2:C36,C36,$D$2:D36,D36,$E$2:E36,E36,$F$2:F36,F36,$G$2:G36,G36,$H$2:H36,H36,$I$2:I36,I36)&gt;1,"Repeat","First"),"")</f>
        <v/>
      </c>
      <c r="N36" s="7" t="str">
        <f aca="false">IF(E36&gt;QUARTILE($E$2:$E$151,3)+Assumptions!$B$5*(QUARTILE($E$2:$E$151,3)-QUARTILE($E$2:$E$151,1)),"Outlier","")</f>
        <v/>
      </c>
    </row>
    <row r="37" customFormat="false" ht="15" hidden="false" customHeight="false" outlineLevel="0" collapsed="false">
      <c r="A37" s="7" t="s">
        <v>14</v>
      </c>
      <c r="B37" s="20" t="n">
        <v>44415</v>
      </c>
      <c r="C37" s="7" t="s">
        <v>99</v>
      </c>
      <c r="D37" s="7" t="s">
        <v>94</v>
      </c>
      <c r="E37" s="21" t="n">
        <v>18</v>
      </c>
      <c r="F37" s="22" t="n">
        <v>390</v>
      </c>
      <c r="G37" s="22" t="n">
        <v>0</v>
      </c>
      <c r="H37" s="22" t="n">
        <v>10</v>
      </c>
      <c r="I37" s="7" t="s">
        <v>89</v>
      </c>
      <c r="J37" s="23" t="n">
        <f aca="false">E37*F37</f>
        <v>7020</v>
      </c>
      <c r="K37" s="24" t="n">
        <f aca="false">IF(H37&gt;0,F37/H37,"")</f>
        <v>39</v>
      </c>
      <c r="L37" s="7" t="str">
        <f aca="false">IF(I37="Yes",IF(F37&gt;0,"Discontinued - in stock","Discontinued"),IF(F37=0,IF(G37&gt;0,"Stock-out - on order","Stock-out"),IF(H37=0,"No reorder level",IF(K37&gt;=Assumptions!$B$4,"Overstock","OK"))))</f>
        <v>Overstock</v>
      </c>
      <c r="M37" s="7" t="str">
        <f aca="false">IF(COUNTIFS($A$2:$A$151,A37,$B$2:$B$151,B37,$C$2:$C$151,C37,$D$2:$D$151,D37,$E$2:$E$151,E37,$F$2:$F$151,F37,$G$2:$G$151,G37,$H$2:$H$151,H37,$I$2:$I$151,I37)&gt;1,IF(COUNTIFS($A$2:A37,A37,$B$2:B37,B37,$C$2:C37,C37,$D$2:D37,D37,$E$2:E37,E37,$F$2:F37,F37,$G$2:G37,G37,$H$2:H37,H37,$I$2:I37,I37)&gt;1,"Repeat","First"),"")</f>
        <v/>
      </c>
      <c r="N37" s="7" t="str">
        <f aca="false">IF(E37&gt;QUARTILE($E$2:$E$151,3)+Assumptions!$B$5*(QUARTILE($E$2:$E$151,3)-QUARTILE($E$2:$E$151,1)),"Outlier","")</f>
        <v/>
      </c>
    </row>
    <row r="38" customFormat="false" ht="15" hidden="false" customHeight="false" outlineLevel="0" collapsed="false">
      <c r="A38" s="7" t="s">
        <v>14</v>
      </c>
      <c r="B38" s="20" t="n">
        <v>44558</v>
      </c>
      <c r="C38" s="7" t="s">
        <v>93</v>
      </c>
      <c r="D38" s="7" t="s">
        <v>94</v>
      </c>
      <c r="E38" s="21" t="n">
        <v>15.5</v>
      </c>
      <c r="F38" s="22" t="n">
        <v>390</v>
      </c>
      <c r="G38" s="22" t="n">
        <v>0</v>
      </c>
      <c r="H38" s="22" t="n">
        <v>5</v>
      </c>
      <c r="I38" s="7" t="s">
        <v>89</v>
      </c>
      <c r="J38" s="23" t="n">
        <f aca="false">E38*F38</f>
        <v>6045</v>
      </c>
      <c r="K38" s="24" t="n">
        <f aca="false">IF(H38&gt;0,F38/H38,"")</f>
        <v>78</v>
      </c>
      <c r="L38" s="7" t="str">
        <f aca="false">IF(I38="Yes",IF(F38&gt;0,"Discontinued - in stock","Discontinued"),IF(F38=0,IF(G38&gt;0,"Stock-out - on order","Stock-out"),IF(H38=0,"No reorder level",IF(K38&gt;=Assumptions!$B$4,"Overstock","OK"))))</f>
        <v>Overstock</v>
      </c>
      <c r="M38" s="7" t="str">
        <f aca="false">IF(COUNTIFS($A$2:$A$151,A38,$B$2:$B$151,B38,$C$2:$C$151,C38,$D$2:$D$151,D38,$E$2:$E$151,E38,$F$2:$F$151,F38,$G$2:$G$151,G38,$H$2:$H$151,H38,$I$2:$I$151,I38)&gt;1,IF(COUNTIFS($A$2:A38,A38,$B$2:B38,B38,$C$2:C38,C38,$D$2:D38,D38,$E$2:E38,E38,$F$2:F38,F38,$G$2:G38,G38,$H$2:H38,H38,$I$2:I38,I38)&gt;1,"Repeat","First"),"")</f>
        <v/>
      </c>
      <c r="N38" s="7" t="str">
        <f aca="false">IF(E38&gt;QUARTILE($E$2:$E$151,3)+Assumptions!$B$5*(QUARTILE($E$2:$E$151,3)-QUARTILE($E$2:$E$151,1)),"Outlier","")</f>
        <v/>
      </c>
    </row>
    <row r="39" customFormat="false" ht="15" hidden="false" customHeight="false" outlineLevel="0" collapsed="false">
      <c r="A39" s="7" t="s">
        <v>14</v>
      </c>
      <c r="B39" s="20" t="n">
        <v>44558</v>
      </c>
      <c r="C39" s="7" t="s">
        <v>98</v>
      </c>
      <c r="D39" s="7" t="s">
        <v>94</v>
      </c>
      <c r="E39" s="21" t="n">
        <v>15.5</v>
      </c>
      <c r="F39" s="22" t="n">
        <v>390</v>
      </c>
      <c r="G39" s="22" t="n">
        <v>0</v>
      </c>
      <c r="H39" s="22" t="n">
        <v>5</v>
      </c>
      <c r="I39" s="7" t="s">
        <v>89</v>
      </c>
      <c r="J39" s="23" t="n">
        <f aca="false">E39*F39</f>
        <v>6045</v>
      </c>
      <c r="K39" s="24" t="n">
        <f aca="false">IF(H39&gt;0,F39/H39,"")</f>
        <v>78</v>
      </c>
      <c r="L39" s="7" t="str">
        <f aca="false">IF(I39="Yes",IF(F39&gt;0,"Discontinued - in stock","Discontinued"),IF(F39=0,IF(G39&gt;0,"Stock-out - on order","Stock-out"),IF(H39=0,"No reorder level",IF(K39&gt;=Assumptions!$B$4,"Overstock","OK"))))</f>
        <v>Overstock</v>
      </c>
      <c r="M39" s="7" t="str">
        <f aca="false">IF(COUNTIFS($A$2:$A$151,A39,$B$2:$B$151,B39,$C$2:$C$151,C39,$D$2:$D$151,D39,$E$2:$E$151,E39,$F$2:$F$151,F39,$G$2:$G$151,G39,$H$2:$H$151,H39,$I$2:$I$151,I39)&gt;1,IF(COUNTIFS($A$2:A39,A39,$B$2:B39,B39,$C$2:C39,C39,$D$2:D39,D39,$E$2:E39,E39,$F$2:F39,F39,$G$2:G39,G39,$H$2:H39,H39,$I$2:I39,I39)&gt;1,"Repeat","First"),"")</f>
        <v/>
      </c>
      <c r="N39" s="7" t="str">
        <f aca="false">IF(E39&gt;QUARTILE($E$2:$E$151,3)+Assumptions!$B$5*(QUARTILE($E$2:$E$151,3)-QUARTILE($E$2:$E$151,1)),"Outlier","")</f>
        <v/>
      </c>
    </row>
    <row r="40" customFormat="false" ht="15" hidden="false" customHeight="false" outlineLevel="0" collapsed="false">
      <c r="A40" s="7" t="s">
        <v>14</v>
      </c>
      <c r="B40" s="20" t="n">
        <v>46316</v>
      </c>
      <c r="C40" s="7" t="s">
        <v>96</v>
      </c>
      <c r="D40" s="7" t="s">
        <v>94</v>
      </c>
      <c r="E40" s="21" t="n">
        <v>9.5</v>
      </c>
      <c r="F40" s="22" t="n">
        <v>360</v>
      </c>
      <c r="G40" s="22" t="n">
        <v>0</v>
      </c>
      <c r="H40" s="22" t="n">
        <v>0</v>
      </c>
      <c r="I40" s="7" t="s">
        <v>89</v>
      </c>
      <c r="J40" s="23" t="n">
        <f aca="false">E40*F40</f>
        <v>3420</v>
      </c>
      <c r="K40" s="24" t="str">
        <f aca="false">IF(H40&gt;0,F40/H40,"")</f>
        <v/>
      </c>
      <c r="L40" s="7" t="str">
        <f aca="false">IF(I40="Yes",IF(F40&gt;0,"Discontinued - in stock","Discontinued"),IF(F40=0,IF(G40&gt;0,"Stock-out - on order","Stock-out"),IF(H40=0,"No reorder level",IF(K40&gt;=Assumptions!$B$4,"Overstock","OK"))))</f>
        <v>No reorder level</v>
      </c>
      <c r="M40" s="7" t="str">
        <f aca="false">IF(COUNTIFS($A$2:$A$151,A40,$B$2:$B$151,B40,$C$2:$C$151,C40,$D$2:$D$151,D40,$E$2:$E$151,E40,$F$2:$F$151,F40,$G$2:$G$151,G40,$H$2:$H$151,H40,$I$2:$I$151,I40)&gt;1,IF(COUNTIFS($A$2:A40,A40,$B$2:B40,B40,$C$2:C40,C40,$D$2:D40,D40,$E$2:E40,E40,$F$2:F40,F40,$G$2:G40,G40,$H$2:H40,H40,$I$2:I40,I40)&gt;1,"Repeat","First"),"")</f>
        <v/>
      </c>
      <c r="N40" s="7" t="str">
        <f aca="false">IF(E40&gt;QUARTILE($E$2:$E$151,3)+Assumptions!$B$5*(QUARTILE($E$2:$E$151,3)-QUARTILE($E$2:$E$151,1)),"Outlier","")</f>
        <v/>
      </c>
    </row>
    <row r="41" customFormat="false" ht="15" hidden="false" customHeight="false" outlineLevel="0" collapsed="false">
      <c r="A41" s="7" t="s">
        <v>14</v>
      </c>
      <c r="B41" s="20" t="n">
        <v>46316</v>
      </c>
      <c r="C41" s="7" t="s">
        <v>97</v>
      </c>
      <c r="D41" s="7" t="s">
        <v>94</v>
      </c>
      <c r="E41" s="21" t="n">
        <v>9.5</v>
      </c>
      <c r="F41" s="22" t="n">
        <v>360</v>
      </c>
      <c r="G41" s="22" t="n">
        <v>0</v>
      </c>
      <c r="H41" s="22" t="n">
        <v>0</v>
      </c>
      <c r="I41" s="7" t="s">
        <v>89</v>
      </c>
      <c r="J41" s="23" t="n">
        <f aca="false">E41*F41</f>
        <v>3420</v>
      </c>
      <c r="K41" s="24" t="str">
        <f aca="false">IF(H41&gt;0,F41/H41,"")</f>
        <v/>
      </c>
      <c r="L41" s="7" t="str">
        <f aca="false">IF(I41="Yes",IF(F41&gt;0,"Discontinued - in stock","Discontinued"),IF(F41=0,IF(G41&gt;0,"Stock-out - on order","Stock-out"),IF(H41=0,"No reorder level",IF(K41&gt;=Assumptions!$B$4,"Overstock","OK"))))</f>
        <v>No reorder level</v>
      </c>
      <c r="M41" s="7" t="str">
        <f aca="false">IF(COUNTIFS($A$2:$A$151,A41,$B$2:$B$151,B41,$C$2:$C$151,C41,$D$2:$D$151,D41,$E$2:$E$151,E41,$F$2:$F$151,F41,$G$2:$G$151,G41,$H$2:$H$151,H41,$I$2:$I$151,I41)&gt;1,IF(COUNTIFS($A$2:A41,A41,$B$2:B41,B41,$C$2:C41,C41,$D$2:D41,D41,$E$2:E41,E41,$F$2:F41,F41,$G$2:G41,G41,$H$2:H41,H41,$I$2:I41,I41)&gt;1,"Repeat","First"),"")</f>
        <v/>
      </c>
      <c r="N41" s="7" t="str">
        <f aca="false">IF(E41&gt;QUARTILE($E$2:$E$151,3)+Assumptions!$B$5*(QUARTILE($E$2:$E$151,3)-QUARTILE($E$2:$E$151,1)),"Outlier","")</f>
        <v/>
      </c>
    </row>
    <row r="42" customFormat="false" ht="15" hidden="false" customHeight="false" outlineLevel="0" collapsed="false">
      <c r="A42" s="7" t="s">
        <v>14</v>
      </c>
      <c r="B42" s="20" t="n">
        <v>46290</v>
      </c>
      <c r="C42" s="7" t="s">
        <v>98</v>
      </c>
      <c r="D42" s="7" t="s">
        <v>94</v>
      </c>
      <c r="E42" s="21" t="n">
        <v>13</v>
      </c>
      <c r="F42" s="22" t="n">
        <v>320</v>
      </c>
      <c r="G42" s="22" t="n">
        <v>0</v>
      </c>
      <c r="H42" s="22" t="n">
        <v>15</v>
      </c>
      <c r="I42" s="7" t="s">
        <v>89</v>
      </c>
      <c r="J42" s="23" t="n">
        <f aca="false">E42*F42</f>
        <v>4160</v>
      </c>
      <c r="K42" s="24" t="n">
        <f aca="false">IF(H42&gt;0,F42/H42,"")</f>
        <v>21.3333333333333</v>
      </c>
      <c r="L42" s="7" t="str">
        <f aca="false">IF(I42="Yes",IF(F42&gt;0,"Discontinued - in stock","Discontinued"),IF(F42=0,IF(G42&gt;0,"Stock-out - on order","Stock-out"),IF(H42=0,"No reorder level",IF(K42&gt;=Assumptions!$B$4,"Overstock","OK"))))</f>
        <v>Overstock</v>
      </c>
      <c r="M42" s="7" t="str">
        <f aca="false">IF(COUNTIFS($A$2:$A$151,A42,$B$2:$B$151,B42,$C$2:$C$151,C42,$D$2:$D$151,D42,$E$2:$E$151,E42,$F$2:$F$151,F42,$G$2:$G$151,G42,$H$2:$H$151,H42,$I$2:$I$151,I42)&gt;1,IF(COUNTIFS($A$2:A42,A42,$B$2:B42,B42,$C$2:C42,C42,$D$2:D42,D42,$E$2:E42,E42,$F$2:F42,F42,$G$2:G42,G42,$H$2:H42,H42,$I$2:I42,I42)&gt;1,"Repeat","First"),"")</f>
        <v/>
      </c>
      <c r="N42" s="7" t="str">
        <f aca="false">IF(E42&gt;QUARTILE($E$2:$E$151,3)+Assumptions!$B$5*(QUARTILE($E$2:$E$151,3)-QUARTILE($E$2:$E$151,1)),"Outlier","")</f>
        <v/>
      </c>
    </row>
    <row r="43" customFormat="false" ht="15" hidden="false" customHeight="false" outlineLevel="0" collapsed="false">
      <c r="A43" s="7" t="s">
        <v>14</v>
      </c>
      <c r="B43" s="20" t="n">
        <v>46290</v>
      </c>
      <c r="C43" s="7" t="s">
        <v>96</v>
      </c>
      <c r="D43" s="7" t="s">
        <v>94</v>
      </c>
      <c r="E43" s="21" t="n">
        <v>13</v>
      </c>
      <c r="F43" s="22" t="n">
        <v>320</v>
      </c>
      <c r="G43" s="22" t="n">
        <v>0</v>
      </c>
      <c r="H43" s="22" t="n">
        <v>15</v>
      </c>
      <c r="I43" s="7" t="s">
        <v>89</v>
      </c>
      <c r="J43" s="23" t="n">
        <f aca="false">E43*F43</f>
        <v>4160</v>
      </c>
      <c r="K43" s="24" t="n">
        <f aca="false">IF(H43&gt;0,F43/H43,"")</f>
        <v>21.3333333333333</v>
      </c>
      <c r="L43" s="7" t="str">
        <f aca="false">IF(I43="Yes",IF(F43&gt;0,"Discontinued - in stock","Discontinued"),IF(F43=0,IF(G43&gt;0,"Stock-out - on order","Stock-out"),IF(H43=0,"No reorder level",IF(K43&gt;=Assumptions!$B$4,"Overstock","OK"))))</f>
        <v>Overstock</v>
      </c>
      <c r="M43" s="7" t="str">
        <f aca="false">IF(COUNTIFS($A$2:$A$151,A43,$B$2:$B$151,B43,$C$2:$C$151,C43,$D$2:$D$151,D43,$E$2:$E$151,E43,$F$2:$F$151,F43,$G$2:$G$151,G43,$H$2:$H$151,H43,$I$2:$I$151,I43)&gt;1,IF(COUNTIFS($A$2:A43,A43,$B$2:B43,B43,$C$2:C43,C43,$D$2:D43,D43,$E$2:E43,E43,$F$2:F43,F43,$G$2:G43,G43,$H$2:H43,H43,$I$2:I43,I43)&gt;1,"Repeat","First"),"")</f>
        <v/>
      </c>
      <c r="N43" s="7" t="str">
        <f aca="false">IF(E43&gt;QUARTILE($E$2:$E$151,3)+Assumptions!$B$5*(QUARTILE($E$2:$E$151,3)-QUARTILE($E$2:$E$151,1)),"Outlier","")</f>
        <v/>
      </c>
    </row>
    <row r="44" customFormat="false" ht="15" hidden="false" customHeight="false" outlineLevel="0" collapsed="false">
      <c r="A44" s="7" t="s">
        <v>14</v>
      </c>
      <c r="B44" s="20" t="n">
        <v>44572</v>
      </c>
      <c r="C44" s="7" t="s">
        <v>98</v>
      </c>
      <c r="D44" s="7" t="s">
        <v>94</v>
      </c>
      <c r="E44" s="21" t="n">
        <v>17.45</v>
      </c>
      <c r="F44" s="22" t="n">
        <v>290</v>
      </c>
      <c r="G44" s="22" t="n">
        <v>0</v>
      </c>
      <c r="H44" s="22" t="n">
        <v>10</v>
      </c>
      <c r="I44" s="7" t="s">
        <v>89</v>
      </c>
      <c r="J44" s="23" t="n">
        <f aca="false">E44*F44</f>
        <v>5060.5</v>
      </c>
      <c r="K44" s="24" t="n">
        <f aca="false">IF(H44&gt;0,F44/H44,"")</f>
        <v>29</v>
      </c>
      <c r="L44" s="7" t="str">
        <f aca="false">IF(I44="Yes",IF(F44&gt;0,"Discontinued - in stock","Discontinued"),IF(F44=0,IF(G44&gt;0,"Stock-out - on order","Stock-out"),IF(H44=0,"No reorder level",IF(K44&gt;=Assumptions!$B$4,"Overstock","OK"))))</f>
        <v>Overstock</v>
      </c>
      <c r="M44" s="7" t="str">
        <f aca="false">IF(COUNTIFS($A$2:$A$151,A44,$B$2:$B$151,B44,$C$2:$C$151,C44,$D$2:$D$151,D44,$E$2:$E$151,E44,$F$2:$F$151,F44,$G$2:$G$151,G44,$H$2:$H$151,H44,$I$2:$I$151,I44)&gt;1,IF(COUNTIFS($A$2:A44,A44,$B$2:B44,B44,$C$2:C44,C44,$D$2:D44,D44,$E$2:E44,E44,$F$2:F44,F44,$G$2:G44,G44,$H$2:H44,H44,$I$2:I44,I44)&gt;1,"Repeat","First"),"")</f>
        <v/>
      </c>
      <c r="N44" s="7" t="str">
        <f aca="false">IF(E44&gt;QUARTILE($E$2:$E$151,3)+Assumptions!$B$5*(QUARTILE($E$2:$E$151,3)-QUARTILE($E$2:$E$151,1)),"Outlier","")</f>
        <v/>
      </c>
    </row>
    <row r="45" customFormat="false" ht="15" hidden="false" customHeight="false" outlineLevel="0" collapsed="false">
      <c r="A45" s="7" t="s">
        <v>14</v>
      </c>
      <c r="B45" s="20" t="n">
        <v>44572</v>
      </c>
      <c r="C45" s="7" t="s">
        <v>96</v>
      </c>
      <c r="D45" s="7" t="s">
        <v>94</v>
      </c>
      <c r="E45" s="21" t="n">
        <v>17.45</v>
      </c>
      <c r="F45" s="22" t="n">
        <v>290</v>
      </c>
      <c r="G45" s="22" t="n">
        <v>0</v>
      </c>
      <c r="H45" s="22" t="n">
        <v>10</v>
      </c>
      <c r="I45" s="7" t="s">
        <v>89</v>
      </c>
      <c r="J45" s="23" t="n">
        <f aca="false">E45*F45</f>
        <v>5060.5</v>
      </c>
      <c r="K45" s="24" t="n">
        <f aca="false">IF(H45&gt;0,F45/H45,"")</f>
        <v>29</v>
      </c>
      <c r="L45" s="7" t="str">
        <f aca="false">IF(I45="Yes",IF(F45&gt;0,"Discontinued - in stock","Discontinued"),IF(F45=0,IF(G45&gt;0,"Stock-out - on order","Stock-out"),IF(H45=0,"No reorder level",IF(K45&gt;=Assumptions!$B$4,"Overstock","OK"))))</f>
        <v>Overstock</v>
      </c>
      <c r="M45" s="7" t="str">
        <f aca="false">IF(COUNTIFS($A$2:$A$151,A45,$B$2:$B$151,B45,$C$2:$C$151,C45,$D$2:$D$151,D45,$E$2:$E$151,E45,$F$2:$F$151,F45,$G$2:$G$151,G45,$H$2:$H$151,H45,$I$2:$I$151,I45)&gt;1,IF(COUNTIFS($A$2:A45,A45,$B$2:B45,B45,$C$2:C45,C45,$D$2:D45,D45,$E$2:E45,E45,$F$2:F45,F45,$G$2:G45,G45,$H$2:H45,H45,$I$2:I45,I45)&gt;1,"Repeat","First"),"")</f>
        <v/>
      </c>
      <c r="N45" s="7" t="str">
        <f aca="false">IF(E45&gt;QUARTILE($E$2:$E$151,3)+Assumptions!$B$5*(QUARTILE($E$2:$E$151,3)-QUARTILE($E$2:$E$151,1)),"Outlier","")</f>
        <v/>
      </c>
    </row>
    <row r="46" customFormat="false" ht="15" hidden="false" customHeight="false" outlineLevel="0" collapsed="false">
      <c r="A46" s="7" t="s">
        <v>14</v>
      </c>
      <c r="B46" s="20" t="n">
        <v>44551</v>
      </c>
      <c r="C46" s="7" t="s">
        <v>98</v>
      </c>
      <c r="D46" s="7" t="s">
        <v>94</v>
      </c>
      <c r="E46" s="21" t="n">
        <v>19.45</v>
      </c>
      <c r="F46" s="22" t="n">
        <v>270</v>
      </c>
      <c r="G46" s="22" t="n">
        <v>0</v>
      </c>
      <c r="H46" s="22" t="n">
        <v>15</v>
      </c>
      <c r="I46" s="7" t="s">
        <v>89</v>
      </c>
      <c r="J46" s="23" t="n">
        <f aca="false">E46*F46</f>
        <v>5251.5</v>
      </c>
      <c r="K46" s="24" t="n">
        <f aca="false">IF(H46&gt;0,F46/H46,"")</f>
        <v>18</v>
      </c>
      <c r="L46" s="7" t="str">
        <f aca="false">IF(I46="Yes",IF(F46&gt;0,"Discontinued - in stock","Discontinued"),IF(F46=0,IF(G46&gt;0,"Stock-out - on order","Stock-out"),IF(H46=0,"No reorder level",IF(K46&gt;=Assumptions!$B$4,"Overstock","OK"))))</f>
        <v>OK</v>
      </c>
      <c r="M46" s="7" t="str">
        <f aca="false">IF(COUNTIFS($A$2:$A$151,A46,$B$2:$B$151,B46,$C$2:$C$151,C46,$D$2:$D$151,D46,$E$2:$E$151,E46,$F$2:$F$151,F46,$G$2:$G$151,G46,$H$2:$H$151,H46,$I$2:$I$151,I46)&gt;1,IF(COUNTIFS($A$2:A46,A46,$B$2:B46,B46,$C$2:C46,C46,$D$2:D46,D46,$E$2:E46,E46,$F$2:F46,F46,$G$2:G46,G46,$H$2:H46,H46,$I$2:I46,I46)&gt;1,"Repeat","First"),"")</f>
        <v/>
      </c>
      <c r="N46" s="7" t="str">
        <f aca="false">IF(E46&gt;QUARTILE($E$2:$E$151,3)+Assumptions!$B$5*(QUARTILE($E$2:$E$151,3)-QUARTILE($E$2:$E$151,1)),"Outlier","")</f>
        <v/>
      </c>
    </row>
    <row r="47" customFormat="false" ht="15" hidden="false" customHeight="false" outlineLevel="0" collapsed="false">
      <c r="A47" s="7" t="s">
        <v>14</v>
      </c>
      <c r="B47" s="20" t="n">
        <v>44551</v>
      </c>
      <c r="C47" s="7" t="s">
        <v>96</v>
      </c>
      <c r="D47" s="7" t="s">
        <v>94</v>
      </c>
      <c r="E47" s="21" t="n">
        <v>19.45</v>
      </c>
      <c r="F47" s="22" t="n">
        <v>270</v>
      </c>
      <c r="G47" s="22" t="n">
        <v>0</v>
      </c>
      <c r="H47" s="22" t="n">
        <v>15</v>
      </c>
      <c r="I47" s="7" t="s">
        <v>89</v>
      </c>
      <c r="J47" s="23" t="n">
        <f aca="false">E47*F47</f>
        <v>5251.5</v>
      </c>
      <c r="K47" s="24" t="n">
        <f aca="false">IF(H47&gt;0,F47/H47,"")</f>
        <v>18</v>
      </c>
      <c r="L47" s="7" t="str">
        <f aca="false">IF(I47="Yes",IF(F47&gt;0,"Discontinued - in stock","Discontinued"),IF(F47=0,IF(G47&gt;0,"Stock-out - on order","Stock-out"),IF(H47=0,"No reorder level",IF(K47&gt;=Assumptions!$B$4,"Overstock","OK"))))</f>
        <v>OK</v>
      </c>
      <c r="M47" s="7" t="str">
        <f aca="false">IF(COUNTIFS($A$2:$A$151,A47,$B$2:$B$151,B47,$C$2:$C$151,C47,$D$2:$D$151,D47,$E$2:$E$151,E47,$F$2:$F$151,F47,$G$2:$G$151,G47,$H$2:$H$151,H47,$I$2:$I$151,I47)&gt;1,IF(COUNTIFS($A$2:A47,A47,$B$2:B47,B47,$C$2:C47,C47,$D$2:D47,D47,$E$2:E47,E47,$F$2:F47,F47,$G$2:G47,G47,$H$2:H47,H47,$I$2:I47,I47)&gt;1,"Repeat","First"),"")</f>
        <v/>
      </c>
      <c r="N47" s="7" t="str">
        <f aca="false">IF(E47&gt;QUARTILE($E$2:$E$151,3)+Assumptions!$B$5*(QUARTILE($E$2:$E$151,3)-QUARTILE($E$2:$E$151,1)),"Outlier","")</f>
        <v/>
      </c>
    </row>
    <row r="48" customFormat="false" ht="15" hidden="false" customHeight="false" outlineLevel="0" collapsed="false">
      <c r="A48" s="7" t="s">
        <v>14</v>
      </c>
      <c r="B48" s="20" t="n">
        <v>44586</v>
      </c>
      <c r="C48" s="7" t="s">
        <v>96</v>
      </c>
      <c r="D48" s="7" t="s">
        <v>94</v>
      </c>
      <c r="E48" s="21" t="n">
        <v>9.2</v>
      </c>
      <c r="F48" s="22" t="n">
        <v>250</v>
      </c>
      <c r="G48" s="22" t="n">
        <v>0</v>
      </c>
      <c r="H48" s="22" t="n">
        <v>5</v>
      </c>
      <c r="I48" s="7" t="s">
        <v>89</v>
      </c>
      <c r="J48" s="23" t="n">
        <f aca="false">E48*F48</f>
        <v>2300</v>
      </c>
      <c r="K48" s="24" t="n">
        <f aca="false">IF(H48&gt;0,F48/H48,"")</f>
        <v>50</v>
      </c>
      <c r="L48" s="7" t="str">
        <f aca="false">IF(I48="Yes",IF(F48&gt;0,"Discontinued - in stock","Discontinued"),IF(F48=0,IF(G48&gt;0,"Stock-out - on order","Stock-out"),IF(H48=0,"No reorder level",IF(K48&gt;=Assumptions!$B$4,"Overstock","OK"))))</f>
        <v>Overstock</v>
      </c>
      <c r="M48" s="7" t="str">
        <f aca="false">IF(COUNTIFS($A$2:$A$151,A48,$B$2:$B$151,B48,$C$2:$C$151,C48,$D$2:$D$151,D48,$E$2:$E$151,E48,$F$2:$F$151,F48,$G$2:$G$151,G48,$H$2:$H$151,H48,$I$2:$I$151,I48)&gt;1,IF(COUNTIFS($A$2:A48,A48,$B$2:B48,B48,$C$2:C48,C48,$D$2:D48,D48,$E$2:E48,E48,$F$2:F48,F48,$G$2:G48,G48,$H$2:H48,H48,$I$2:I48,I48)&gt;1,"Repeat","First"),"")</f>
        <v/>
      </c>
      <c r="N48" s="7" t="str">
        <f aca="false">IF(E48&gt;QUARTILE($E$2:$E$151,3)+Assumptions!$B$5*(QUARTILE($E$2:$E$151,3)-QUARTILE($E$2:$E$151,1)),"Outlier","")</f>
        <v/>
      </c>
    </row>
    <row r="49" customFormat="false" ht="15" hidden="false" customHeight="false" outlineLevel="0" collapsed="false">
      <c r="A49" s="7" t="s">
        <v>14</v>
      </c>
      <c r="B49" s="20" t="n">
        <v>44586</v>
      </c>
      <c r="C49" s="7" t="s">
        <v>95</v>
      </c>
      <c r="D49" s="7" t="s">
        <v>94</v>
      </c>
      <c r="E49" s="21" t="n">
        <v>9.2</v>
      </c>
      <c r="F49" s="22" t="n">
        <v>250</v>
      </c>
      <c r="G49" s="22" t="n">
        <v>0</v>
      </c>
      <c r="H49" s="22" t="n">
        <v>5</v>
      </c>
      <c r="I49" s="7" t="s">
        <v>89</v>
      </c>
      <c r="J49" s="23" t="n">
        <f aca="false">E49*F49</f>
        <v>2300</v>
      </c>
      <c r="K49" s="24" t="n">
        <f aca="false">IF(H49&gt;0,F49/H49,"")</f>
        <v>50</v>
      </c>
      <c r="L49" s="7" t="str">
        <f aca="false">IF(I49="Yes",IF(F49&gt;0,"Discontinued - in stock","Discontinued"),IF(F49=0,IF(G49&gt;0,"Stock-out - on order","Stock-out"),IF(H49=0,"No reorder level",IF(K49&gt;=Assumptions!$B$4,"Overstock","OK"))))</f>
        <v>Overstock</v>
      </c>
      <c r="M49" s="7" t="str">
        <f aca="false">IF(COUNTIFS($A$2:$A$151,A49,$B$2:$B$151,B49,$C$2:$C$151,C49,$D$2:$D$151,D49,$E$2:$E$151,E49,$F$2:$F$151,F49,$G$2:$G$151,G49,$H$2:$H$151,H49,$I$2:$I$151,I49)&gt;1,IF(COUNTIFS($A$2:A49,A49,$B$2:B49,B49,$C$2:C49,C49,$D$2:D49,D49,$E$2:E49,E49,$F$2:F49,F49,$G$2:G49,G49,$H$2:H49,H49,$I$2:I49,I49)&gt;1,"Repeat","First"),"")</f>
        <v/>
      </c>
      <c r="N49" s="7" t="str">
        <f aca="false">IF(E49&gt;QUARTILE($E$2:$E$151,3)+Assumptions!$B$5*(QUARTILE($E$2:$E$151,3)-QUARTILE($E$2:$E$151,1)),"Outlier","")</f>
        <v/>
      </c>
    </row>
    <row r="50" customFormat="false" ht="15" hidden="false" customHeight="false" outlineLevel="0" collapsed="false">
      <c r="A50" s="7" t="s">
        <v>14</v>
      </c>
      <c r="B50" s="20" t="n">
        <v>44575</v>
      </c>
      <c r="C50" s="7" t="s">
        <v>93</v>
      </c>
      <c r="D50" s="7" t="s">
        <v>94</v>
      </c>
      <c r="E50" s="21" t="n">
        <v>43.9</v>
      </c>
      <c r="F50" s="22" t="n">
        <v>240</v>
      </c>
      <c r="G50" s="22" t="n">
        <v>0</v>
      </c>
      <c r="H50" s="22" t="n">
        <v>5</v>
      </c>
      <c r="I50" s="7" t="s">
        <v>89</v>
      </c>
      <c r="J50" s="23" t="n">
        <f aca="false">E50*F50</f>
        <v>10536</v>
      </c>
      <c r="K50" s="24" t="n">
        <f aca="false">IF(H50&gt;0,F50/H50,"")</f>
        <v>48</v>
      </c>
      <c r="L50" s="7" t="str">
        <f aca="false">IF(I50="Yes",IF(F50&gt;0,"Discontinued - in stock","Discontinued"),IF(F50=0,IF(G50&gt;0,"Stock-out - on order","Stock-out"),IF(H50=0,"No reorder level",IF(K50&gt;=Assumptions!$B$4,"Overstock","OK"))))</f>
        <v>Overstock</v>
      </c>
      <c r="M50" s="7" t="str">
        <f aca="false">IF(COUNTIFS($A$2:$A$151,A50,$B$2:$B$151,B50,$C$2:$C$151,C50,$D$2:$D$151,D50,$E$2:$E$151,E50,$F$2:$F$151,F50,$G$2:$G$151,G50,$H$2:$H$151,H50,$I$2:$I$151,I50)&gt;1,IF(COUNTIFS($A$2:A50,A50,$B$2:B50,B50,$C$2:C50,C50,$D$2:D50,D50,$E$2:E50,E50,$F$2:F50,F50,$G$2:G50,G50,$H$2:H50,H50,$I$2:I50,I50)&gt;1,"Repeat","First"),"")</f>
        <v/>
      </c>
      <c r="N50" s="7" t="str">
        <f aca="false">IF(E50&gt;QUARTILE($E$2:$E$151,3)+Assumptions!$B$5*(QUARTILE($E$2:$E$151,3)-QUARTILE($E$2:$E$151,1)),"Outlier","")</f>
        <v/>
      </c>
    </row>
    <row r="51" customFormat="false" ht="15" hidden="false" customHeight="false" outlineLevel="0" collapsed="false">
      <c r="A51" s="7" t="s">
        <v>14</v>
      </c>
      <c r="B51" s="20" t="n">
        <v>44575</v>
      </c>
      <c r="C51" s="7" t="s">
        <v>98</v>
      </c>
      <c r="D51" s="7" t="s">
        <v>94</v>
      </c>
      <c r="E51" s="21" t="n">
        <v>43.9</v>
      </c>
      <c r="F51" s="22" t="n">
        <v>240</v>
      </c>
      <c r="G51" s="22" t="n">
        <v>0</v>
      </c>
      <c r="H51" s="22" t="n">
        <v>5</v>
      </c>
      <c r="I51" s="7" t="s">
        <v>89</v>
      </c>
      <c r="J51" s="23" t="n">
        <f aca="false">E51*F51</f>
        <v>10536</v>
      </c>
      <c r="K51" s="24" t="n">
        <f aca="false">IF(H51&gt;0,F51/H51,"")</f>
        <v>48</v>
      </c>
      <c r="L51" s="7" t="str">
        <f aca="false">IF(I51="Yes",IF(F51&gt;0,"Discontinued - in stock","Discontinued"),IF(F51=0,IF(G51&gt;0,"Stock-out - on order","Stock-out"),IF(H51=0,"No reorder level",IF(K51&gt;=Assumptions!$B$4,"Overstock","OK"))))</f>
        <v>Overstock</v>
      </c>
      <c r="M51" s="7" t="str">
        <f aca="false">IF(COUNTIFS($A$2:$A$151,A51,$B$2:$B$151,B51,$C$2:$C$151,C51,$D$2:$D$151,D51,$E$2:$E$151,E51,$F$2:$F$151,F51,$G$2:$G$151,G51,$H$2:$H$151,H51,$I$2:$I$151,I51)&gt;1,IF(COUNTIFS($A$2:A51,A51,$B$2:B51,B51,$C$2:C51,C51,$D$2:D51,D51,$E$2:E51,E51,$F$2:F51,F51,$G$2:G51,G51,$H$2:H51,H51,$I$2:I51,I51)&gt;1,"Repeat","First"),"")</f>
        <v/>
      </c>
      <c r="N51" s="7" t="str">
        <f aca="false">IF(E51&gt;QUARTILE($E$2:$E$151,3)+Assumptions!$B$5*(QUARTILE($E$2:$E$151,3)-QUARTILE($E$2:$E$151,1)),"Outlier","")</f>
        <v/>
      </c>
    </row>
    <row r="52" customFormat="false" ht="15" hidden="false" customHeight="false" outlineLevel="0" collapsed="false">
      <c r="A52" s="7" t="s">
        <v>14</v>
      </c>
      <c r="B52" s="20" t="n">
        <v>44375</v>
      </c>
      <c r="C52" s="7" t="s">
        <v>96</v>
      </c>
      <c r="D52" s="7" t="s">
        <v>94</v>
      </c>
      <c r="E52" s="21" t="n">
        <v>18</v>
      </c>
      <c r="F52" s="22" t="n">
        <v>200</v>
      </c>
      <c r="G52" s="22" t="n">
        <v>0</v>
      </c>
      <c r="H52" s="22" t="n">
        <v>15</v>
      </c>
      <c r="I52" s="7" t="s">
        <v>89</v>
      </c>
      <c r="J52" s="23" t="n">
        <f aca="false">E52*F52</f>
        <v>3600</v>
      </c>
      <c r="K52" s="24" t="n">
        <f aca="false">IF(H52&gt;0,F52/H52,"")</f>
        <v>13.3333333333333</v>
      </c>
      <c r="L52" s="7" t="str">
        <f aca="false">IF(I52="Yes",IF(F52&gt;0,"Discontinued - in stock","Discontinued"),IF(F52=0,IF(G52&gt;0,"Stock-out - on order","Stock-out"),IF(H52=0,"No reorder level",IF(K52&gt;=Assumptions!$B$4,"Overstock","OK"))))</f>
        <v>OK</v>
      </c>
      <c r="M52" s="7" t="str">
        <f aca="false">IF(COUNTIFS($A$2:$A$151,A52,$B$2:$B$151,B52,$C$2:$C$151,C52,$D$2:$D$151,D52,$E$2:$E$151,E52,$F$2:$F$151,F52,$G$2:$G$151,G52,$H$2:$H$151,H52,$I$2:$I$151,I52)&gt;1,IF(COUNTIFS($A$2:A52,A52,$B$2:B52,B52,$C$2:C52,C52,$D$2:D52,D52,$E$2:E52,E52,$F$2:F52,F52,$G$2:G52,G52,$H$2:H52,H52,$I$2:I52,I52)&gt;1,"Repeat","First"),"")</f>
        <v>First</v>
      </c>
      <c r="N52" s="7" t="str">
        <f aca="false">IF(E52&gt;QUARTILE($E$2:$E$151,3)+Assumptions!$B$5*(QUARTILE($E$2:$E$151,3)-QUARTILE($E$2:$E$151,1)),"Outlier","")</f>
        <v/>
      </c>
    </row>
    <row r="53" customFormat="false" ht="15" hidden="false" customHeight="false" outlineLevel="0" collapsed="false">
      <c r="A53" s="7" t="s">
        <v>14</v>
      </c>
      <c r="B53" s="20" t="n">
        <v>44375</v>
      </c>
      <c r="C53" s="7" t="s">
        <v>96</v>
      </c>
      <c r="D53" s="7" t="s">
        <v>94</v>
      </c>
      <c r="E53" s="21" t="n">
        <v>18</v>
      </c>
      <c r="F53" s="22" t="n">
        <v>200</v>
      </c>
      <c r="G53" s="22" t="n">
        <v>0</v>
      </c>
      <c r="H53" s="22" t="n">
        <v>15</v>
      </c>
      <c r="I53" s="7" t="s">
        <v>89</v>
      </c>
      <c r="J53" s="23" t="n">
        <f aca="false">E53*F53</f>
        <v>3600</v>
      </c>
      <c r="K53" s="24" t="n">
        <f aca="false">IF(H53&gt;0,F53/H53,"")</f>
        <v>13.3333333333333</v>
      </c>
      <c r="L53" s="7" t="str">
        <f aca="false">IF(I53="Yes",IF(F53&gt;0,"Discontinued - in stock","Discontinued"),IF(F53=0,IF(G53&gt;0,"Stock-out - on order","Stock-out"),IF(H53=0,"No reorder level",IF(K53&gt;=Assumptions!$B$4,"Overstock","OK"))))</f>
        <v>OK</v>
      </c>
      <c r="M53" s="7" t="str">
        <f aca="false">IF(COUNTIFS($A$2:$A$151,A53,$B$2:$B$151,B53,$C$2:$C$151,C53,$D$2:$D$151,D53,$E$2:$E$151,E53,$F$2:$F$151,F53,$G$2:$G$151,G53,$H$2:$H$151,H53,$I$2:$I$151,I53)&gt;1,IF(COUNTIFS($A$2:A53,A53,$B$2:B53,B53,$C$2:C53,C53,$D$2:D53,D53,$E$2:E53,E53,$F$2:F53,F53,$G$2:G53,G53,$H$2:H53,H53,$I$2:I53,I53)&gt;1,"Repeat","First"),"")</f>
        <v>Repeat</v>
      </c>
      <c r="N53" s="7" t="str">
        <f aca="false">IF(E53&gt;QUARTILE($E$2:$E$151,3)+Assumptions!$B$5*(QUARTILE($E$2:$E$151,3)-QUARTILE($E$2:$E$151,1)),"Outlier","")</f>
        <v/>
      </c>
    </row>
    <row r="54" customFormat="false" ht="15" hidden="false" customHeight="false" outlineLevel="0" collapsed="false">
      <c r="A54" s="7" t="s">
        <v>14</v>
      </c>
      <c r="B54" s="20" t="n">
        <v>44584</v>
      </c>
      <c r="C54" s="7" t="s">
        <v>98</v>
      </c>
      <c r="D54" s="7" t="s">
        <v>94</v>
      </c>
      <c r="E54" s="21" t="n">
        <v>4.5</v>
      </c>
      <c r="F54" s="22" t="n">
        <v>200</v>
      </c>
      <c r="G54" s="22" t="n">
        <v>0</v>
      </c>
      <c r="H54" s="22" t="n">
        <v>0</v>
      </c>
      <c r="I54" s="7" t="s">
        <v>92</v>
      </c>
      <c r="J54" s="23" t="n">
        <f aca="false">E54*F54</f>
        <v>900</v>
      </c>
      <c r="K54" s="24" t="str">
        <f aca="false">IF(H54&gt;0,F54/H54,"")</f>
        <v/>
      </c>
      <c r="L54" s="7" t="str">
        <f aca="false">IF(I54="Yes",IF(F54&gt;0,"Discontinued - in stock","Discontinued"),IF(F54=0,IF(G54&gt;0,"Stock-out - on order","Stock-out"),IF(H54=0,"No reorder level",IF(K54&gt;=Assumptions!$B$4,"Overstock","OK"))))</f>
        <v>Discontinued - in stock</v>
      </c>
      <c r="M54" s="7" t="str">
        <f aca="false">IF(COUNTIFS($A$2:$A$151,A54,$B$2:$B$151,B54,$C$2:$C$151,C54,$D$2:$D$151,D54,$E$2:$E$151,E54,$F$2:$F$151,F54,$G$2:$G$151,G54,$H$2:$H$151,H54,$I$2:$I$151,I54)&gt;1,IF(COUNTIFS($A$2:A54,A54,$B$2:B54,B54,$C$2:C54,C54,$D$2:D54,D54,$E$2:E54,E54,$F$2:F54,F54,$G$2:G54,G54,$H$2:H54,H54,$I$2:I54,I54)&gt;1,"Repeat","First"),"")</f>
        <v/>
      </c>
      <c r="N54" s="7" t="str">
        <f aca="false">IF(E54&gt;QUARTILE($E$2:$E$151,3)+Assumptions!$B$5*(QUARTILE($E$2:$E$151,3)-QUARTILE($E$2:$E$151,1)),"Outlier","")</f>
        <v/>
      </c>
    </row>
    <row r="55" customFormat="false" ht="15" hidden="false" customHeight="false" outlineLevel="0" collapsed="false">
      <c r="A55" s="7" t="s">
        <v>14</v>
      </c>
      <c r="B55" s="20" t="n">
        <v>44584</v>
      </c>
      <c r="C55" s="7" t="s">
        <v>95</v>
      </c>
      <c r="D55" s="7" t="s">
        <v>94</v>
      </c>
      <c r="E55" s="21" t="n">
        <v>4.5</v>
      </c>
      <c r="F55" s="22" t="n">
        <v>200</v>
      </c>
      <c r="G55" s="22" t="n">
        <v>0</v>
      </c>
      <c r="H55" s="22" t="n">
        <v>0</v>
      </c>
      <c r="I55" s="7" t="s">
        <v>92</v>
      </c>
      <c r="J55" s="23" t="n">
        <f aca="false">E55*F55</f>
        <v>900</v>
      </c>
      <c r="K55" s="24" t="str">
        <f aca="false">IF(H55&gt;0,F55/H55,"")</f>
        <v/>
      </c>
      <c r="L55" s="7" t="str">
        <f aca="false">IF(I55="Yes",IF(F55&gt;0,"Discontinued - in stock","Discontinued"),IF(F55=0,IF(G55&gt;0,"Stock-out - on order","Stock-out"),IF(H55=0,"No reorder level",IF(K55&gt;=Assumptions!$B$4,"Overstock","OK"))))</f>
        <v>Discontinued - in stock</v>
      </c>
      <c r="M55" s="7" t="str">
        <f aca="false">IF(COUNTIFS($A$2:$A$151,A55,$B$2:$B$151,B55,$C$2:$C$151,C55,$D$2:$D$151,D55,$E$2:$E$151,E55,$F$2:$F$151,F55,$G$2:$G$151,G55,$H$2:$H$151,H55,$I$2:$I$151,I55)&gt;1,IF(COUNTIFS($A$2:A55,A55,$B$2:B55,B55,$C$2:C55,C55,$D$2:D55,D55,$E$2:E55,E55,$F$2:F55,F55,$G$2:G55,G55,$H$2:H55,H55,$I$2:I55,I55)&gt;1,"Repeat","First"),"")</f>
        <v/>
      </c>
      <c r="N55" s="7" t="str">
        <f aca="false">IF(E55&gt;QUARTILE($E$2:$E$151,3)+Assumptions!$B$5*(QUARTILE($E$2:$E$151,3)-QUARTILE($E$2:$E$151,1)),"Outlier","")</f>
        <v/>
      </c>
    </row>
    <row r="56" customFormat="false" ht="15" hidden="false" customHeight="false" outlineLevel="0" collapsed="false">
      <c r="A56" s="7" t="s">
        <v>14</v>
      </c>
      <c r="B56" s="20" t="n">
        <v>44327</v>
      </c>
      <c r="C56" s="7" t="s">
        <v>97</v>
      </c>
      <c r="D56" s="7" t="s">
        <v>94</v>
      </c>
      <c r="E56" s="21" t="n">
        <v>263.5</v>
      </c>
      <c r="F56" s="22" t="n">
        <v>170</v>
      </c>
      <c r="G56" s="22" t="n">
        <v>0</v>
      </c>
      <c r="H56" s="22" t="n">
        <v>15</v>
      </c>
      <c r="I56" s="7" t="s">
        <v>89</v>
      </c>
      <c r="J56" s="23" t="n">
        <f aca="false">E56*F56</f>
        <v>44795</v>
      </c>
      <c r="K56" s="24" t="n">
        <f aca="false">IF(H56&gt;0,F56/H56,"")</f>
        <v>11.3333333333333</v>
      </c>
      <c r="L56" s="7" t="str">
        <f aca="false">IF(I56="Yes",IF(F56&gt;0,"Discontinued - in stock","Discontinued"),IF(F56=0,IF(G56&gt;0,"Stock-out - on order","Stock-out"),IF(H56=0,"No reorder level",IF(K56&gt;=Assumptions!$B$4,"Overstock","OK"))))</f>
        <v>OK</v>
      </c>
      <c r="M56" s="7" t="str">
        <f aca="false">IF(COUNTIFS($A$2:$A$151,A56,$B$2:$B$151,B56,$C$2:$C$151,C56,$D$2:$D$151,D56,$E$2:$E$151,E56,$F$2:$F$151,F56,$G$2:$G$151,G56,$H$2:$H$151,H56,$I$2:$I$151,I56)&gt;1,IF(COUNTIFS($A$2:A56,A56,$B$2:B56,B56,$C$2:C56,C56,$D$2:D56,D56,$E$2:E56,E56,$F$2:F56,F56,$G$2:G56,G56,$H$2:H56,H56,$I$2:I56,I56)&gt;1,"Repeat","First"),"")</f>
        <v>First</v>
      </c>
      <c r="N56" s="7" t="str">
        <f aca="false">IF(E56&gt;QUARTILE($E$2:$E$151,3)+Assumptions!$B$5*(QUARTILE($E$2:$E$151,3)-QUARTILE($E$2:$E$151,1)),"Outlier","")</f>
        <v>Outlier</v>
      </c>
    </row>
    <row r="57" customFormat="false" ht="15" hidden="false" customHeight="false" outlineLevel="0" collapsed="false">
      <c r="A57" s="7" t="s">
        <v>14</v>
      </c>
      <c r="B57" s="20" t="n">
        <v>44327</v>
      </c>
      <c r="C57" s="7" t="s">
        <v>97</v>
      </c>
      <c r="D57" s="7" t="s">
        <v>94</v>
      </c>
      <c r="E57" s="21" t="n">
        <v>263.5</v>
      </c>
      <c r="F57" s="22" t="n">
        <v>170</v>
      </c>
      <c r="G57" s="22" t="n">
        <v>0</v>
      </c>
      <c r="H57" s="22" t="n">
        <v>15</v>
      </c>
      <c r="I57" s="7" t="s">
        <v>89</v>
      </c>
      <c r="J57" s="23" t="n">
        <f aca="false">E57*F57</f>
        <v>44795</v>
      </c>
      <c r="K57" s="24" t="n">
        <f aca="false">IF(H57&gt;0,F57/H57,"")</f>
        <v>11.3333333333333</v>
      </c>
      <c r="L57" s="7" t="str">
        <f aca="false">IF(I57="Yes",IF(F57&gt;0,"Discontinued - in stock","Discontinued"),IF(F57=0,IF(G57&gt;0,"Stock-out - on order","Stock-out"),IF(H57=0,"No reorder level",IF(K57&gt;=Assumptions!$B$4,"Overstock","OK"))))</f>
        <v>OK</v>
      </c>
      <c r="M57" s="7" t="str">
        <f aca="false">IF(COUNTIFS($A$2:$A$151,A57,$B$2:$B$151,B57,$C$2:$C$151,C57,$D$2:$D$151,D57,$E$2:$E$151,E57,$F$2:$F$151,F57,$G$2:$G$151,G57,$H$2:$H$151,H57,$I$2:$I$151,I57)&gt;1,IF(COUNTIFS($A$2:A57,A57,$B$2:B57,B57,$C$2:C57,C57,$D$2:D57,D57,$E$2:E57,E57,$F$2:F57,F57,$G$2:G57,G57,$H$2:H57,H57,$I$2:I57,I57)&gt;1,"Repeat","First"),"")</f>
        <v>Repeat</v>
      </c>
      <c r="N57" s="7" t="str">
        <f aca="false">IF(E57&gt;QUARTILE($E$2:$E$151,3)+Assumptions!$B$5*(QUARTILE($E$2:$E$151,3)-QUARTILE($E$2:$E$151,1)),"Outlier","")</f>
        <v>Outlier</v>
      </c>
    </row>
    <row r="58" customFormat="false" ht="15" hidden="false" customHeight="false" outlineLevel="0" collapsed="false">
      <c r="A58" s="7" t="s">
        <v>14</v>
      </c>
      <c r="B58" s="20" t="n">
        <v>44423</v>
      </c>
      <c r="C58" s="7" t="s">
        <v>97</v>
      </c>
      <c r="D58" s="7" t="s">
        <v>94</v>
      </c>
      <c r="E58" s="21" t="n">
        <v>19</v>
      </c>
      <c r="F58" s="22" t="n">
        <v>170</v>
      </c>
      <c r="G58" s="22" t="n">
        <v>40</v>
      </c>
      <c r="H58" s="22" t="n">
        <v>25</v>
      </c>
      <c r="I58" s="7" t="s">
        <v>89</v>
      </c>
      <c r="J58" s="23" t="n">
        <f aca="false">E58*F58</f>
        <v>3230</v>
      </c>
      <c r="K58" s="24" t="n">
        <f aca="false">IF(H58&gt;0,F58/H58,"")</f>
        <v>6.8</v>
      </c>
      <c r="L58" s="7" t="str">
        <f aca="false">IF(I58="Yes",IF(F58&gt;0,"Discontinued - in stock","Discontinued"),IF(F58=0,IF(G58&gt;0,"Stock-out - on order","Stock-out"),IF(H58=0,"No reorder level",IF(K58&gt;=Assumptions!$B$4,"Overstock","OK"))))</f>
        <v>OK</v>
      </c>
      <c r="M58" s="7" t="str">
        <f aca="false">IF(COUNTIFS($A$2:$A$151,A58,$B$2:$B$151,B58,$C$2:$C$151,C58,$D$2:$D$151,D58,$E$2:$E$151,E58,$F$2:$F$151,F58,$G$2:$G$151,G58,$H$2:$H$151,H58,$I$2:$I$151,I58)&gt;1,IF(COUNTIFS($A$2:A58,A58,$B$2:B58,B58,$C$2:C58,C58,$D$2:D58,D58,$E$2:E58,E58,$F$2:F58,F58,$G$2:G58,G58,$H$2:H58,H58,$I$2:I58,I58)&gt;1,"Repeat","First"),"")</f>
        <v>First</v>
      </c>
      <c r="N58" s="7" t="str">
        <f aca="false">IF(E58&gt;QUARTILE($E$2:$E$151,3)+Assumptions!$B$5*(QUARTILE($E$2:$E$151,3)-QUARTILE($E$2:$E$151,1)),"Outlier","")</f>
        <v/>
      </c>
    </row>
    <row r="59" customFormat="false" ht="15" hidden="false" customHeight="false" outlineLevel="0" collapsed="false">
      <c r="A59" s="7" t="s">
        <v>14</v>
      </c>
      <c r="B59" s="20" t="n">
        <v>44423</v>
      </c>
      <c r="C59" s="7" t="s">
        <v>97</v>
      </c>
      <c r="D59" s="7" t="s">
        <v>94</v>
      </c>
      <c r="E59" s="21" t="n">
        <v>19</v>
      </c>
      <c r="F59" s="22" t="n">
        <v>170</v>
      </c>
      <c r="G59" s="22" t="n">
        <v>40</v>
      </c>
      <c r="H59" s="22" t="n">
        <v>25</v>
      </c>
      <c r="I59" s="7" t="s">
        <v>89</v>
      </c>
      <c r="J59" s="23" t="n">
        <f aca="false">E59*F59</f>
        <v>3230</v>
      </c>
      <c r="K59" s="24" t="n">
        <f aca="false">IF(H59&gt;0,F59/H59,"")</f>
        <v>6.8</v>
      </c>
      <c r="L59" s="7" t="str">
        <f aca="false">IF(I59="Yes",IF(F59&gt;0,"Discontinued - in stock","Discontinued"),IF(F59=0,IF(G59&gt;0,"Stock-out - on order","Stock-out"),IF(H59=0,"No reorder level",IF(K59&gt;=Assumptions!$B$4,"Overstock","OK"))))</f>
        <v>OK</v>
      </c>
      <c r="M59" s="7" t="str">
        <f aca="false">IF(COUNTIFS($A$2:$A$151,A59,$B$2:$B$151,B59,$C$2:$C$151,C59,$D$2:$D$151,D59,$E$2:$E$151,E59,$F$2:$F$151,F59,$G$2:$G$151,G59,$H$2:$H$151,H59,$I$2:$I$151,I59)&gt;1,IF(COUNTIFS($A$2:A59,A59,$B$2:B59,B59,$C$2:C59,C59,$D$2:D59,D59,$E$2:E59,E59,$F$2:F59,F59,$G$2:G59,G59,$H$2:H59,H59,$I$2:I59,I59)&gt;1,"Repeat","First"),"")</f>
        <v>Repeat</v>
      </c>
      <c r="N59" s="7" t="str">
        <f aca="false">IF(E59&gt;QUARTILE($E$2:$E$151,3)+Assumptions!$B$5*(QUARTILE($E$2:$E$151,3)-QUARTILE($E$2:$E$151,1)),"Outlier","")</f>
        <v/>
      </c>
    </row>
    <row r="60" customFormat="false" ht="15" hidden="false" customHeight="false" outlineLevel="0" collapsed="false">
      <c r="A60" s="7" t="s">
        <v>14</v>
      </c>
      <c r="B60" s="20" t="n">
        <v>44447</v>
      </c>
      <c r="C60" s="7" t="s">
        <v>96</v>
      </c>
      <c r="D60" s="7" t="s">
        <v>94</v>
      </c>
      <c r="E60" s="21" t="n">
        <v>49.3</v>
      </c>
      <c r="F60" s="22" t="n">
        <v>170</v>
      </c>
      <c r="G60" s="22" t="n">
        <v>0</v>
      </c>
      <c r="H60" s="22" t="n">
        <v>0</v>
      </c>
      <c r="I60" s="7" t="s">
        <v>89</v>
      </c>
      <c r="J60" s="23" t="n">
        <f aca="false">E60*F60</f>
        <v>8381</v>
      </c>
      <c r="K60" s="24" t="str">
        <f aca="false">IF(H60&gt;0,F60/H60,"")</f>
        <v/>
      </c>
      <c r="L60" s="7" t="str">
        <f aca="false">IF(I60="Yes",IF(F60&gt;0,"Discontinued - in stock","Discontinued"),IF(F60=0,IF(G60&gt;0,"Stock-out - on order","Stock-out"),IF(H60=0,"No reorder level",IF(K60&gt;=Assumptions!$B$4,"Overstock","OK"))))</f>
        <v>No reorder level</v>
      </c>
      <c r="M60" s="7" t="str">
        <f aca="false">IF(COUNTIFS($A$2:$A$151,A60,$B$2:$B$151,B60,$C$2:$C$151,C60,$D$2:$D$151,D60,$E$2:$E$151,E60,$F$2:$F$151,F60,$G$2:$G$151,G60,$H$2:$H$151,H60,$I$2:$I$151,I60)&gt;1,IF(COUNTIFS($A$2:A60,A60,$B$2:B60,B60,$C$2:C60,C60,$D$2:D60,D60,$E$2:E60,E60,$F$2:F60,F60,$G$2:G60,G60,$H$2:H60,H60,$I$2:I60,I60)&gt;1,"Repeat","First"),"")</f>
        <v/>
      </c>
      <c r="N60" s="7" t="str">
        <f aca="false">IF(E60&gt;QUARTILE($E$2:$E$151,3)+Assumptions!$B$5*(QUARTILE($E$2:$E$151,3)-QUARTILE($E$2:$E$151,1)),"Outlier","")</f>
        <v/>
      </c>
    </row>
    <row r="61" customFormat="false" ht="15" hidden="false" customHeight="false" outlineLevel="0" collapsed="false">
      <c r="A61" s="7" t="s">
        <v>14</v>
      </c>
      <c r="B61" s="20" t="n">
        <v>44447</v>
      </c>
      <c r="C61" s="7" t="s">
        <v>97</v>
      </c>
      <c r="D61" s="7" t="s">
        <v>94</v>
      </c>
      <c r="E61" s="21" t="n">
        <v>49.3</v>
      </c>
      <c r="F61" s="22" t="n">
        <v>170</v>
      </c>
      <c r="G61" s="22" t="n">
        <v>0</v>
      </c>
      <c r="H61" s="22" t="n">
        <v>0</v>
      </c>
      <c r="I61" s="7" t="s">
        <v>89</v>
      </c>
      <c r="J61" s="23" t="n">
        <f aca="false">E61*F61</f>
        <v>8381</v>
      </c>
      <c r="K61" s="24" t="str">
        <f aca="false">IF(H61&gt;0,F61/H61,"")</f>
        <v/>
      </c>
      <c r="L61" s="7" t="str">
        <f aca="false">IF(I61="Yes",IF(F61&gt;0,"Discontinued - in stock","Discontinued"),IF(F61=0,IF(G61&gt;0,"Stock-out - on order","Stock-out"),IF(H61=0,"No reorder level",IF(K61&gt;=Assumptions!$B$4,"Overstock","OK"))))</f>
        <v>No reorder level</v>
      </c>
      <c r="M61" s="7" t="str">
        <f aca="false">IF(COUNTIFS($A$2:$A$151,A61,$B$2:$B$151,B61,$C$2:$C$151,C61,$D$2:$D$151,D61,$E$2:$E$151,E61,$F$2:$F$151,F61,$G$2:$G$151,G61,$H$2:$H$151,H61,$I$2:$I$151,I61)&gt;1,IF(COUNTIFS($A$2:A61,A61,$B$2:B61,B61,$C$2:C61,C61,$D$2:D61,D61,$E$2:E61,E61,$F$2:F61,F61,$G$2:G61,G61,$H$2:H61,H61,$I$2:I61,I61)&gt;1,"Repeat","First"),"")</f>
        <v/>
      </c>
      <c r="N61" s="7" t="str">
        <f aca="false">IF(E61&gt;QUARTILE($E$2:$E$151,3)+Assumptions!$B$5*(QUARTILE($E$2:$E$151,3)-QUARTILE($E$2:$E$151,1)),"Outlier","")</f>
        <v/>
      </c>
    </row>
    <row r="62" customFormat="false" ht="15" hidden="false" customHeight="false" outlineLevel="0" collapsed="false">
      <c r="A62" s="7" t="s">
        <v>14</v>
      </c>
      <c r="B62" s="20" t="n">
        <v>44550</v>
      </c>
      <c r="C62" s="7" t="s">
        <v>98</v>
      </c>
      <c r="D62" s="7" t="s">
        <v>94</v>
      </c>
      <c r="E62" s="21" t="n">
        <v>46</v>
      </c>
      <c r="F62" s="22" t="n">
        <v>170</v>
      </c>
      <c r="G62" s="22" t="n">
        <v>10</v>
      </c>
      <c r="H62" s="22" t="n">
        <v>25</v>
      </c>
      <c r="I62" s="7" t="s">
        <v>89</v>
      </c>
      <c r="J62" s="23" t="n">
        <f aca="false">E62*F62</f>
        <v>7820</v>
      </c>
      <c r="K62" s="24" t="n">
        <f aca="false">IF(H62&gt;0,F62/H62,"")</f>
        <v>6.8</v>
      </c>
      <c r="L62" s="7" t="str">
        <f aca="false">IF(I62="Yes",IF(F62&gt;0,"Discontinued - in stock","Discontinued"),IF(F62=0,IF(G62&gt;0,"Stock-out - on order","Stock-out"),IF(H62=0,"No reorder level",IF(K62&gt;=Assumptions!$B$4,"Overstock","OK"))))</f>
        <v>OK</v>
      </c>
      <c r="M62" s="7" t="str">
        <f aca="false">IF(COUNTIFS($A$2:$A$151,A62,$B$2:$B$151,B62,$C$2:$C$151,C62,$D$2:$D$151,D62,$E$2:$E$151,E62,$F$2:$F$151,F62,$G$2:$G$151,G62,$H$2:$H$151,H62,$I$2:$I$151,I62)&gt;1,IF(COUNTIFS($A$2:A62,A62,$B$2:B62,B62,$C$2:C62,C62,$D$2:D62,D62,$E$2:E62,E62,$F$2:F62,F62,$G$2:G62,G62,$H$2:H62,H62,$I$2:I62,I62)&gt;1,"Repeat","First"),"")</f>
        <v/>
      </c>
      <c r="N62" s="7" t="str">
        <f aca="false">IF(E62&gt;QUARTILE($E$2:$E$151,3)+Assumptions!$B$5*(QUARTILE($E$2:$E$151,3)-QUARTILE($E$2:$E$151,1)),"Outlier","")</f>
        <v/>
      </c>
    </row>
    <row r="63" customFormat="false" ht="15" hidden="false" customHeight="false" outlineLevel="0" collapsed="false">
      <c r="A63" s="7" t="s">
        <v>14</v>
      </c>
      <c r="B63" s="20" t="n">
        <v>44550</v>
      </c>
      <c r="C63" s="7" t="s">
        <v>95</v>
      </c>
      <c r="D63" s="7" t="s">
        <v>94</v>
      </c>
      <c r="E63" s="21" t="n">
        <v>46</v>
      </c>
      <c r="F63" s="22" t="n">
        <v>170</v>
      </c>
      <c r="G63" s="22" t="n">
        <v>10</v>
      </c>
      <c r="H63" s="22" t="n">
        <v>25</v>
      </c>
      <c r="I63" s="7" t="s">
        <v>89</v>
      </c>
      <c r="J63" s="23" t="n">
        <f aca="false">E63*F63</f>
        <v>7820</v>
      </c>
      <c r="K63" s="24" t="n">
        <f aca="false">IF(H63&gt;0,F63/H63,"")</f>
        <v>6.8</v>
      </c>
      <c r="L63" s="7" t="str">
        <f aca="false">IF(I63="Yes",IF(F63&gt;0,"Discontinued - in stock","Discontinued"),IF(F63=0,IF(G63&gt;0,"Stock-out - on order","Stock-out"),IF(H63=0,"No reorder level",IF(K63&gt;=Assumptions!$B$4,"Overstock","OK"))))</f>
        <v>OK</v>
      </c>
      <c r="M63" s="7" t="str">
        <f aca="false">IF(COUNTIFS($A$2:$A$151,A63,$B$2:$B$151,B63,$C$2:$C$151,C63,$D$2:$D$151,D63,$E$2:$E$151,E63,$F$2:$F$151,F63,$G$2:$G$151,G63,$H$2:$H$151,H63,$I$2:$I$151,I63)&gt;1,IF(COUNTIFS($A$2:A63,A63,$B$2:B63,B63,$C$2:C63,C63,$D$2:D63,D63,$E$2:E63,E63,$F$2:F63,F63,$G$2:G63,G63,$H$2:H63,H63,$I$2:I63,I63)&gt;1,"Repeat","First"),"")</f>
        <v/>
      </c>
      <c r="N63" s="7" t="str">
        <f aca="false">IF(E63&gt;QUARTILE($E$2:$E$151,3)+Assumptions!$B$5*(QUARTILE($E$2:$E$151,3)-QUARTILE($E$2:$E$151,1)),"Outlier","")</f>
        <v/>
      </c>
    </row>
    <row r="64" customFormat="false" ht="15" hidden="false" customHeight="false" outlineLevel="0" collapsed="false">
      <c r="A64" s="7" t="s">
        <v>14</v>
      </c>
      <c r="B64" s="20" t="n">
        <v>44545</v>
      </c>
      <c r="C64" s="7" t="s">
        <v>97</v>
      </c>
      <c r="D64" s="7" t="s">
        <v>94</v>
      </c>
      <c r="E64" s="21" t="n">
        <v>31.23</v>
      </c>
      <c r="F64" s="22" t="n">
        <v>150</v>
      </c>
      <c r="G64" s="22" t="n">
        <v>0</v>
      </c>
      <c r="H64" s="22" t="n">
        <v>0</v>
      </c>
      <c r="I64" s="7" t="s">
        <v>89</v>
      </c>
      <c r="J64" s="23" t="n">
        <f aca="false">E64*F64</f>
        <v>4684.5</v>
      </c>
      <c r="K64" s="24" t="str">
        <f aca="false">IF(H64&gt;0,F64/H64,"")</f>
        <v/>
      </c>
      <c r="L64" s="7" t="str">
        <f aca="false">IF(I64="Yes",IF(F64&gt;0,"Discontinued - in stock","Discontinued"),IF(F64=0,IF(G64&gt;0,"Stock-out - on order","Stock-out"),IF(H64=0,"No reorder level",IF(K64&gt;=Assumptions!$B$4,"Overstock","OK"))))</f>
        <v>No reorder level</v>
      </c>
      <c r="M64" s="7" t="str">
        <f aca="false">IF(COUNTIFS($A$2:$A$151,A64,$B$2:$B$151,B64,$C$2:$C$151,C64,$D$2:$D$151,D64,$E$2:$E$151,E64,$F$2:$F$151,F64,$G$2:$G$151,G64,$H$2:$H$151,H64,$I$2:$I$151,I64)&gt;1,IF(COUNTIFS($A$2:A64,A64,$B$2:B64,B64,$C$2:C64,C64,$D$2:D64,D64,$E$2:E64,E64,$F$2:F64,F64,$G$2:G64,G64,$H$2:H64,H64,$I$2:I64,I64)&gt;1,"Repeat","First"),"")</f>
        <v>First</v>
      </c>
      <c r="N64" s="7" t="str">
        <f aca="false">IF(E64&gt;QUARTILE($E$2:$E$151,3)+Assumptions!$B$5*(QUARTILE($E$2:$E$151,3)-QUARTILE($E$2:$E$151,1)),"Outlier","")</f>
        <v/>
      </c>
    </row>
    <row r="65" customFormat="false" ht="15" hidden="false" customHeight="false" outlineLevel="0" collapsed="false">
      <c r="A65" s="7" t="s">
        <v>14</v>
      </c>
      <c r="B65" s="20" t="n">
        <v>44545</v>
      </c>
      <c r="C65" s="7" t="s">
        <v>97</v>
      </c>
      <c r="D65" s="7" t="s">
        <v>94</v>
      </c>
      <c r="E65" s="21" t="n">
        <v>31.23</v>
      </c>
      <c r="F65" s="22" t="n">
        <v>150</v>
      </c>
      <c r="G65" s="22" t="n">
        <v>0</v>
      </c>
      <c r="H65" s="22" t="n">
        <v>0</v>
      </c>
      <c r="I65" s="7" t="s">
        <v>89</v>
      </c>
      <c r="J65" s="23" t="n">
        <f aca="false">E65*F65</f>
        <v>4684.5</v>
      </c>
      <c r="K65" s="24" t="str">
        <f aca="false">IF(H65&gt;0,F65/H65,"")</f>
        <v/>
      </c>
      <c r="L65" s="7" t="str">
        <f aca="false">IF(I65="Yes",IF(F65&gt;0,"Discontinued - in stock","Discontinued"),IF(F65=0,IF(G65&gt;0,"Stock-out - on order","Stock-out"),IF(H65=0,"No reorder level",IF(K65&gt;=Assumptions!$B$4,"Overstock","OK"))))</f>
        <v>No reorder level</v>
      </c>
      <c r="M65" s="7" t="str">
        <f aca="false">IF(COUNTIFS($A$2:$A$151,A65,$B$2:$B$151,B65,$C$2:$C$151,C65,$D$2:$D$151,D65,$E$2:$E$151,E65,$F$2:$F$151,F65,$G$2:$G$151,G65,$H$2:$H$151,H65,$I$2:$I$151,I65)&gt;1,IF(COUNTIFS($A$2:A65,A65,$B$2:B65,B65,$C$2:C65,C65,$D$2:D65,D65,$E$2:E65,E65,$F$2:F65,F65,$G$2:G65,G65,$H$2:H65,H65,$I$2:I65,I65)&gt;1,"Repeat","First"),"")</f>
        <v>Repeat</v>
      </c>
      <c r="N65" s="7" t="str">
        <f aca="false">IF(E65&gt;QUARTILE($E$2:$E$151,3)+Assumptions!$B$5*(QUARTILE($E$2:$E$151,3)-QUARTILE($E$2:$E$151,1)),"Outlier","")</f>
        <v/>
      </c>
    </row>
    <row r="66" customFormat="false" ht="15" hidden="false" customHeight="false" outlineLevel="0" collapsed="false">
      <c r="A66" s="7" t="s">
        <v>14</v>
      </c>
      <c r="B66" s="20" t="n">
        <v>46259</v>
      </c>
      <c r="C66" s="7" t="s">
        <v>98</v>
      </c>
      <c r="D66" s="7" t="s">
        <v>94</v>
      </c>
      <c r="E66" s="21" t="n">
        <v>15</v>
      </c>
      <c r="F66" s="22" t="n">
        <v>150</v>
      </c>
      <c r="G66" s="22" t="n">
        <v>10</v>
      </c>
      <c r="H66" s="22" t="n">
        <v>30</v>
      </c>
      <c r="I66" s="7" t="s">
        <v>89</v>
      </c>
      <c r="J66" s="23" t="n">
        <f aca="false">E66*F66</f>
        <v>2250</v>
      </c>
      <c r="K66" s="24" t="n">
        <f aca="false">IF(H66&gt;0,F66/H66,"")</f>
        <v>5</v>
      </c>
      <c r="L66" s="7" t="str">
        <f aca="false">IF(I66="Yes",IF(F66&gt;0,"Discontinued - in stock","Discontinued"),IF(F66=0,IF(G66&gt;0,"Stock-out - on order","Stock-out"),IF(H66=0,"No reorder level",IF(K66&gt;=Assumptions!$B$4,"Overstock","OK"))))</f>
        <v>OK</v>
      </c>
      <c r="M66" s="7" t="str">
        <f aca="false">IF(COUNTIFS($A$2:$A$151,A66,$B$2:$B$151,B66,$C$2:$C$151,C66,$D$2:$D$151,D66,$E$2:$E$151,E66,$F$2:$F$151,F66,$G$2:$G$151,G66,$H$2:$H$151,H66,$I$2:$I$151,I66)&gt;1,IF(COUNTIFS($A$2:A66,A66,$B$2:B66,B66,$C$2:C66,C66,$D$2:D66,D66,$E$2:E66,E66,$F$2:F66,F66,$G$2:G66,G66,$H$2:H66,H66,$I$2:I66,I66)&gt;1,"Repeat","First"),"")</f>
        <v/>
      </c>
      <c r="N66" s="7" t="str">
        <f aca="false">IF(E66&gt;QUARTILE($E$2:$E$151,3)+Assumptions!$B$5*(QUARTILE($E$2:$E$151,3)-QUARTILE($E$2:$E$151,1)),"Outlier","")</f>
        <v/>
      </c>
    </row>
    <row r="67" customFormat="false" ht="15" hidden="false" customHeight="false" outlineLevel="0" collapsed="false">
      <c r="A67" s="7" t="s">
        <v>14</v>
      </c>
      <c r="B67" s="20" t="n">
        <v>46259</v>
      </c>
      <c r="C67" s="7" t="s">
        <v>95</v>
      </c>
      <c r="D67" s="7" t="s">
        <v>94</v>
      </c>
      <c r="E67" s="21" t="n">
        <v>15</v>
      </c>
      <c r="F67" s="22" t="n">
        <v>150</v>
      </c>
      <c r="G67" s="22" t="n">
        <v>10</v>
      </c>
      <c r="H67" s="22" t="n">
        <v>30</v>
      </c>
      <c r="I67" s="7" t="s">
        <v>89</v>
      </c>
      <c r="J67" s="23" t="n">
        <f aca="false">E67*F67</f>
        <v>2250</v>
      </c>
      <c r="K67" s="24" t="n">
        <f aca="false">IF(H67&gt;0,F67/H67,"")</f>
        <v>5</v>
      </c>
      <c r="L67" s="7" t="str">
        <f aca="false">IF(I67="Yes",IF(F67&gt;0,"Discontinued - in stock","Discontinued"),IF(F67=0,IF(G67&gt;0,"Stock-out - on order","Stock-out"),IF(H67=0,"No reorder level",IF(K67&gt;=Assumptions!$B$4,"Overstock","OK"))))</f>
        <v>OK</v>
      </c>
      <c r="M67" s="7" t="str">
        <f aca="false">IF(COUNTIFS($A$2:$A$151,A67,$B$2:$B$151,B67,$C$2:$C$151,C67,$D$2:$D$151,D67,$E$2:$E$151,E67,$F$2:$F$151,F67,$G$2:$G$151,G67,$H$2:$H$151,H67,$I$2:$I$151,I67)&gt;1,IF(COUNTIFS($A$2:A67,A67,$B$2:B67,B67,$C$2:C67,C67,$D$2:D67,D67,$E$2:E67,E67,$F$2:F67,F67,$G$2:G67,G67,$H$2:H67,H67,$I$2:I67,I67)&gt;1,"Repeat","First"),"")</f>
        <v/>
      </c>
      <c r="N67" s="7" t="str">
        <f aca="false">IF(E67&gt;QUARTILE($E$2:$E$151,3)+Assumptions!$B$5*(QUARTILE($E$2:$E$151,3)-QUARTILE($E$2:$E$151,1)),"Outlier","")</f>
        <v/>
      </c>
    </row>
    <row r="68" customFormat="false" ht="15" hidden="false" customHeight="false" outlineLevel="0" collapsed="false">
      <c r="A68" s="7" t="s">
        <v>14</v>
      </c>
      <c r="B68" s="20" t="n">
        <v>46331</v>
      </c>
      <c r="C68" s="7" t="s">
        <v>97</v>
      </c>
      <c r="D68" s="7" t="s">
        <v>94</v>
      </c>
      <c r="E68" s="21" t="n">
        <v>12.75</v>
      </c>
      <c r="F68" s="22" t="n">
        <v>150</v>
      </c>
      <c r="G68" s="22" t="n">
        <v>70</v>
      </c>
      <c r="H68" s="22" t="n">
        <v>25</v>
      </c>
      <c r="I68" s="7" t="s">
        <v>89</v>
      </c>
      <c r="J68" s="23" t="n">
        <f aca="false">E68*F68</f>
        <v>1912.5</v>
      </c>
      <c r="K68" s="24" t="n">
        <f aca="false">IF(H68&gt;0,F68/H68,"")</f>
        <v>6</v>
      </c>
      <c r="L68" s="7" t="str">
        <f aca="false">IF(I68="Yes",IF(F68&gt;0,"Discontinued - in stock","Discontinued"),IF(F68=0,IF(G68&gt;0,"Stock-out - on order","Stock-out"),IF(H68=0,"No reorder level",IF(K68&gt;=Assumptions!$B$4,"Overstock","OK"))))</f>
        <v>OK</v>
      </c>
      <c r="M68" s="7" t="str">
        <f aca="false">IF(COUNTIFS($A$2:$A$151,A68,$B$2:$B$151,B68,$C$2:$C$151,C68,$D$2:$D$151,D68,$E$2:$E$151,E68,$F$2:$F$151,F68,$G$2:$G$151,G68,$H$2:$H$151,H68,$I$2:$I$151,I68)&gt;1,IF(COUNTIFS($A$2:A68,A68,$B$2:B68,B68,$C$2:C68,C68,$D$2:D68,D68,$E$2:E68,E68,$F$2:F68,F68,$G$2:G68,G68,$H$2:H68,H68,$I$2:I68,I68)&gt;1,"Repeat","First"),"")</f>
        <v/>
      </c>
      <c r="N68" s="7" t="str">
        <f aca="false">IF(E68&gt;QUARTILE($E$2:$E$151,3)+Assumptions!$B$5*(QUARTILE($E$2:$E$151,3)-QUARTILE($E$2:$E$151,1)),"Outlier","")</f>
        <v/>
      </c>
    </row>
    <row r="69" customFormat="false" ht="15" hidden="false" customHeight="false" outlineLevel="0" collapsed="false">
      <c r="A69" s="7" t="s">
        <v>14</v>
      </c>
      <c r="B69" s="20" t="n">
        <v>46331</v>
      </c>
      <c r="C69" s="7" t="s">
        <v>99</v>
      </c>
      <c r="D69" s="7" t="s">
        <v>94</v>
      </c>
      <c r="E69" s="21" t="n">
        <v>12.75</v>
      </c>
      <c r="F69" s="22" t="n">
        <v>150</v>
      </c>
      <c r="G69" s="22" t="n">
        <v>70</v>
      </c>
      <c r="H69" s="22" t="n">
        <v>25</v>
      </c>
      <c r="I69" s="7" t="s">
        <v>89</v>
      </c>
      <c r="J69" s="23" t="n">
        <f aca="false">E69*F69</f>
        <v>1912.5</v>
      </c>
      <c r="K69" s="24" t="n">
        <f aca="false">IF(H69&gt;0,F69/H69,"")</f>
        <v>6</v>
      </c>
      <c r="L69" s="7" t="str">
        <f aca="false">IF(I69="Yes",IF(F69&gt;0,"Discontinued - in stock","Discontinued"),IF(F69=0,IF(G69&gt;0,"Stock-out - on order","Stock-out"),IF(H69=0,"No reorder level",IF(K69&gt;=Assumptions!$B$4,"Overstock","OK"))))</f>
        <v>OK</v>
      </c>
      <c r="M69" s="7" t="str">
        <f aca="false">IF(COUNTIFS($A$2:$A$151,A69,$B$2:$B$151,B69,$C$2:$C$151,C69,$D$2:$D$151,D69,$E$2:$E$151,E69,$F$2:$F$151,F69,$G$2:$G$151,G69,$H$2:$H$151,H69,$I$2:$I$151,I69)&gt;1,IF(COUNTIFS($A$2:A69,A69,$B$2:B69,B69,$C$2:C69,C69,$D$2:D69,D69,$E$2:E69,E69,$F$2:F69,F69,$G$2:G69,G69,$H$2:H69,H69,$I$2:I69,I69)&gt;1,"Repeat","First"),"")</f>
        <v/>
      </c>
      <c r="N69" s="7" t="str">
        <f aca="false">IF(E69&gt;QUARTILE($E$2:$E$151,3)+Assumptions!$B$5*(QUARTILE($E$2:$E$151,3)-QUARTILE($E$2:$E$151,1)),"Outlier","")</f>
        <v/>
      </c>
    </row>
    <row r="70" customFormat="false" ht="15" hidden="false" customHeight="false" outlineLevel="0" collapsed="false">
      <c r="A70" s="7" t="s">
        <v>14</v>
      </c>
      <c r="B70" s="20" t="n">
        <v>44431</v>
      </c>
      <c r="C70" s="7" t="s">
        <v>93</v>
      </c>
      <c r="D70" s="7" t="s">
        <v>94</v>
      </c>
      <c r="E70" s="21" t="n">
        <v>10</v>
      </c>
      <c r="F70" s="22" t="n">
        <v>130</v>
      </c>
      <c r="G70" s="22" t="n">
        <v>70</v>
      </c>
      <c r="H70" s="22" t="n">
        <v>25</v>
      </c>
      <c r="I70" s="7" t="s">
        <v>89</v>
      </c>
      <c r="J70" s="23" t="n">
        <f aca="false">E70*F70</f>
        <v>1300</v>
      </c>
      <c r="K70" s="24" t="n">
        <f aca="false">IF(H70&gt;0,F70/H70,"")</f>
        <v>5.2</v>
      </c>
      <c r="L70" s="7" t="str">
        <f aca="false">IF(I70="Yes",IF(F70&gt;0,"Discontinued - in stock","Discontinued"),IF(F70=0,IF(G70&gt;0,"Stock-out - on order","Stock-out"),IF(H70=0,"No reorder level",IF(K70&gt;=Assumptions!$B$4,"Overstock","OK"))))</f>
        <v>OK</v>
      </c>
      <c r="M70" s="7" t="str">
        <f aca="false">IF(COUNTIFS($A$2:$A$151,A70,$B$2:$B$151,B70,$C$2:$C$151,C70,$D$2:$D$151,D70,$E$2:$E$151,E70,$F$2:$F$151,F70,$G$2:$G$151,G70,$H$2:$H$151,H70,$I$2:$I$151,I70)&gt;1,IF(COUNTIFS($A$2:A70,A70,$B$2:B70,B70,$C$2:C70,C70,$D$2:D70,D70,$E$2:E70,E70,$F$2:F70,F70,$G$2:G70,G70,$H$2:H70,H70,$I$2:I70,I70)&gt;1,"Repeat","First"),"")</f>
        <v/>
      </c>
      <c r="N70" s="7" t="str">
        <f aca="false">IF(E70&gt;QUARTILE($E$2:$E$151,3)+Assumptions!$B$5*(QUARTILE($E$2:$E$151,3)-QUARTILE($E$2:$E$151,1)),"Outlier","")</f>
        <v/>
      </c>
    </row>
    <row r="71" customFormat="false" ht="15" hidden="false" customHeight="false" outlineLevel="0" collapsed="false">
      <c r="A71" s="7" t="s">
        <v>14</v>
      </c>
      <c r="B71" s="20" t="n">
        <v>44431</v>
      </c>
      <c r="C71" s="7" t="s">
        <v>99</v>
      </c>
      <c r="D71" s="7" t="s">
        <v>94</v>
      </c>
      <c r="E71" s="21" t="n">
        <v>10</v>
      </c>
      <c r="F71" s="22" t="n">
        <v>130</v>
      </c>
      <c r="G71" s="22" t="n">
        <v>70</v>
      </c>
      <c r="H71" s="22" t="n">
        <v>25</v>
      </c>
      <c r="I71" s="7" t="s">
        <v>89</v>
      </c>
      <c r="J71" s="23" t="n">
        <f aca="false">E71*F71</f>
        <v>1300</v>
      </c>
      <c r="K71" s="24" t="n">
        <f aca="false">IF(H71&gt;0,F71/H71,"")</f>
        <v>5.2</v>
      </c>
      <c r="L71" s="7" t="str">
        <f aca="false">IF(I71="Yes",IF(F71&gt;0,"Discontinued - in stock","Discontinued"),IF(F71=0,IF(G71&gt;0,"Stock-out - on order","Stock-out"),IF(H71=0,"No reorder level",IF(K71&gt;=Assumptions!$B$4,"Overstock","OK"))))</f>
        <v>OK</v>
      </c>
      <c r="M71" s="7" t="str">
        <f aca="false">IF(COUNTIFS($A$2:$A$151,A71,$B$2:$B$151,B71,$C$2:$C$151,C71,$D$2:$D$151,D71,$E$2:$E$151,E71,$F$2:$F$151,F71,$G$2:$G$151,G71,$H$2:$H$151,H71,$I$2:$I$151,I71)&gt;1,IF(COUNTIFS($A$2:A71,A71,$B$2:B71,B71,$C$2:C71,C71,$D$2:D71,D71,$E$2:E71,E71,$F$2:F71,F71,$G$2:G71,G71,$H$2:H71,H71,$I$2:I71,I71)&gt;1,"Repeat","First"),"")</f>
        <v/>
      </c>
      <c r="N71" s="7" t="str">
        <f aca="false">IF(E71&gt;QUARTILE($E$2:$E$151,3)+Assumptions!$B$5*(QUARTILE($E$2:$E$151,3)-QUARTILE($E$2:$E$151,1)),"Outlier","")</f>
        <v/>
      </c>
    </row>
    <row r="72" customFormat="false" ht="15" hidden="false" customHeight="false" outlineLevel="0" collapsed="false">
      <c r="A72" s="7" t="s">
        <v>14</v>
      </c>
      <c r="B72" s="20" t="n">
        <v>44519</v>
      </c>
      <c r="C72" s="7" t="s">
        <v>97</v>
      </c>
      <c r="D72" s="7" t="s">
        <v>94</v>
      </c>
      <c r="E72" s="21" t="n">
        <v>25</v>
      </c>
      <c r="F72" s="22" t="n">
        <v>120</v>
      </c>
      <c r="G72" s="22" t="n">
        <v>0</v>
      </c>
      <c r="H72" s="22" t="n">
        <v>25</v>
      </c>
      <c r="I72" s="7" t="s">
        <v>89</v>
      </c>
      <c r="J72" s="23" t="n">
        <f aca="false">E72*F72</f>
        <v>3000</v>
      </c>
      <c r="K72" s="24" t="n">
        <f aca="false">IF(H72&gt;0,F72/H72,"")</f>
        <v>4.8</v>
      </c>
      <c r="L72" s="7" t="str">
        <f aca="false">IF(I72="Yes",IF(F72&gt;0,"Discontinued - in stock","Discontinued"),IF(F72=0,IF(G72&gt;0,"Stock-out - on order","Stock-out"),IF(H72=0,"No reorder level",IF(K72&gt;=Assumptions!$B$4,"Overstock","OK"))))</f>
        <v>OK</v>
      </c>
      <c r="M72" s="7" t="str">
        <f aca="false">IF(COUNTIFS($A$2:$A$151,A72,$B$2:$B$151,B72,$C$2:$C$151,C72,$D$2:$D$151,D72,$E$2:$E$151,E72,$F$2:$F$151,F72,$G$2:$G$151,G72,$H$2:$H$151,H72,$I$2:$I$151,I72)&gt;1,IF(COUNTIFS($A$2:A72,A72,$B$2:B72,B72,$C$2:C72,C72,$D$2:D72,D72,$E$2:E72,E72,$F$2:F72,F72,$G$2:G72,G72,$H$2:H72,H72,$I$2:I72,I72)&gt;1,"Repeat","First"),"")</f>
        <v/>
      </c>
      <c r="N72" s="7" t="str">
        <f aca="false">IF(E72&gt;QUARTILE($E$2:$E$151,3)+Assumptions!$B$5*(QUARTILE($E$2:$E$151,3)-QUARTILE($E$2:$E$151,1)),"Outlier","")</f>
        <v/>
      </c>
    </row>
    <row r="73" customFormat="false" ht="15" hidden="false" customHeight="false" outlineLevel="0" collapsed="false">
      <c r="A73" s="7" t="s">
        <v>14</v>
      </c>
      <c r="B73" s="20" t="n">
        <v>44519</v>
      </c>
      <c r="C73" s="7" t="s">
        <v>95</v>
      </c>
      <c r="D73" s="7" t="s">
        <v>94</v>
      </c>
      <c r="E73" s="21" t="n">
        <v>25</v>
      </c>
      <c r="F73" s="22" t="n">
        <v>120</v>
      </c>
      <c r="G73" s="22" t="n">
        <v>0</v>
      </c>
      <c r="H73" s="22" t="n">
        <v>25</v>
      </c>
      <c r="I73" s="7" t="s">
        <v>89</v>
      </c>
      <c r="J73" s="23" t="n">
        <f aca="false">E73*F73</f>
        <v>3000</v>
      </c>
      <c r="K73" s="24" t="n">
        <f aca="false">IF(H73&gt;0,F73/H73,"")</f>
        <v>4.8</v>
      </c>
      <c r="L73" s="7" t="str">
        <f aca="false">IF(I73="Yes",IF(F73&gt;0,"Discontinued - in stock","Discontinued"),IF(F73=0,IF(G73&gt;0,"Stock-out - on order","Stock-out"),IF(H73=0,"No reorder level",IF(K73&gt;=Assumptions!$B$4,"Overstock","OK"))))</f>
        <v>OK</v>
      </c>
      <c r="M73" s="7" t="str">
        <f aca="false">IF(COUNTIFS($A$2:$A$151,A73,$B$2:$B$151,B73,$C$2:$C$151,C73,$D$2:$D$151,D73,$E$2:$E$151,E73,$F$2:$F$151,F73,$G$2:$G$151,G73,$H$2:$H$151,H73,$I$2:$I$151,I73)&gt;1,IF(COUNTIFS($A$2:A73,A73,$B$2:B73,B73,$C$2:C73,C73,$D$2:D73,D73,$E$2:E73,E73,$F$2:F73,F73,$G$2:G73,G73,$H$2:H73,H73,$I$2:I73,I73)&gt;1,"Repeat","First"),"")</f>
        <v/>
      </c>
      <c r="N73" s="7" t="str">
        <f aca="false">IF(E73&gt;QUARTILE($E$2:$E$151,3)+Assumptions!$B$5*(QUARTILE($E$2:$E$151,3)-QUARTILE($E$2:$E$151,1)),"Outlier","")</f>
        <v/>
      </c>
    </row>
    <row r="74" customFormat="false" ht="15" hidden="false" customHeight="false" outlineLevel="0" collapsed="false">
      <c r="A74" s="7" t="s">
        <v>14</v>
      </c>
      <c r="B74" s="20" t="n">
        <v>46301</v>
      </c>
      <c r="C74" s="7" t="s">
        <v>93</v>
      </c>
      <c r="D74" s="7" t="s">
        <v>94</v>
      </c>
      <c r="E74" s="21" t="n">
        <v>20</v>
      </c>
      <c r="F74" s="22" t="n">
        <v>100</v>
      </c>
      <c r="G74" s="22" t="n">
        <v>60</v>
      </c>
      <c r="H74" s="22" t="n">
        <v>15</v>
      </c>
      <c r="I74" s="7" t="s">
        <v>89</v>
      </c>
      <c r="J74" s="23" t="n">
        <f aca="false">E74*F74</f>
        <v>2000</v>
      </c>
      <c r="K74" s="24" t="n">
        <f aca="false">IF(H74&gt;0,F74/H74,"")</f>
        <v>6.66666666666667</v>
      </c>
      <c r="L74" s="7" t="str">
        <f aca="false">IF(I74="Yes",IF(F74&gt;0,"Discontinued - in stock","Discontinued"),IF(F74=0,IF(G74&gt;0,"Stock-out - on order","Stock-out"),IF(H74=0,"No reorder level",IF(K74&gt;=Assumptions!$B$4,"Overstock","OK"))))</f>
        <v>OK</v>
      </c>
      <c r="M74" s="7" t="str">
        <f aca="false">IF(COUNTIFS($A$2:$A$151,A74,$B$2:$B$151,B74,$C$2:$C$151,C74,$D$2:$D$151,D74,$E$2:$E$151,E74,$F$2:$F$151,F74,$G$2:$G$151,G74,$H$2:$H$151,H74,$I$2:$I$151,I74)&gt;1,IF(COUNTIFS($A$2:A74,A74,$B$2:B74,B74,$C$2:C74,C74,$D$2:D74,D74,$E$2:E74,E74,$F$2:F74,F74,$G$2:G74,G74,$H$2:H74,H74,$I$2:I74,I74)&gt;1,"Repeat","First"),"")</f>
        <v/>
      </c>
      <c r="N74" s="7" t="str">
        <f aca="false">IF(E74&gt;QUARTILE($E$2:$E$151,3)+Assumptions!$B$5*(QUARTILE($E$2:$E$151,3)-QUARTILE($E$2:$E$151,1)),"Outlier","")</f>
        <v/>
      </c>
    </row>
    <row r="75" customFormat="false" ht="15" hidden="false" customHeight="false" outlineLevel="0" collapsed="false">
      <c r="A75" s="7" t="s">
        <v>14</v>
      </c>
      <c r="B75" s="20" t="n">
        <v>46301</v>
      </c>
      <c r="C75" s="7" t="s">
        <v>95</v>
      </c>
      <c r="D75" s="7" t="s">
        <v>94</v>
      </c>
      <c r="E75" s="21" t="n">
        <v>20</v>
      </c>
      <c r="F75" s="22" t="n">
        <v>100</v>
      </c>
      <c r="G75" s="22" t="n">
        <v>60</v>
      </c>
      <c r="H75" s="22" t="n">
        <v>15</v>
      </c>
      <c r="I75" s="7" t="s">
        <v>89</v>
      </c>
      <c r="J75" s="23" t="n">
        <f aca="false">E75*F75</f>
        <v>2000</v>
      </c>
      <c r="K75" s="24" t="n">
        <f aca="false">IF(H75&gt;0,F75/H75,"")</f>
        <v>6.66666666666667</v>
      </c>
      <c r="L75" s="7" t="str">
        <f aca="false">IF(I75="Yes",IF(F75&gt;0,"Discontinued - in stock","Discontinued"),IF(F75=0,IF(G75&gt;0,"Stock-out - on order","Stock-out"),IF(H75=0,"No reorder level",IF(K75&gt;=Assumptions!$B$4,"Overstock","OK"))))</f>
        <v>OK</v>
      </c>
      <c r="M75" s="7" t="str">
        <f aca="false">IF(COUNTIFS($A$2:$A$151,A75,$B$2:$B$151,B75,$C$2:$C$151,C75,$D$2:$D$151,D75,$E$2:$E$151,E75,$F$2:$F$151,F75,$G$2:$G$151,G75,$H$2:$H$151,H75,$I$2:$I$151,I75)&gt;1,IF(COUNTIFS($A$2:A75,A75,$B$2:B75,B75,$C$2:C75,C75,$D$2:D75,D75,$E$2:E75,E75,$F$2:F75,F75,$G$2:G75,G75,$H$2:H75,H75,$I$2:I75,I75)&gt;1,"Repeat","First"),"")</f>
        <v/>
      </c>
      <c r="N75" s="7" t="str">
        <f aca="false">IF(E75&gt;QUARTILE($E$2:$E$151,3)+Assumptions!$B$5*(QUARTILE($E$2:$E$151,3)-QUARTILE($E$2:$E$151,1)),"Outlier","")</f>
        <v/>
      </c>
    </row>
    <row r="76" customFormat="false" ht="15" hidden="false" customHeight="false" outlineLevel="0" collapsed="false">
      <c r="A76" s="7" t="s">
        <v>14</v>
      </c>
      <c r="B76" s="20" t="n">
        <v>44535</v>
      </c>
      <c r="C76" s="7" t="s">
        <v>93</v>
      </c>
      <c r="D76" s="7" t="s">
        <v>94</v>
      </c>
      <c r="E76" s="21" t="n">
        <v>40</v>
      </c>
      <c r="F76" s="22" t="n">
        <v>60</v>
      </c>
      <c r="G76" s="22" t="n">
        <v>0</v>
      </c>
      <c r="H76" s="22" t="n">
        <v>0</v>
      </c>
      <c r="I76" s="7" t="s">
        <v>89</v>
      </c>
      <c r="J76" s="23" t="n">
        <f aca="false">E76*F76</f>
        <v>2400</v>
      </c>
      <c r="K76" s="24" t="str">
        <f aca="false">IF(H76&gt;0,F76/H76,"")</f>
        <v/>
      </c>
      <c r="L76" s="7" t="str">
        <f aca="false">IF(I76="Yes",IF(F76&gt;0,"Discontinued - in stock","Discontinued"),IF(F76=0,IF(G76&gt;0,"Stock-out - on order","Stock-out"),IF(H76=0,"No reorder level",IF(K76&gt;=Assumptions!$B$4,"Overstock","OK"))))</f>
        <v>No reorder level</v>
      </c>
      <c r="M76" s="7" t="str">
        <f aca="false">IF(COUNTIFS($A$2:$A$151,A76,$B$2:$B$151,B76,$C$2:$C$151,C76,$D$2:$D$151,D76,$E$2:$E$151,E76,$F$2:$F$151,F76,$G$2:$G$151,G76,$H$2:$H$151,H76,$I$2:$I$151,I76)&gt;1,IF(COUNTIFS($A$2:A76,A76,$B$2:B76,B76,$C$2:C76,C76,$D$2:D76,D76,$E$2:E76,E76,$F$2:F76,F76,$G$2:G76,G76,$H$2:H76,H76,$I$2:I76,I76)&gt;1,"Repeat","First"),"")</f>
        <v>First</v>
      </c>
      <c r="N76" s="7" t="str">
        <f aca="false">IF(E76&gt;QUARTILE($E$2:$E$151,3)+Assumptions!$B$5*(QUARTILE($E$2:$E$151,3)-QUARTILE($E$2:$E$151,1)),"Outlier","")</f>
        <v/>
      </c>
    </row>
    <row r="77" customFormat="false" ht="15" hidden="false" customHeight="false" outlineLevel="0" collapsed="false">
      <c r="A77" s="7" t="s">
        <v>14</v>
      </c>
      <c r="B77" s="20" t="n">
        <v>44535</v>
      </c>
      <c r="C77" s="7" t="s">
        <v>93</v>
      </c>
      <c r="D77" s="7" t="s">
        <v>94</v>
      </c>
      <c r="E77" s="21" t="n">
        <v>40</v>
      </c>
      <c r="F77" s="22" t="n">
        <v>60</v>
      </c>
      <c r="G77" s="22" t="n">
        <v>0</v>
      </c>
      <c r="H77" s="22" t="n">
        <v>0</v>
      </c>
      <c r="I77" s="7" t="s">
        <v>89</v>
      </c>
      <c r="J77" s="23" t="n">
        <f aca="false">E77*F77</f>
        <v>2400</v>
      </c>
      <c r="K77" s="24" t="str">
        <f aca="false">IF(H77&gt;0,F77/H77,"")</f>
        <v/>
      </c>
      <c r="L77" s="7" t="str">
        <f aca="false">IF(I77="Yes",IF(F77&gt;0,"Discontinued - in stock","Discontinued"),IF(F77=0,IF(G77&gt;0,"Stock-out - on order","Stock-out"),IF(H77=0,"No reorder level",IF(K77&gt;=Assumptions!$B$4,"Overstock","OK"))))</f>
        <v>No reorder level</v>
      </c>
      <c r="M77" s="7" t="str">
        <f aca="false">IF(COUNTIFS($A$2:$A$151,A77,$B$2:$B$151,B77,$C$2:$C$151,C77,$D$2:$D$151,D77,$E$2:$E$151,E77,$F$2:$F$151,F77,$G$2:$G$151,G77,$H$2:$H$151,H77,$I$2:$I$151,I77)&gt;1,IF(COUNTIFS($A$2:A77,A77,$B$2:B77,B77,$C$2:C77,C77,$D$2:D77,D77,$E$2:E77,E77,$F$2:F77,F77,$G$2:G77,G77,$H$2:H77,H77,$I$2:I77,I77)&gt;1,"Repeat","First"),"")</f>
        <v>Repeat</v>
      </c>
      <c r="N77" s="7" t="str">
        <f aca="false">IF(E77&gt;QUARTILE($E$2:$E$151,3)+Assumptions!$B$5*(QUARTILE($E$2:$E$151,3)-QUARTILE($E$2:$E$151,1)),"Outlier","")</f>
        <v/>
      </c>
    </row>
    <row r="78" customFormat="false" ht="15" hidden="false" customHeight="false" outlineLevel="0" collapsed="false">
      <c r="A78" s="7" t="s">
        <v>14</v>
      </c>
      <c r="B78" s="20" t="n">
        <v>46289</v>
      </c>
      <c r="C78" s="7" t="s">
        <v>98</v>
      </c>
      <c r="D78" s="7" t="s">
        <v>94</v>
      </c>
      <c r="E78" s="21" t="n">
        <v>12.5</v>
      </c>
      <c r="F78" s="22" t="n">
        <v>60</v>
      </c>
      <c r="G78" s="22" t="n">
        <v>10</v>
      </c>
      <c r="H78" s="22" t="n">
        <v>15</v>
      </c>
      <c r="I78" s="7" t="s">
        <v>89</v>
      </c>
      <c r="J78" s="23" t="n">
        <f aca="false">E78*F78</f>
        <v>750</v>
      </c>
      <c r="K78" s="24" t="n">
        <f aca="false">IF(H78&gt;0,F78/H78,"")</f>
        <v>4</v>
      </c>
      <c r="L78" s="7" t="str">
        <f aca="false">IF(I78="Yes",IF(F78&gt;0,"Discontinued - in stock","Discontinued"),IF(F78=0,IF(G78&gt;0,"Stock-out - on order","Stock-out"),IF(H78=0,"No reorder level",IF(K78&gt;=Assumptions!$B$4,"Overstock","OK"))))</f>
        <v>OK</v>
      </c>
      <c r="M78" s="7" t="str">
        <f aca="false">IF(COUNTIFS($A$2:$A$151,A78,$B$2:$B$151,B78,$C$2:$C$151,C78,$D$2:$D$151,D78,$E$2:$E$151,E78,$F$2:$F$151,F78,$G$2:$G$151,G78,$H$2:$H$151,H78,$I$2:$I$151,I78)&gt;1,IF(COUNTIFS($A$2:A78,A78,$B$2:B78,B78,$C$2:C78,C78,$D$2:D78,D78,$E$2:E78,E78,$F$2:F78,F78,$G$2:G78,G78,$H$2:H78,H78,$I$2:I78,I78)&gt;1,"Repeat","First"),"")</f>
        <v/>
      </c>
      <c r="N78" s="7" t="str">
        <f aca="false">IF(E78&gt;QUARTILE($E$2:$E$151,3)+Assumptions!$B$5*(QUARTILE($E$2:$E$151,3)-QUARTILE($E$2:$E$151,1)),"Outlier","")</f>
        <v/>
      </c>
    </row>
    <row r="79" customFormat="false" ht="15" hidden="false" customHeight="false" outlineLevel="0" collapsed="false">
      <c r="A79" s="7" t="s">
        <v>14</v>
      </c>
      <c r="B79" s="20" t="n">
        <v>46289</v>
      </c>
      <c r="C79" s="7" t="s">
        <v>96</v>
      </c>
      <c r="D79" s="7" t="s">
        <v>94</v>
      </c>
      <c r="E79" s="21" t="n">
        <v>12.5</v>
      </c>
      <c r="F79" s="22" t="n">
        <v>60</v>
      </c>
      <c r="G79" s="22" t="n">
        <v>10</v>
      </c>
      <c r="H79" s="22" t="n">
        <v>15</v>
      </c>
      <c r="I79" s="7" t="s">
        <v>89</v>
      </c>
      <c r="J79" s="23" t="n">
        <f aca="false">E79*F79</f>
        <v>750</v>
      </c>
      <c r="K79" s="24" t="n">
        <f aca="false">IF(H79&gt;0,F79/H79,"")</f>
        <v>4</v>
      </c>
      <c r="L79" s="7" t="str">
        <f aca="false">IF(I79="Yes",IF(F79&gt;0,"Discontinued - in stock","Discontinued"),IF(F79=0,IF(G79&gt;0,"Stock-out - on order","Stock-out"),IF(H79=0,"No reorder level",IF(K79&gt;=Assumptions!$B$4,"Overstock","OK"))))</f>
        <v>OK</v>
      </c>
      <c r="M79" s="7" t="str">
        <f aca="false">IF(COUNTIFS($A$2:$A$151,A79,$B$2:$B$151,B79,$C$2:$C$151,C79,$D$2:$D$151,D79,$E$2:$E$151,E79,$F$2:$F$151,F79,$G$2:$G$151,G79,$H$2:$H$151,H79,$I$2:$I$151,I79)&gt;1,IF(COUNTIFS($A$2:A79,A79,$B$2:B79,B79,$C$2:C79,C79,$D$2:D79,D79,$E$2:E79,E79,$F$2:F79,F79,$G$2:G79,G79,$H$2:H79,H79,$I$2:I79,I79)&gt;1,"Repeat","First"),"")</f>
        <v/>
      </c>
      <c r="N79" s="7" t="str">
        <f aca="false">IF(E79&gt;QUARTILE($E$2:$E$151,3)+Assumptions!$B$5*(QUARTILE($E$2:$E$151,3)-QUARTILE($E$2:$E$151,1)),"Outlier","")</f>
        <v/>
      </c>
    </row>
    <row r="80" customFormat="false" ht="15" hidden="false" customHeight="false" outlineLevel="0" collapsed="false">
      <c r="A80" s="7" t="s">
        <v>14</v>
      </c>
      <c r="B80" s="20" t="n">
        <v>46291</v>
      </c>
      <c r="C80" s="7" t="s">
        <v>97</v>
      </c>
      <c r="D80" s="7" t="s">
        <v>94</v>
      </c>
      <c r="E80" s="21" t="n">
        <v>17</v>
      </c>
      <c r="F80" s="22" t="n">
        <v>40</v>
      </c>
      <c r="G80" s="22" t="n">
        <v>100</v>
      </c>
      <c r="H80" s="22" t="n">
        <v>20</v>
      </c>
      <c r="I80" s="7" t="s">
        <v>89</v>
      </c>
      <c r="J80" s="23" t="n">
        <f aca="false">E80*F80</f>
        <v>680</v>
      </c>
      <c r="K80" s="24" t="n">
        <f aca="false">IF(H80&gt;0,F80/H80,"")</f>
        <v>2</v>
      </c>
      <c r="L80" s="7" t="str">
        <f aca="false">IF(I80="Yes",IF(F80&gt;0,"Discontinued - in stock","Discontinued"),IF(F80=0,IF(G80&gt;0,"Stock-out - on order","Stock-out"),IF(H80=0,"No reorder level",IF(K80&gt;=Assumptions!$B$4,"Overstock","OK"))))</f>
        <v>OK</v>
      </c>
      <c r="M80" s="7" t="str">
        <f aca="false">IF(COUNTIFS($A$2:$A$151,A80,$B$2:$B$151,B80,$C$2:$C$151,C80,$D$2:$D$151,D80,$E$2:$E$151,E80,$F$2:$F$151,F80,$G$2:$G$151,G80,$H$2:$H$151,H80,$I$2:$I$151,I80)&gt;1,IF(COUNTIFS($A$2:A80,A80,$B$2:B80,B80,$C$2:C80,C80,$D$2:D80,D80,$E$2:E80,E80,$F$2:F80,F80,$G$2:G80,G80,$H$2:H80,H80,$I$2:I80,I80)&gt;1,"Repeat","First"),"")</f>
        <v/>
      </c>
      <c r="N80" s="7" t="str">
        <f aca="false">IF(E80&gt;QUARTILE($E$2:$E$151,3)+Assumptions!$B$5*(QUARTILE($E$2:$E$151,3)-QUARTILE($E$2:$E$151,1)),"Outlier","")</f>
        <v/>
      </c>
    </row>
    <row r="81" customFormat="false" ht="15" hidden="false" customHeight="false" outlineLevel="0" collapsed="false">
      <c r="A81" s="7" t="s">
        <v>14</v>
      </c>
      <c r="B81" s="20" t="n">
        <v>46291</v>
      </c>
      <c r="C81" s="7" t="s">
        <v>99</v>
      </c>
      <c r="D81" s="7" t="s">
        <v>94</v>
      </c>
      <c r="E81" s="21" t="n">
        <v>17</v>
      </c>
      <c r="F81" s="22" t="n">
        <v>40</v>
      </c>
      <c r="G81" s="22" t="n">
        <v>100</v>
      </c>
      <c r="H81" s="22" t="n">
        <v>20</v>
      </c>
      <c r="I81" s="7" t="s">
        <v>89</v>
      </c>
      <c r="J81" s="23" t="n">
        <f aca="false">E81*F81</f>
        <v>680</v>
      </c>
      <c r="K81" s="24" t="n">
        <f aca="false">IF(H81&gt;0,F81/H81,"")</f>
        <v>2</v>
      </c>
      <c r="L81" s="7" t="str">
        <f aca="false">IF(I81="Yes",IF(F81&gt;0,"Discontinued - in stock","Discontinued"),IF(F81=0,IF(G81&gt;0,"Stock-out - on order","Stock-out"),IF(H81=0,"No reorder level",IF(K81&gt;=Assumptions!$B$4,"Overstock","OK"))))</f>
        <v>OK</v>
      </c>
      <c r="M81" s="7" t="str">
        <f aca="false">IF(COUNTIFS($A$2:$A$151,A81,$B$2:$B$151,B81,$C$2:$C$151,C81,$D$2:$D$151,D81,$E$2:$E$151,E81,$F$2:$F$151,F81,$G$2:$G$151,G81,$H$2:$H$151,H81,$I$2:$I$151,I81)&gt;1,IF(COUNTIFS($A$2:A81,A81,$B$2:B81,B81,$C$2:C81,C81,$D$2:D81,D81,$E$2:E81,E81,$F$2:F81,F81,$G$2:G81,G81,$H$2:H81,H81,$I$2:I81,I81)&gt;1,"Repeat","First"),"")</f>
        <v/>
      </c>
      <c r="N81" s="7" t="str">
        <f aca="false">IF(E81&gt;QUARTILE($E$2:$E$151,3)+Assumptions!$B$5*(QUARTILE($E$2:$E$151,3)-QUARTILE($E$2:$E$151,1)),"Outlier","")</f>
        <v/>
      </c>
    </row>
    <row r="82" customFormat="false" ht="15" hidden="false" customHeight="false" outlineLevel="0" collapsed="false">
      <c r="A82" s="7" t="s">
        <v>14</v>
      </c>
      <c r="B82" s="20" t="n">
        <v>44585</v>
      </c>
      <c r="C82" s="7" t="s">
        <v>93</v>
      </c>
      <c r="D82" s="7" t="s">
        <v>94</v>
      </c>
      <c r="E82" s="21" t="n">
        <v>10</v>
      </c>
      <c r="F82" s="22" t="n">
        <v>30</v>
      </c>
      <c r="G82" s="22" t="n">
        <v>40</v>
      </c>
      <c r="H82" s="22" t="n">
        <v>5</v>
      </c>
      <c r="I82" s="7" t="s">
        <v>89</v>
      </c>
      <c r="J82" s="23" t="n">
        <f aca="false">E82*F82</f>
        <v>300</v>
      </c>
      <c r="K82" s="24" t="n">
        <f aca="false">IF(H82&gt;0,F82/H82,"")</f>
        <v>6</v>
      </c>
      <c r="L82" s="7" t="str">
        <f aca="false">IF(I82="Yes",IF(F82&gt;0,"Discontinued - in stock","Discontinued"),IF(F82=0,IF(G82&gt;0,"Stock-out - on order","Stock-out"),IF(H82=0,"No reorder level",IF(K82&gt;=Assumptions!$B$4,"Overstock","OK"))))</f>
        <v>OK</v>
      </c>
      <c r="M82" s="7" t="str">
        <f aca="false">IF(COUNTIFS($A$2:$A$151,A82,$B$2:$B$151,B82,$C$2:$C$151,C82,$D$2:$D$151,D82,$E$2:$E$151,E82,$F$2:$F$151,F82,$G$2:$G$151,G82,$H$2:$H$151,H82,$I$2:$I$151,I82)&gt;1,IF(COUNTIFS($A$2:A82,A82,$B$2:B82,B82,$C$2:C82,C82,$D$2:D82,D82,$E$2:E82,E82,$F$2:F82,F82,$G$2:G82,G82,$H$2:H82,H82,$I$2:I82,I82)&gt;1,"Repeat","First"),"")</f>
        <v/>
      </c>
      <c r="N82" s="7" t="str">
        <f aca="false">IF(E82&gt;QUARTILE($E$2:$E$151,3)+Assumptions!$B$5*(QUARTILE($E$2:$E$151,3)-QUARTILE($E$2:$E$151,1)),"Outlier","")</f>
        <v/>
      </c>
    </row>
    <row r="83" customFormat="false" ht="15" hidden="false" customHeight="false" outlineLevel="0" collapsed="false">
      <c r="A83" s="7" t="s">
        <v>14</v>
      </c>
      <c r="B83" s="20" t="n">
        <v>44585</v>
      </c>
      <c r="C83" s="7" t="s">
        <v>99</v>
      </c>
      <c r="D83" s="7" t="s">
        <v>94</v>
      </c>
      <c r="E83" s="21" t="n">
        <v>10</v>
      </c>
      <c r="F83" s="22" t="n">
        <v>30</v>
      </c>
      <c r="G83" s="22" t="n">
        <v>40</v>
      </c>
      <c r="H83" s="22" t="n">
        <v>5</v>
      </c>
      <c r="I83" s="7" t="s">
        <v>89</v>
      </c>
      <c r="J83" s="23" t="n">
        <f aca="false">E83*F83</f>
        <v>300</v>
      </c>
      <c r="K83" s="24" t="n">
        <f aca="false">IF(H83&gt;0,F83/H83,"")</f>
        <v>6</v>
      </c>
      <c r="L83" s="7" t="str">
        <f aca="false">IF(I83="Yes",IF(F83&gt;0,"Discontinued - in stock","Discontinued"),IF(F83=0,IF(G83&gt;0,"Stock-out - on order","Stock-out"),IF(H83=0,"No reorder level",IF(K83&gt;=Assumptions!$B$4,"Overstock","OK"))))</f>
        <v>OK</v>
      </c>
      <c r="M83" s="7" t="str">
        <f aca="false">IF(COUNTIFS($A$2:$A$151,A83,$B$2:$B$151,B83,$C$2:$C$151,C83,$D$2:$D$151,D83,$E$2:$E$151,E83,$F$2:$F$151,F83,$G$2:$G$151,G83,$H$2:$H$151,H83,$I$2:$I$151,I83)&gt;1,IF(COUNTIFS($A$2:A83,A83,$B$2:B83,B83,$C$2:C83,C83,$D$2:D83,D83,$E$2:E83,E83,$F$2:F83,F83,$G$2:G83,G83,$H$2:H83,H83,$I$2:I83,I83)&gt;1,"Repeat","First"),"")</f>
        <v/>
      </c>
      <c r="N83" s="7" t="str">
        <f aca="false">IF(E83&gt;QUARTILE($E$2:$E$151,3)+Assumptions!$B$5*(QUARTILE($E$2:$E$151,3)-QUARTILE($E$2:$E$151,1)),"Outlier","")</f>
        <v/>
      </c>
    </row>
    <row r="84" customFormat="false" ht="15" hidden="false" customHeight="false" outlineLevel="0" collapsed="false">
      <c r="A84" s="7" t="s">
        <v>14</v>
      </c>
      <c r="B84" s="20" t="n">
        <v>44563</v>
      </c>
      <c r="C84" s="7" t="s">
        <v>96</v>
      </c>
      <c r="D84" s="7" t="s">
        <v>94</v>
      </c>
      <c r="E84" s="21" t="n">
        <v>21.35</v>
      </c>
      <c r="F84" s="22" t="n">
        <v>0</v>
      </c>
      <c r="G84" s="22" t="n">
        <v>0</v>
      </c>
      <c r="H84" s="22" t="n">
        <v>0</v>
      </c>
      <c r="I84" s="7" t="s">
        <v>92</v>
      </c>
      <c r="J84" s="23" t="n">
        <f aca="false">E84*F84</f>
        <v>0</v>
      </c>
      <c r="K84" s="24" t="str">
        <f aca="false">IF(H84&gt;0,F84/H84,"")</f>
        <v/>
      </c>
      <c r="L84" s="7" t="str">
        <f aca="false">IF(I84="Yes",IF(F84&gt;0,"Discontinued - in stock","Discontinued"),IF(F84=0,IF(G84&gt;0,"Stock-out - on order","Stock-out"),IF(H84=0,"No reorder level",IF(K84&gt;=Assumptions!$B$4,"Overstock","OK"))))</f>
        <v>Discontinued</v>
      </c>
      <c r="M84" s="7" t="str">
        <f aca="false">IF(COUNTIFS($A$2:$A$151,A84,$B$2:$B$151,B84,$C$2:$C$151,C84,$D$2:$D$151,D84,$E$2:$E$151,E84,$F$2:$F$151,F84,$G$2:$G$151,G84,$H$2:$H$151,H84,$I$2:$I$151,I84)&gt;1,IF(COUNTIFS($A$2:A84,A84,$B$2:B84,B84,$C$2:C84,C84,$D$2:D84,D84,$E$2:E84,E84,$F$2:F84,F84,$G$2:G84,G84,$H$2:H84,H84,$I$2:I84,I84)&gt;1,"Repeat","First"),"")</f>
        <v/>
      </c>
      <c r="N84" s="7" t="str">
        <f aca="false">IF(E84&gt;QUARTILE($E$2:$E$151,3)+Assumptions!$B$5*(QUARTILE($E$2:$E$151,3)-QUARTILE($E$2:$E$151,1)),"Outlier","")</f>
        <v/>
      </c>
    </row>
    <row r="85" customFormat="false" ht="15" hidden="false" customHeight="false" outlineLevel="0" collapsed="false">
      <c r="A85" s="7" t="s">
        <v>14</v>
      </c>
      <c r="B85" s="20" t="n">
        <v>44563</v>
      </c>
      <c r="C85" s="7" t="s">
        <v>99</v>
      </c>
      <c r="D85" s="7" t="s">
        <v>94</v>
      </c>
      <c r="E85" s="21" t="n">
        <v>21.35</v>
      </c>
      <c r="F85" s="22" t="n">
        <v>0</v>
      </c>
      <c r="G85" s="22" t="n">
        <v>0</v>
      </c>
      <c r="H85" s="22" t="n">
        <v>0</v>
      </c>
      <c r="I85" s="7" t="s">
        <v>92</v>
      </c>
      <c r="J85" s="23" t="n">
        <f aca="false">E85*F85</f>
        <v>0</v>
      </c>
      <c r="K85" s="24" t="str">
        <f aca="false">IF(H85&gt;0,F85/H85,"")</f>
        <v/>
      </c>
      <c r="L85" s="7" t="str">
        <f aca="false">IF(I85="Yes",IF(F85&gt;0,"Discontinued - in stock","Discontinued"),IF(F85=0,IF(G85&gt;0,"Stock-out - on order","Stock-out"),IF(H85=0,"No reorder level",IF(K85&gt;=Assumptions!$B$4,"Overstock","OK"))))</f>
        <v>Discontinued</v>
      </c>
      <c r="M85" s="7" t="str">
        <f aca="false">IF(COUNTIFS($A$2:$A$151,A85,$B$2:$B$151,B85,$C$2:$C$151,C85,$D$2:$D$151,D85,$E$2:$E$151,E85,$F$2:$F$151,F85,$G$2:$G$151,G85,$H$2:$H$151,H85,$I$2:$I$151,I85)&gt;1,IF(COUNTIFS($A$2:A85,A85,$B$2:B85,B85,$C$2:C85,C85,$D$2:D85,D85,$E$2:E85,E85,$F$2:F85,F85,$G$2:G85,G85,$H$2:H85,H85,$I$2:I85,I85)&gt;1,"Repeat","First"),"")</f>
        <v/>
      </c>
      <c r="N85" s="7" t="str">
        <f aca="false">IF(E85&gt;QUARTILE($E$2:$E$151,3)+Assumptions!$B$5*(QUARTILE($E$2:$E$151,3)-QUARTILE($E$2:$E$151,1)),"Outlier","")</f>
        <v/>
      </c>
    </row>
    <row r="86" customFormat="false" ht="15" hidden="false" customHeight="false" outlineLevel="0" collapsed="false">
      <c r="A86" s="7" t="s">
        <v>20</v>
      </c>
      <c r="B86" s="20" t="n">
        <v>46304</v>
      </c>
      <c r="C86" s="7" t="s">
        <v>100</v>
      </c>
      <c r="D86" s="7" t="s">
        <v>101</v>
      </c>
      <c r="E86" s="21" t="n">
        <v>24</v>
      </c>
      <c r="F86" s="22" t="n">
        <v>1150</v>
      </c>
      <c r="G86" s="22" t="n">
        <v>0</v>
      </c>
      <c r="H86" s="22" t="n">
        <v>20</v>
      </c>
      <c r="I86" s="7" t="s">
        <v>89</v>
      </c>
      <c r="J86" s="23" t="n">
        <f aca="false">E86*F86</f>
        <v>27600</v>
      </c>
      <c r="K86" s="24" t="n">
        <f aca="false">IF(H86&gt;0,F86/H86,"")</f>
        <v>57.5</v>
      </c>
      <c r="L86" s="7" t="str">
        <f aca="false">IF(I86="Yes",IF(F86&gt;0,"Discontinued - in stock","Discontinued"),IF(F86=0,IF(G86&gt;0,"Stock-out - on order","Stock-out"),IF(H86=0,"No reorder level",IF(K86&gt;=Assumptions!$B$4,"Overstock","OK"))))</f>
        <v>Overstock</v>
      </c>
      <c r="M86" s="7" t="str">
        <f aca="false">IF(COUNTIFS($A$2:$A$151,A86,$B$2:$B$151,B86,$C$2:$C$151,C86,$D$2:$D$151,D86,$E$2:$E$151,E86,$F$2:$F$151,F86,$G$2:$G$151,G86,$H$2:$H$151,H86,$I$2:$I$151,I86)&gt;1,IF(COUNTIFS($A$2:A86,A86,$B$2:B86,B86,$C$2:C86,C86,$D$2:D86,D86,$E$2:E86,E86,$F$2:F86,F86,$G$2:G86,G86,$H$2:H86,H86,$I$2:I86,I86)&gt;1,"Repeat","First"),"")</f>
        <v/>
      </c>
      <c r="N86" s="7" t="str">
        <f aca="false">IF(E86&gt;QUARTILE($E$2:$E$151,3)+Assumptions!$B$5*(QUARTILE($E$2:$E$151,3)-QUARTILE($E$2:$E$151,1)),"Outlier","")</f>
        <v/>
      </c>
    </row>
    <row r="87" customFormat="false" ht="15" hidden="false" customHeight="false" outlineLevel="0" collapsed="false">
      <c r="A87" s="7" t="s">
        <v>20</v>
      </c>
      <c r="B87" s="20" t="n">
        <v>46304</v>
      </c>
      <c r="C87" s="7" t="s">
        <v>102</v>
      </c>
      <c r="D87" s="7" t="s">
        <v>101</v>
      </c>
      <c r="E87" s="21" t="n">
        <v>24</v>
      </c>
      <c r="F87" s="22" t="n">
        <v>1150</v>
      </c>
      <c r="G87" s="22" t="n">
        <v>0</v>
      </c>
      <c r="H87" s="22" t="n">
        <v>20</v>
      </c>
      <c r="I87" s="7" t="s">
        <v>89</v>
      </c>
      <c r="J87" s="23" t="n">
        <f aca="false">E87*F87</f>
        <v>27600</v>
      </c>
      <c r="K87" s="24" t="n">
        <f aca="false">IF(H87&gt;0,F87/H87,"")</f>
        <v>57.5</v>
      </c>
      <c r="L87" s="7" t="str">
        <f aca="false">IF(I87="Yes",IF(F87&gt;0,"Discontinued - in stock","Discontinued"),IF(F87=0,IF(G87&gt;0,"Stock-out - on order","Stock-out"),IF(H87=0,"No reorder level",IF(K87&gt;=Assumptions!$B$4,"Overstock","OK"))))</f>
        <v>Overstock</v>
      </c>
      <c r="M87" s="7" t="str">
        <f aca="false">IF(COUNTIFS($A$2:$A$151,A87,$B$2:$B$151,B87,$C$2:$C$151,C87,$D$2:$D$151,D87,$E$2:$E$151,E87,$F$2:$F$151,F87,$G$2:$G$151,G87,$H$2:$H$151,H87,$I$2:$I$151,I87)&gt;1,IF(COUNTIFS($A$2:A87,A87,$B$2:B87,B87,$C$2:C87,C87,$D$2:D87,D87,$E$2:E87,E87,$F$2:F87,F87,$G$2:G87,G87,$H$2:H87,H87,$I$2:I87,I87)&gt;1,"Repeat","First"),"")</f>
        <v/>
      </c>
      <c r="N87" s="7" t="str">
        <f aca="false">IF(E87&gt;QUARTILE($E$2:$E$151,3)+Assumptions!$B$5*(QUARTILE($E$2:$E$151,3)-QUARTILE($E$2:$E$151,1)),"Outlier","")</f>
        <v/>
      </c>
    </row>
    <row r="88" customFormat="false" ht="15" hidden="false" customHeight="false" outlineLevel="0" collapsed="false">
      <c r="A88" s="7" t="s">
        <v>20</v>
      </c>
      <c r="B88" s="20" t="n">
        <v>44592</v>
      </c>
      <c r="C88" s="7" t="s">
        <v>102</v>
      </c>
      <c r="D88" s="7" t="s">
        <v>101</v>
      </c>
      <c r="E88" s="21" t="n">
        <v>97</v>
      </c>
      <c r="F88" s="22" t="n">
        <v>290</v>
      </c>
      <c r="G88" s="22" t="n">
        <v>0</v>
      </c>
      <c r="H88" s="22" t="n">
        <v>0</v>
      </c>
      <c r="I88" s="7" t="s">
        <v>92</v>
      </c>
      <c r="J88" s="23" t="n">
        <f aca="false">E88*F88</f>
        <v>28130</v>
      </c>
      <c r="K88" s="24" t="str">
        <f aca="false">IF(H88&gt;0,F88/H88,"")</f>
        <v/>
      </c>
      <c r="L88" s="7" t="str">
        <f aca="false">IF(I88="Yes",IF(F88&gt;0,"Discontinued - in stock","Discontinued"),IF(F88=0,IF(G88&gt;0,"Stock-out - on order","Stock-out"),IF(H88=0,"No reorder level",IF(K88&gt;=Assumptions!$B$4,"Overstock","OK"))))</f>
        <v>Discontinued - in stock</v>
      </c>
      <c r="M88" s="7" t="str">
        <f aca="false">IF(COUNTIFS($A$2:$A$151,A88,$B$2:$B$151,B88,$C$2:$C$151,C88,$D$2:$D$151,D88,$E$2:$E$151,E88,$F$2:$F$151,F88,$G$2:$G$151,G88,$H$2:$H$151,H88,$I$2:$I$151,I88)&gt;1,IF(COUNTIFS($A$2:A88,A88,$B$2:B88,B88,$C$2:C88,C88,$D$2:D88,D88,$E$2:E88,E88,$F$2:F88,F88,$G$2:G88,G88,$H$2:H88,H88,$I$2:I88,I88)&gt;1,"Repeat","First"),"")</f>
        <v>First</v>
      </c>
      <c r="N88" s="7" t="str">
        <f aca="false">IF(E88&gt;QUARTILE($E$2:$E$151,3)+Assumptions!$B$5*(QUARTILE($E$2:$E$151,3)-QUARTILE($E$2:$E$151,1)),"Outlier","")</f>
        <v>Outlier</v>
      </c>
    </row>
    <row r="89" customFormat="false" ht="15" hidden="false" customHeight="false" outlineLevel="0" collapsed="false">
      <c r="A89" s="7" t="s">
        <v>20</v>
      </c>
      <c r="B89" s="20" t="n">
        <v>44592</v>
      </c>
      <c r="C89" s="7" t="s">
        <v>102</v>
      </c>
      <c r="D89" s="7" t="s">
        <v>101</v>
      </c>
      <c r="E89" s="21" t="n">
        <v>97</v>
      </c>
      <c r="F89" s="22" t="n">
        <v>290</v>
      </c>
      <c r="G89" s="22" t="n">
        <v>0</v>
      </c>
      <c r="H89" s="22" t="n">
        <v>0</v>
      </c>
      <c r="I89" s="7" t="s">
        <v>92</v>
      </c>
      <c r="J89" s="23" t="n">
        <f aca="false">E89*F89</f>
        <v>28130</v>
      </c>
      <c r="K89" s="24" t="str">
        <f aca="false">IF(H89&gt;0,F89/H89,"")</f>
        <v/>
      </c>
      <c r="L89" s="7" t="str">
        <f aca="false">IF(I89="Yes",IF(F89&gt;0,"Discontinued - in stock","Discontinued"),IF(F89=0,IF(G89&gt;0,"Stock-out - on order","Stock-out"),IF(H89=0,"No reorder level",IF(K89&gt;=Assumptions!$B$4,"Overstock","OK"))))</f>
        <v>Discontinued - in stock</v>
      </c>
      <c r="M89" s="7" t="str">
        <f aca="false">IF(COUNTIFS($A$2:$A$151,A89,$B$2:$B$151,B89,$C$2:$C$151,C89,$D$2:$D$151,D89,$E$2:$E$151,E89,$F$2:$F$151,F89,$G$2:$G$151,G89,$H$2:$H$151,H89,$I$2:$I$151,I89)&gt;1,IF(COUNTIFS($A$2:A89,A89,$B$2:B89,B89,$C$2:C89,C89,$D$2:D89,D89,$E$2:E89,E89,$F$2:F89,F89,$G$2:G89,G89,$H$2:H89,H89,$I$2:I89,I89)&gt;1,"Repeat","First"),"")</f>
        <v>Repeat</v>
      </c>
      <c r="N89" s="7" t="str">
        <f aca="false">IF(E89&gt;QUARTILE($E$2:$E$151,3)+Assumptions!$B$5*(QUARTILE($E$2:$E$151,3)-QUARTILE($E$2:$E$151,1)),"Outlier","")</f>
        <v>Outlier</v>
      </c>
    </row>
    <row r="90" customFormat="false" ht="15" hidden="false" customHeight="false" outlineLevel="0" collapsed="false">
      <c r="A90" s="7" t="s">
        <v>20</v>
      </c>
      <c r="B90" s="20" t="n">
        <v>46313</v>
      </c>
      <c r="C90" s="7" t="s">
        <v>103</v>
      </c>
      <c r="D90" s="7" t="s">
        <v>101</v>
      </c>
      <c r="E90" s="21" t="n">
        <v>7.45</v>
      </c>
      <c r="F90" s="22" t="n">
        <v>210</v>
      </c>
      <c r="G90" s="22" t="n">
        <v>0</v>
      </c>
      <c r="H90" s="22" t="n">
        <v>10</v>
      </c>
      <c r="I90" s="7" t="s">
        <v>89</v>
      </c>
      <c r="J90" s="23" t="n">
        <f aca="false">E90*F90</f>
        <v>1564.5</v>
      </c>
      <c r="K90" s="24" t="n">
        <f aca="false">IF(H90&gt;0,F90/H90,"")</f>
        <v>21</v>
      </c>
      <c r="L90" s="7" t="str">
        <f aca="false">IF(I90="Yes",IF(F90&gt;0,"Discontinued - in stock","Discontinued"),IF(F90=0,IF(G90&gt;0,"Stock-out - on order","Stock-out"),IF(H90=0,"No reorder level",IF(K90&gt;=Assumptions!$B$4,"Overstock","OK"))))</f>
        <v>Overstock</v>
      </c>
      <c r="M90" s="7" t="str">
        <f aca="false">IF(COUNTIFS($A$2:$A$151,A90,$B$2:$B$151,B90,$C$2:$C$151,C90,$D$2:$D$151,D90,$E$2:$E$151,E90,$F$2:$F$151,F90,$G$2:$G$151,G90,$H$2:$H$151,H90,$I$2:$I$151,I90)&gt;1,IF(COUNTIFS($A$2:A90,A90,$B$2:B90,B90,$C$2:C90,C90,$D$2:D90,D90,$E$2:E90,E90,$F$2:F90,F90,$G$2:G90,G90,$H$2:H90,H90,$I$2:I90,I90)&gt;1,"Repeat","First"),"")</f>
        <v/>
      </c>
      <c r="N90" s="7" t="str">
        <f aca="false">IF(E90&gt;QUARTILE($E$2:$E$151,3)+Assumptions!$B$5*(QUARTILE($E$2:$E$151,3)-QUARTILE($E$2:$E$151,1)),"Outlier","")</f>
        <v/>
      </c>
    </row>
    <row r="91" customFormat="false" ht="15" hidden="false" customHeight="false" outlineLevel="0" collapsed="false">
      <c r="A91" s="7" t="s">
        <v>20</v>
      </c>
      <c r="B91" s="20" t="n">
        <v>46313</v>
      </c>
      <c r="C91" s="7" t="s">
        <v>100</v>
      </c>
      <c r="D91" s="7" t="s">
        <v>101</v>
      </c>
      <c r="E91" s="21" t="n">
        <v>7.45</v>
      </c>
      <c r="F91" s="22" t="n">
        <v>210</v>
      </c>
      <c r="G91" s="22" t="n">
        <v>0</v>
      </c>
      <c r="H91" s="22" t="n">
        <v>10</v>
      </c>
      <c r="I91" s="7" t="s">
        <v>89</v>
      </c>
      <c r="J91" s="23" t="n">
        <f aca="false">E91*F91</f>
        <v>1564.5</v>
      </c>
      <c r="K91" s="24" t="n">
        <f aca="false">IF(H91&gt;0,F91/H91,"")</f>
        <v>21</v>
      </c>
      <c r="L91" s="7" t="str">
        <f aca="false">IF(I91="Yes",IF(F91&gt;0,"Discontinued - in stock","Discontinued"),IF(F91=0,IF(G91&gt;0,"Stock-out - on order","Stock-out"),IF(H91=0,"No reorder level",IF(K91&gt;=Assumptions!$B$4,"Overstock","OK"))))</f>
        <v>Overstock</v>
      </c>
      <c r="M91" s="7" t="str">
        <f aca="false">IF(COUNTIFS($A$2:$A$151,A91,$B$2:$B$151,B91,$C$2:$C$151,C91,$D$2:$D$151,D91,$E$2:$E$151,E91,$F$2:$F$151,F91,$G$2:$G$151,G91,$H$2:$H$151,H91,$I$2:$I$151,I91)&gt;1,IF(COUNTIFS($A$2:A91,A91,$B$2:B91,B91,$C$2:C91,C91,$D$2:D91,D91,$E$2:E91,E91,$F$2:F91,F91,$G$2:G91,G91,$H$2:H91,H91,$I$2:I91,I91)&gt;1,"Repeat","First"),"")</f>
        <v/>
      </c>
      <c r="N91" s="7" t="str">
        <f aca="false">IF(E91&gt;QUARTILE($E$2:$E$151,3)+Assumptions!$B$5*(QUARTILE($E$2:$E$151,3)-QUARTILE($E$2:$E$151,1)),"Outlier","")</f>
        <v/>
      </c>
    </row>
    <row r="92" customFormat="false" ht="15" hidden="false" customHeight="false" outlineLevel="0" collapsed="false">
      <c r="A92" s="7" t="s">
        <v>20</v>
      </c>
      <c r="B92" s="20" t="n">
        <v>44573</v>
      </c>
      <c r="C92" s="7" t="s">
        <v>104</v>
      </c>
      <c r="D92" s="7" t="s">
        <v>101</v>
      </c>
      <c r="E92" s="21" t="n">
        <v>39</v>
      </c>
      <c r="F92" s="22" t="n">
        <v>0</v>
      </c>
      <c r="G92" s="22" t="n">
        <v>0</v>
      </c>
      <c r="H92" s="22" t="n">
        <v>0</v>
      </c>
      <c r="I92" s="7" t="s">
        <v>92</v>
      </c>
      <c r="J92" s="23" t="n">
        <f aca="false">E92*F92</f>
        <v>0</v>
      </c>
      <c r="K92" s="24" t="str">
        <f aca="false">IF(H92&gt;0,F92/H92,"")</f>
        <v/>
      </c>
      <c r="L92" s="7" t="str">
        <f aca="false">IF(I92="Yes",IF(F92&gt;0,"Discontinued - in stock","Discontinued"),IF(F92=0,IF(G92&gt;0,"Stock-out - on order","Stock-out"),IF(H92=0,"No reorder level",IF(K92&gt;=Assumptions!$B$4,"Overstock","OK"))))</f>
        <v>Discontinued</v>
      </c>
      <c r="M92" s="7" t="str">
        <f aca="false">IF(COUNTIFS($A$2:$A$151,A92,$B$2:$B$151,B92,$C$2:$C$151,C92,$D$2:$D$151,D92,$E$2:$E$151,E92,$F$2:$F$151,F92,$G$2:$G$151,G92,$H$2:$H$151,H92,$I$2:$I$151,I92)&gt;1,IF(COUNTIFS($A$2:A92,A92,$B$2:B92,B92,$C$2:C92,C92,$D$2:D92,D92,$E$2:E92,E92,$F$2:F92,F92,$G$2:G92,G92,$H$2:H92,H92,$I$2:I92,I92)&gt;1,"Repeat","First"),"")</f>
        <v/>
      </c>
      <c r="N92" s="7" t="str">
        <f aca="false">IF(E92&gt;QUARTILE($E$2:$E$151,3)+Assumptions!$B$5*(QUARTILE($E$2:$E$151,3)-QUARTILE($E$2:$E$151,1)),"Outlier","")</f>
        <v/>
      </c>
    </row>
    <row r="93" customFormat="false" ht="15" hidden="false" customHeight="false" outlineLevel="0" collapsed="false">
      <c r="A93" s="7" t="s">
        <v>20</v>
      </c>
      <c r="B93" s="20" t="n">
        <v>44573</v>
      </c>
      <c r="C93" s="7" t="s">
        <v>102</v>
      </c>
      <c r="D93" s="7" t="s">
        <v>101</v>
      </c>
      <c r="E93" s="21" t="n">
        <v>39</v>
      </c>
      <c r="F93" s="22" t="n">
        <v>0</v>
      </c>
      <c r="G93" s="22" t="n">
        <v>0</v>
      </c>
      <c r="H93" s="22" t="n">
        <v>0</v>
      </c>
      <c r="I93" s="7" t="s">
        <v>92</v>
      </c>
      <c r="J93" s="23" t="n">
        <f aca="false">E93*F93</f>
        <v>0</v>
      </c>
      <c r="K93" s="24" t="str">
        <f aca="false">IF(H93&gt;0,F93/H93,"")</f>
        <v/>
      </c>
      <c r="L93" s="7" t="str">
        <f aca="false">IF(I93="Yes",IF(F93&gt;0,"Discontinued - in stock","Discontinued"),IF(F93=0,IF(G93&gt;0,"Stock-out - on order","Stock-out"),IF(H93=0,"No reorder level",IF(K93&gt;=Assumptions!$B$4,"Overstock","OK"))))</f>
        <v>Discontinued</v>
      </c>
      <c r="M93" s="7" t="str">
        <f aca="false">IF(COUNTIFS($A$2:$A$151,A93,$B$2:$B$151,B93,$C$2:$C$151,C93,$D$2:$D$151,D93,$E$2:$E$151,E93,$F$2:$F$151,F93,$G$2:$G$151,G93,$H$2:$H$151,H93,$I$2:$I$151,I93)&gt;1,IF(COUNTIFS($A$2:A93,A93,$B$2:B93,B93,$C$2:C93,C93,$D$2:D93,D93,$E$2:E93,E93,$F$2:F93,F93,$G$2:G93,G93,$H$2:H93,H93,$I$2:I93,I93)&gt;1,"Repeat","First"),"")</f>
        <v/>
      </c>
      <c r="N93" s="7" t="str">
        <f aca="false">IF(E93&gt;QUARTILE($E$2:$E$151,3)+Assumptions!$B$5*(QUARTILE($E$2:$E$151,3)-QUARTILE($E$2:$E$151,1)),"Outlier","")</f>
        <v/>
      </c>
    </row>
    <row r="94" customFormat="false" ht="15" hidden="false" customHeight="false" outlineLevel="0" collapsed="false">
      <c r="A94" s="7" t="s">
        <v>20</v>
      </c>
      <c r="B94" s="20" t="n">
        <v>44580</v>
      </c>
      <c r="C94" s="7" t="s">
        <v>104</v>
      </c>
      <c r="D94" s="7" t="s">
        <v>101</v>
      </c>
      <c r="E94" s="21" t="n">
        <v>123.79</v>
      </c>
      <c r="F94" s="22" t="n">
        <v>0</v>
      </c>
      <c r="G94" s="22" t="n">
        <v>0</v>
      </c>
      <c r="H94" s="22" t="n">
        <v>0</v>
      </c>
      <c r="I94" s="7" t="s">
        <v>92</v>
      </c>
      <c r="J94" s="23" t="n">
        <f aca="false">E94*F94</f>
        <v>0</v>
      </c>
      <c r="K94" s="24" t="str">
        <f aca="false">IF(H94&gt;0,F94/H94,"")</f>
        <v/>
      </c>
      <c r="L94" s="7" t="str">
        <f aca="false">IF(I94="Yes",IF(F94&gt;0,"Discontinued - in stock","Discontinued"),IF(F94=0,IF(G94&gt;0,"Stock-out - on order","Stock-out"),IF(H94=0,"No reorder level",IF(K94&gt;=Assumptions!$B$4,"Overstock","OK"))))</f>
        <v>Discontinued</v>
      </c>
      <c r="M94" s="7" t="str">
        <f aca="false">IF(COUNTIFS($A$2:$A$151,A94,$B$2:$B$151,B94,$C$2:$C$151,C94,$D$2:$D$151,D94,$E$2:$E$151,E94,$F$2:$F$151,F94,$G$2:$G$151,G94,$H$2:$H$151,H94,$I$2:$I$151,I94)&gt;1,IF(COUNTIFS($A$2:A94,A94,$B$2:B94,B94,$C$2:C94,C94,$D$2:D94,D94,$E$2:E94,E94,$F$2:F94,F94,$G$2:G94,G94,$H$2:H94,H94,$I$2:I94,I94)&gt;1,"Repeat","First"),"")</f>
        <v/>
      </c>
      <c r="N94" s="7" t="str">
        <f aca="false">IF(E94&gt;QUARTILE($E$2:$E$151,3)+Assumptions!$B$5*(QUARTILE($E$2:$E$151,3)-QUARTILE($E$2:$E$151,1)),"Outlier","")</f>
        <v>Outlier</v>
      </c>
    </row>
    <row r="95" customFormat="false" ht="15" hidden="false" customHeight="false" outlineLevel="0" collapsed="false">
      <c r="A95" s="7" t="s">
        <v>20</v>
      </c>
      <c r="B95" s="20" t="n">
        <v>44580</v>
      </c>
      <c r="C95" s="7" t="s">
        <v>102</v>
      </c>
      <c r="D95" s="7" t="s">
        <v>101</v>
      </c>
      <c r="E95" s="21" t="n">
        <v>123.79</v>
      </c>
      <c r="F95" s="22" t="n">
        <v>0</v>
      </c>
      <c r="G95" s="22" t="n">
        <v>0</v>
      </c>
      <c r="H95" s="22" t="n">
        <v>0</v>
      </c>
      <c r="I95" s="7" t="s">
        <v>92</v>
      </c>
      <c r="J95" s="23" t="n">
        <f aca="false">E95*F95</f>
        <v>0</v>
      </c>
      <c r="K95" s="24" t="str">
        <f aca="false">IF(H95&gt;0,F95/H95,"")</f>
        <v/>
      </c>
      <c r="L95" s="7" t="str">
        <f aca="false">IF(I95="Yes",IF(F95&gt;0,"Discontinued - in stock","Discontinued"),IF(F95=0,IF(G95&gt;0,"Stock-out - on order","Stock-out"),IF(H95=0,"No reorder level",IF(K95&gt;=Assumptions!$B$4,"Overstock","OK"))))</f>
        <v>Discontinued</v>
      </c>
      <c r="M95" s="7" t="str">
        <f aca="false">IF(COUNTIFS($A$2:$A$151,A95,$B$2:$B$151,B95,$C$2:$C$151,C95,$D$2:$D$151,D95,$E$2:$E$151,E95,$F$2:$F$151,F95,$G$2:$G$151,G95,$H$2:$H$151,H95,$I$2:$I$151,I95)&gt;1,IF(COUNTIFS($A$2:A95,A95,$B$2:B95,B95,$C$2:C95,C95,$D$2:D95,D95,$E$2:E95,E95,$F$2:F95,F95,$G$2:G95,G95,$H$2:H95,H95,$I$2:I95,I95)&gt;1,"Repeat","First"),"")</f>
        <v/>
      </c>
      <c r="N95" s="7" t="str">
        <f aca="false">IF(E95&gt;QUARTILE($E$2:$E$151,3)+Assumptions!$B$5*(QUARTILE($E$2:$E$151,3)-QUARTILE($E$2:$E$151,1)),"Outlier","")</f>
        <v>Outlier</v>
      </c>
    </row>
    <row r="96" customFormat="false" ht="15" hidden="false" customHeight="false" outlineLevel="0" collapsed="false">
      <c r="A96" s="7" t="s">
        <v>20</v>
      </c>
      <c r="B96" s="20" t="n">
        <v>46339</v>
      </c>
      <c r="C96" s="7" t="s">
        <v>100</v>
      </c>
      <c r="D96" s="7" t="s">
        <v>101</v>
      </c>
      <c r="E96" s="21" t="n">
        <v>32.8</v>
      </c>
      <c r="F96" s="22" t="n">
        <v>0</v>
      </c>
      <c r="G96" s="22" t="n">
        <v>0</v>
      </c>
      <c r="H96" s="22" t="n">
        <v>0</v>
      </c>
      <c r="I96" s="7" t="s">
        <v>92</v>
      </c>
      <c r="J96" s="23" t="n">
        <f aca="false">E96*F96</f>
        <v>0</v>
      </c>
      <c r="K96" s="24" t="str">
        <f aca="false">IF(H96&gt;0,F96/H96,"")</f>
        <v/>
      </c>
      <c r="L96" s="7" t="str">
        <f aca="false">IF(I96="Yes",IF(F96&gt;0,"Discontinued - in stock","Discontinued"),IF(F96=0,IF(G96&gt;0,"Stock-out - on order","Stock-out"),IF(H96=0,"No reorder level",IF(K96&gt;=Assumptions!$B$4,"Overstock","OK"))))</f>
        <v>Discontinued</v>
      </c>
      <c r="M96" s="7" t="str">
        <f aca="false">IF(COUNTIFS($A$2:$A$151,A96,$B$2:$B$151,B96,$C$2:$C$151,C96,$D$2:$D$151,D96,$E$2:$E$151,E96,$F$2:$F$151,F96,$G$2:$G$151,G96,$H$2:$H$151,H96,$I$2:$I$151,I96)&gt;1,IF(COUNTIFS($A$2:A96,A96,$B$2:B96,B96,$C$2:C96,C96,$D$2:D96,D96,$E$2:E96,E96,$F$2:F96,F96,$G$2:G96,G96,$H$2:H96,H96,$I$2:I96,I96)&gt;1,"Repeat","First"),"")</f>
        <v>First</v>
      </c>
      <c r="N96" s="7" t="str">
        <f aca="false">IF(E96&gt;QUARTILE($E$2:$E$151,3)+Assumptions!$B$5*(QUARTILE($E$2:$E$151,3)-QUARTILE($E$2:$E$151,1)),"Outlier","")</f>
        <v/>
      </c>
    </row>
    <row r="97" customFormat="false" ht="15" hidden="false" customHeight="false" outlineLevel="0" collapsed="false">
      <c r="A97" s="7" t="s">
        <v>20</v>
      </c>
      <c r="B97" s="20" t="n">
        <v>46339</v>
      </c>
      <c r="C97" s="7" t="s">
        <v>100</v>
      </c>
      <c r="D97" s="7" t="s">
        <v>101</v>
      </c>
      <c r="E97" s="21" t="n">
        <v>32.8</v>
      </c>
      <c r="F97" s="22" t="n">
        <v>0</v>
      </c>
      <c r="G97" s="22" t="n">
        <v>0</v>
      </c>
      <c r="H97" s="22" t="n">
        <v>0</v>
      </c>
      <c r="I97" s="7" t="s">
        <v>92</v>
      </c>
      <c r="J97" s="23" t="n">
        <f aca="false">E97*F97</f>
        <v>0</v>
      </c>
      <c r="K97" s="24" t="str">
        <f aca="false">IF(H97&gt;0,F97/H97,"")</f>
        <v/>
      </c>
      <c r="L97" s="7" t="str">
        <f aca="false">IF(I97="Yes",IF(F97&gt;0,"Discontinued - in stock","Discontinued"),IF(F97=0,IF(G97&gt;0,"Stock-out - on order","Stock-out"),IF(H97=0,"No reorder level",IF(K97&gt;=Assumptions!$B$4,"Overstock","OK"))))</f>
        <v>Discontinued</v>
      </c>
      <c r="M97" s="7" t="str">
        <f aca="false">IF(COUNTIFS($A$2:$A$151,A97,$B$2:$B$151,B97,$C$2:$C$151,C97,$D$2:$D$151,D97,$E$2:$E$151,E97,$F$2:$F$151,F97,$G$2:$G$151,G97,$H$2:$H$151,H97,$I$2:$I$151,I97)&gt;1,IF(COUNTIFS($A$2:A97,A97,$B$2:B97,B97,$C$2:C97,C97,$D$2:D97,D97,$E$2:E97,E97,$F$2:F97,F97,$G$2:G97,G97,$H$2:H97,H97,$I$2:I97,I97)&gt;1,"Repeat","First"),"")</f>
        <v>Repeat</v>
      </c>
      <c r="N97" s="7" t="str">
        <f aca="false">IF(E97&gt;QUARTILE($E$2:$E$151,3)+Assumptions!$B$5*(QUARTILE($E$2:$E$151,3)-QUARTILE($E$2:$E$151,1)),"Outlier","")</f>
        <v/>
      </c>
    </row>
    <row r="98" customFormat="false" ht="15" hidden="false" customHeight="false" outlineLevel="0" collapsed="false">
      <c r="A98" s="7" t="s">
        <v>16</v>
      </c>
      <c r="B98" s="20" t="n">
        <v>44560</v>
      </c>
      <c r="C98" s="7" t="s">
        <v>105</v>
      </c>
      <c r="D98" s="7" t="s">
        <v>106</v>
      </c>
      <c r="E98" s="21" t="n">
        <v>18.4</v>
      </c>
      <c r="F98" s="22" t="n">
        <v>1230</v>
      </c>
      <c r="G98" s="22" t="n">
        <v>0</v>
      </c>
      <c r="H98" s="22" t="n">
        <v>30</v>
      </c>
      <c r="I98" s="7" t="s">
        <v>89</v>
      </c>
      <c r="J98" s="23" t="n">
        <f aca="false">E98*F98</f>
        <v>22632</v>
      </c>
      <c r="K98" s="24" t="n">
        <f aca="false">IF(H98&gt;0,F98/H98,"")</f>
        <v>41</v>
      </c>
      <c r="L98" s="7" t="str">
        <f aca="false">IF(I98="Yes",IF(F98&gt;0,"Discontinued - in stock","Discontinued"),IF(F98=0,IF(G98&gt;0,"Stock-out - on order","Stock-out"),IF(H98=0,"No reorder level",IF(K98&gt;=Assumptions!$B$4,"Overstock","OK"))))</f>
        <v>Overstock</v>
      </c>
      <c r="M98" s="7" t="str">
        <f aca="false">IF(COUNTIFS($A$2:$A$151,A98,$B$2:$B$151,B98,$C$2:$C$151,C98,$D$2:$D$151,D98,$E$2:$E$151,E98,$F$2:$F$151,F98,$G$2:$G$151,G98,$H$2:$H$151,H98,$I$2:$I$151,I98)&gt;1,IF(COUNTIFS($A$2:A98,A98,$B$2:B98,B98,$C$2:C98,C98,$D$2:D98,D98,$E$2:E98,E98,$F$2:F98,F98,$G$2:G98,G98,$H$2:H98,H98,$I$2:I98,I98)&gt;1,"Repeat","First"),"")</f>
        <v/>
      </c>
      <c r="N98" s="7" t="str">
        <f aca="false">IF(E98&gt;QUARTILE($E$2:$E$151,3)+Assumptions!$B$5*(QUARTILE($E$2:$E$151,3)-QUARTILE($E$2:$E$151,1)),"Outlier","")</f>
        <v/>
      </c>
    </row>
    <row r="99" customFormat="false" ht="15" hidden="false" customHeight="false" outlineLevel="0" collapsed="false">
      <c r="A99" s="7" t="s">
        <v>16</v>
      </c>
      <c r="B99" s="20" t="n">
        <v>44560</v>
      </c>
      <c r="C99" s="7" t="s">
        <v>107</v>
      </c>
      <c r="D99" s="7" t="s">
        <v>106</v>
      </c>
      <c r="E99" s="21" t="n">
        <v>18.4</v>
      </c>
      <c r="F99" s="22" t="n">
        <v>1230</v>
      </c>
      <c r="G99" s="22" t="n">
        <v>0</v>
      </c>
      <c r="H99" s="22" t="n">
        <v>30</v>
      </c>
      <c r="I99" s="7" t="s">
        <v>89</v>
      </c>
      <c r="J99" s="23" t="n">
        <f aca="false">E99*F99</f>
        <v>22632</v>
      </c>
      <c r="K99" s="24" t="n">
        <f aca="false">IF(H99&gt;0,F99/H99,"")</f>
        <v>41</v>
      </c>
      <c r="L99" s="7" t="str">
        <f aca="false">IF(I99="Yes",IF(F99&gt;0,"Discontinued - in stock","Discontinued"),IF(F99=0,IF(G99&gt;0,"Stock-out - on order","Stock-out"),IF(H99=0,"No reorder level",IF(K99&gt;=Assumptions!$B$4,"Overstock","OK"))))</f>
        <v>Overstock</v>
      </c>
      <c r="M99" s="7" t="str">
        <f aca="false">IF(COUNTIFS($A$2:$A$151,A99,$B$2:$B$151,B99,$C$2:$C$151,C99,$D$2:$D$151,D99,$E$2:$E$151,E99,$F$2:$F$151,F99,$G$2:$G$151,G99,$H$2:$H$151,H99,$I$2:$I$151,I99)&gt;1,IF(COUNTIFS($A$2:A99,A99,$B$2:B99,B99,$C$2:C99,C99,$D$2:D99,D99,$E$2:E99,E99,$F$2:F99,F99,$G$2:G99,G99,$H$2:H99,H99,$I$2:I99,I99)&gt;1,"Repeat","First"),"")</f>
        <v/>
      </c>
      <c r="N99" s="7" t="str">
        <f aca="false">IF(E99&gt;QUARTILE($E$2:$E$151,3)+Assumptions!$B$5*(QUARTILE($E$2:$E$151,3)-QUARTILE($E$2:$E$151,1)),"Outlier","")</f>
        <v/>
      </c>
    </row>
    <row r="100" customFormat="false" ht="15" hidden="false" customHeight="false" outlineLevel="0" collapsed="false">
      <c r="A100" s="7" t="s">
        <v>16</v>
      </c>
      <c r="B100" s="20" t="n">
        <v>44589</v>
      </c>
      <c r="C100" s="7" t="s">
        <v>107</v>
      </c>
      <c r="D100" s="7" t="s">
        <v>106</v>
      </c>
      <c r="E100" s="21" t="n">
        <v>19</v>
      </c>
      <c r="F100" s="22" t="n">
        <v>1120</v>
      </c>
      <c r="G100" s="22" t="n">
        <v>0</v>
      </c>
      <c r="H100" s="22" t="n">
        <v>20</v>
      </c>
      <c r="I100" s="7" t="s">
        <v>89</v>
      </c>
      <c r="J100" s="23" t="n">
        <f aca="false">E100*F100</f>
        <v>21280</v>
      </c>
      <c r="K100" s="24" t="n">
        <f aca="false">IF(H100&gt;0,F100/H100,"")</f>
        <v>56</v>
      </c>
      <c r="L100" s="7" t="str">
        <f aca="false">IF(I100="Yes",IF(F100&gt;0,"Discontinued - in stock","Discontinued"),IF(F100=0,IF(G100&gt;0,"Stock-out - on order","Stock-out"),IF(H100=0,"No reorder level",IF(K100&gt;=Assumptions!$B$4,"Overstock","OK"))))</f>
        <v>Overstock</v>
      </c>
      <c r="M100" s="7" t="str">
        <f aca="false">IF(COUNTIFS($A$2:$A$151,A100,$B$2:$B$151,B100,$C$2:$C$151,C100,$D$2:$D$151,D100,$E$2:$E$151,E100,$F$2:$F$151,F100,$G$2:$G$151,G100,$H$2:$H$151,H100,$I$2:$I$151,I100)&gt;1,IF(COUNTIFS($A$2:A100,A100,$B$2:B100,B100,$C$2:C100,C100,$D$2:D100,D100,$E$2:E100,E100,$F$2:F100,F100,$G$2:G100,G100,$H$2:H100,H100,$I$2:I100,I100)&gt;1,"Repeat","First"),"")</f>
        <v>First</v>
      </c>
      <c r="N100" s="7" t="str">
        <f aca="false">IF(E100&gt;QUARTILE($E$2:$E$151,3)+Assumptions!$B$5*(QUARTILE($E$2:$E$151,3)-QUARTILE($E$2:$E$151,1)),"Outlier","")</f>
        <v/>
      </c>
    </row>
    <row r="101" customFormat="false" ht="15" hidden="false" customHeight="false" outlineLevel="0" collapsed="false">
      <c r="A101" s="7" t="s">
        <v>16</v>
      </c>
      <c r="B101" s="20" t="n">
        <v>44589</v>
      </c>
      <c r="C101" s="7" t="s">
        <v>107</v>
      </c>
      <c r="D101" s="7" t="s">
        <v>106</v>
      </c>
      <c r="E101" s="21" t="n">
        <v>19</v>
      </c>
      <c r="F101" s="22" t="n">
        <v>1120</v>
      </c>
      <c r="G101" s="22" t="n">
        <v>0</v>
      </c>
      <c r="H101" s="22" t="n">
        <v>20</v>
      </c>
      <c r="I101" s="7" t="s">
        <v>89</v>
      </c>
      <c r="J101" s="23" t="n">
        <f aca="false">E101*F101</f>
        <v>21280</v>
      </c>
      <c r="K101" s="24" t="n">
        <f aca="false">IF(H101&gt;0,F101/H101,"")</f>
        <v>56</v>
      </c>
      <c r="L101" s="7" t="str">
        <f aca="false">IF(I101="Yes",IF(F101&gt;0,"Discontinued - in stock","Discontinued"),IF(F101=0,IF(G101&gt;0,"Stock-out - on order","Stock-out"),IF(H101=0,"No reorder level",IF(K101&gt;=Assumptions!$B$4,"Overstock","OK"))))</f>
        <v>Overstock</v>
      </c>
      <c r="M101" s="7" t="str">
        <f aca="false">IF(COUNTIFS($A$2:$A$151,A101,$B$2:$B$151,B101,$C$2:$C$151,C101,$D$2:$D$151,D101,$E$2:$E$151,E101,$F$2:$F$151,F101,$G$2:$G$151,G101,$H$2:$H$151,H101,$I$2:$I$151,I101)&gt;1,IF(COUNTIFS($A$2:A101,A101,$B$2:B101,B101,$C$2:C101,C101,$D$2:D101,D101,$E$2:E101,E101,$F$2:F101,F101,$G$2:G101,G101,$H$2:H101,H101,$I$2:I101,I101)&gt;1,"Repeat","First"),"")</f>
        <v>Repeat</v>
      </c>
      <c r="N101" s="7" t="str">
        <f aca="false">IF(E101&gt;QUARTILE($E$2:$E$151,3)+Assumptions!$B$5*(QUARTILE($E$2:$E$151,3)-QUARTILE($E$2:$E$151,1)),"Outlier","")</f>
        <v/>
      </c>
    </row>
    <row r="102" customFormat="false" ht="15" hidden="false" customHeight="false" outlineLevel="0" collapsed="false">
      <c r="A102" s="7" t="s">
        <v>16</v>
      </c>
      <c r="B102" s="20" t="n">
        <v>46240</v>
      </c>
      <c r="C102" s="7" t="s">
        <v>108</v>
      </c>
      <c r="D102" s="7" t="s">
        <v>106</v>
      </c>
      <c r="E102" s="21" t="n">
        <v>15</v>
      </c>
      <c r="F102" s="22" t="n">
        <v>1010</v>
      </c>
      <c r="G102" s="22" t="n">
        <v>0</v>
      </c>
      <c r="H102" s="22" t="n">
        <v>5</v>
      </c>
      <c r="I102" s="7" t="s">
        <v>89</v>
      </c>
      <c r="J102" s="23" t="n">
        <f aca="false">E102*F102</f>
        <v>15150</v>
      </c>
      <c r="K102" s="24" t="n">
        <f aca="false">IF(H102&gt;0,F102/H102,"")</f>
        <v>202</v>
      </c>
      <c r="L102" s="7" t="str">
        <f aca="false">IF(I102="Yes",IF(F102&gt;0,"Discontinued - in stock","Discontinued"),IF(F102=0,IF(G102&gt;0,"Stock-out - on order","Stock-out"),IF(H102=0,"No reorder level",IF(K102&gt;=Assumptions!$B$4,"Overstock","OK"))))</f>
        <v>Overstock</v>
      </c>
      <c r="M102" s="7" t="str">
        <f aca="false">IF(COUNTIFS($A$2:$A$151,A102,$B$2:$B$151,B102,$C$2:$C$151,C102,$D$2:$D$151,D102,$E$2:$E$151,E102,$F$2:$F$151,F102,$G$2:$G$151,G102,$H$2:$H$151,H102,$I$2:$I$151,I102)&gt;1,IF(COUNTIFS($A$2:A102,A102,$B$2:B102,B102,$C$2:C102,C102,$D$2:D102,D102,$E$2:E102,E102,$F$2:F102,F102,$G$2:G102,G102,$H$2:H102,H102,$I$2:I102,I102)&gt;1,"Repeat","First"),"")</f>
        <v>First</v>
      </c>
      <c r="N102" s="7" t="str">
        <f aca="false">IF(E102&gt;QUARTILE($E$2:$E$151,3)+Assumptions!$B$5*(QUARTILE($E$2:$E$151,3)-QUARTILE($E$2:$E$151,1)),"Outlier","")</f>
        <v/>
      </c>
    </row>
    <row r="103" customFormat="false" ht="15" hidden="false" customHeight="false" outlineLevel="0" collapsed="false">
      <c r="A103" s="7" t="s">
        <v>16</v>
      </c>
      <c r="B103" s="20" t="n">
        <v>46240</v>
      </c>
      <c r="C103" s="7" t="s">
        <v>108</v>
      </c>
      <c r="D103" s="7" t="s">
        <v>106</v>
      </c>
      <c r="E103" s="21" t="n">
        <v>15</v>
      </c>
      <c r="F103" s="22" t="n">
        <v>1010</v>
      </c>
      <c r="G103" s="22" t="n">
        <v>0</v>
      </c>
      <c r="H103" s="22" t="n">
        <v>5</v>
      </c>
      <c r="I103" s="7" t="s">
        <v>89</v>
      </c>
      <c r="J103" s="23" t="n">
        <f aca="false">E103*F103</f>
        <v>15150</v>
      </c>
      <c r="K103" s="24" t="n">
        <f aca="false">IF(H103&gt;0,F103/H103,"")</f>
        <v>202</v>
      </c>
      <c r="L103" s="7" t="str">
        <f aca="false">IF(I103="Yes",IF(F103&gt;0,"Discontinued - in stock","Discontinued"),IF(F103=0,IF(G103&gt;0,"Stock-out - on order","Stock-out"),IF(H103=0,"No reorder level",IF(K103&gt;=Assumptions!$B$4,"Overstock","OK"))))</f>
        <v>Overstock</v>
      </c>
      <c r="M103" s="7" t="str">
        <f aca="false">IF(COUNTIFS($A$2:$A$151,A103,$B$2:$B$151,B103,$C$2:$C$151,C103,$D$2:$D$151,D103,$E$2:$E$151,E103,$F$2:$F$151,F103,$G$2:$G$151,G103,$H$2:$H$151,H103,$I$2:$I$151,I103)&gt;1,IF(COUNTIFS($A$2:A103,A103,$B$2:B103,B103,$C$2:C103,C103,$D$2:D103,D103,$E$2:E103,E103,$F$2:F103,F103,$G$2:G103,G103,$H$2:H103,H103,$I$2:I103,I103)&gt;1,"Repeat","First"),"")</f>
        <v>Repeat</v>
      </c>
      <c r="N103" s="7" t="str">
        <f aca="false">IF(E103&gt;QUARTILE($E$2:$E$151,3)+Assumptions!$B$5*(QUARTILE($E$2:$E$151,3)-QUARTILE($E$2:$E$151,1)),"Outlier","")</f>
        <v/>
      </c>
    </row>
    <row r="104" customFormat="false" ht="15" hidden="false" customHeight="false" outlineLevel="0" collapsed="false">
      <c r="A104" s="7" t="s">
        <v>16</v>
      </c>
      <c r="B104" s="20" t="n">
        <v>46301</v>
      </c>
      <c r="C104" s="7" t="s">
        <v>105</v>
      </c>
      <c r="D104" s="7" t="s">
        <v>106</v>
      </c>
      <c r="E104" s="21" t="n">
        <v>12</v>
      </c>
      <c r="F104" s="22" t="n">
        <v>950</v>
      </c>
      <c r="G104" s="22" t="n">
        <v>0</v>
      </c>
      <c r="H104" s="22" t="n">
        <v>0</v>
      </c>
      <c r="I104" s="7" t="s">
        <v>89</v>
      </c>
      <c r="J104" s="23" t="n">
        <f aca="false">E104*F104</f>
        <v>11400</v>
      </c>
      <c r="K104" s="24" t="str">
        <f aca="false">IF(H104&gt;0,F104/H104,"")</f>
        <v/>
      </c>
      <c r="L104" s="7" t="str">
        <f aca="false">IF(I104="Yes",IF(F104&gt;0,"Discontinued - in stock","Discontinued"),IF(F104=0,IF(G104&gt;0,"Stock-out - on order","Stock-out"),IF(H104=0,"No reorder level",IF(K104&gt;=Assumptions!$B$4,"Overstock","OK"))))</f>
        <v>No reorder level</v>
      </c>
      <c r="M104" s="7" t="str">
        <f aca="false">IF(COUNTIFS($A$2:$A$151,A104,$B$2:$B$151,B104,$C$2:$C$151,C104,$D$2:$D$151,D104,$E$2:$E$151,E104,$F$2:$F$151,F104,$G$2:$G$151,G104,$H$2:$H$151,H104,$I$2:$I$151,I104)&gt;1,IF(COUNTIFS($A$2:A104,A104,$B$2:B104,B104,$C$2:C104,C104,$D$2:D104,D104,$E$2:E104,E104,$F$2:F104,F104,$G$2:G104,G104,$H$2:H104,H104,$I$2:I104,I104)&gt;1,"Repeat","First"),"")</f>
        <v/>
      </c>
      <c r="N104" s="7" t="str">
        <f aca="false">IF(E104&gt;QUARTILE($E$2:$E$151,3)+Assumptions!$B$5*(QUARTILE($E$2:$E$151,3)-QUARTILE($E$2:$E$151,1)),"Outlier","")</f>
        <v/>
      </c>
    </row>
    <row r="105" customFormat="false" ht="15" hidden="false" customHeight="false" outlineLevel="0" collapsed="false">
      <c r="A105" s="7" t="s">
        <v>16</v>
      </c>
      <c r="B105" s="20" t="n">
        <v>46301</v>
      </c>
      <c r="C105" s="7" t="s">
        <v>108</v>
      </c>
      <c r="D105" s="7" t="s">
        <v>106</v>
      </c>
      <c r="E105" s="21" t="n">
        <v>12</v>
      </c>
      <c r="F105" s="22" t="n">
        <v>950</v>
      </c>
      <c r="G105" s="22" t="n">
        <v>0</v>
      </c>
      <c r="H105" s="22" t="n">
        <v>0</v>
      </c>
      <c r="I105" s="7" t="s">
        <v>89</v>
      </c>
      <c r="J105" s="23" t="n">
        <f aca="false">E105*F105</f>
        <v>11400</v>
      </c>
      <c r="K105" s="24" t="str">
        <f aca="false">IF(H105&gt;0,F105/H105,"")</f>
        <v/>
      </c>
      <c r="L105" s="7" t="str">
        <f aca="false">IF(I105="Yes",IF(F105&gt;0,"Discontinued - in stock","Discontinued"),IF(F105=0,IF(G105&gt;0,"Stock-out - on order","Stock-out"),IF(H105=0,"No reorder level",IF(K105&gt;=Assumptions!$B$4,"Overstock","OK"))))</f>
        <v>No reorder level</v>
      </c>
      <c r="M105" s="7" t="str">
        <f aca="false">IF(COUNTIFS($A$2:$A$151,A105,$B$2:$B$151,B105,$C$2:$C$151,C105,$D$2:$D$151,D105,$E$2:$E$151,E105,$F$2:$F$151,F105,$G$2:$G$151,G105,$H$2:$H$151,H105,$I$2:$I$151,I105)&gt;1,IF(COUNTIFS($A$2:A105,A105,$B$2:B105,B105,$C$2:C105,C105,$D$2:D105,D105,$E$2:E105,E105,$F$2:F105,F105,$G$2:G105,G105,$H$2:H105,H105,$I$2:I105,I105)&gt;1,"Repeat","First"),"")</f>
        <v/>
      </c>
      <c r="N105" s="7" t="str">
        <f aca="false">IF(E105&gt;QUARTILE($E$2:$E$151,3)+Assumptions!$B$5*(QUARTILE($E$2:$E$151,3)-QUARTILE($E$2:$E$151,1)),"Outlier","")</f>
        <v/>
      </c>
    </row>
    <row r="106" customFormat="false" ht="15" hidden="false" customHeight="false" outlineLevel="0" collapsed="false">
      <c r="A106" s="7" t="s">
        <v>16</v>
      </c>
      <c r="B106" s="20" t="n">
        <v>44561</v>
      </c>
      <c r="C106" s="7" t="s">
        <v>105</v>
      </c>
      <c r="D106" s="7" t="s">
        <v>106</v>
      </c>
      <c r="E106" s="21" t="n">
        <v>9.65</v>
      </c>
      <c r="F106" s="22" t="n">
        <v>850</v>
      </c>
      <c r="G106" s="22" t="n">
        <v>0</v>
      </c>
      <c r="H106" s="22" t="n">
        <v>10</v>
      </c>
      <c r="I106" s="7" t="s">
        <v>89</v>
      </c>
      <c r="J106" s="23" t="n">
        <f aca="false">E106*F106</f>
        <v>8202.5</v>
      </c>
      <c r="K106" s="24" t="n">
        <f aca="false">IF(H106&gt;0,F106/H106,"")</f>
        <v>85</v>
      </c>
      <c r="L106" s="7" t="str">
        <f aca="false">IF(I106="Yes",IF(F106&gt;0,"Discontinued - in stock","Discontinued"),IF(F106=0,IF(G106&gt;0,"Stock-out - on order","Stock-out"),IF(H106=0,"No reorder level",IF(K106&gt;=Assumptions!$B$4,"Overstock","OK"))))</f>
        <v>Overstock</v>
      </c>
      <c r="M106" s="7" t="str">
        <f aca="false">IF(COUNTIFS($A$2:$A$151,A106,$B$2:$B$151,B106,$C$2:$C$151,C106,$D$2:$D$151,D106,$E$2:$E$151,E106,$F$2:$F$151,F106,$G$2:$G$151,G106,$H$2:$H$151,H106,$I$2:$I$151,I106)&gt;1,IF(COUNTIFS($A$2:A106,A106,$B$2:B106,B106,$C$2:C106,C106,$D$2:D106,D106,$E$2:E106,E106,$F$2:F106,F106,$G$2:G106,G106,$H$2:H106,H106,$I$2:I106,I106)&gt;1,"Repeat","First"),"")</f>
        <v/>
      </c>
      <c r="N106" s="7" t="str">
        <f aca="false">IF(E106&gt;QUARTILE($E$2:$E$151,3)+Assumptions!$B$5*(QUARTILE($E$2:$E$151,3)-QUARTILE($E$2:$E$151,1)),"Outlier","")</f>
        <v/>
      </c>
    </row>
    <row r="107" customFormat="false" ht="15" hidden="false" customHeight="false" outlineLevel="0" collapsed="false">
      <c r="A107" s="7" t="s">
        <v>16</v>
      </c>
      <c r="B107" s="20" t="n">
        <v>44561</v>
      </c>
      <c r="C107" s="7" t="s">
        <v>108</v>
      </c>
      <c r="D107" s="7" t="s">
        <v>106</v>
      </c>
      <c r="E107" s="21" t="n">
        <v>9.65</v>
      </c>
      <c r="F107" s="22" t="n">
        <v>850</v>
      </c>
      <c r="G107" s="22" t="n">
        <v>0</v>
      </c>
      <c r="H107" s="22" t="n">
        <v>10</v>
      </c>
      <c r="I107" s="7" t="s">
        <v>89</v>
      </c>
      <c r="J107" s="23" t="n">
        <f aca="false">E107*F107</f>
        <v>8202.5</v>
      </c>
      <c r="K107" s="24" t="n">
        <f aca="false">IF(H107&gt;0,F107/H107,"")</f>
        <v>85</v>
      </c>
      <c r="L107" s="7" t="str">
        <f aca="false">IF(I107="Yes",IF(F107&gt;0,"Discontinued - in stock","Discontinued"),IF(F107=0,IF(G107&gt;0,"Stock-out - on order","Stock-out"),IF(H107=0,"No reorder level",IF(K107&gt;=Assumptions!$B$4,"Overstock","OK"))))</f>
        <v>Overstock</v>
      </c>
      <c r="M107" s="7" t="str">
        <f aca="false">IF(COUNTIFS($A$2:$A$151,A107,$B$2:$B$151,B107,$C$2:$C$151,C107,$D$2:$D$151,D107,$E$2:$E$151,E107,$F$2:$F$151,F107,$G$2:$G$151,G107,$H$2:$H$151,H107,$I$2:$I$151,I107)&gt;1,IF(COUNTIFS($A$2:A107,A107,$B$2:B107,B107,$C$2:C107,C107,$D$2:D107,D107,$E$2:E107,E107,$F$2:F107,F107,$G$2:G107,G107,$H$2:H107,H107,$I$2:I107,I107)&gt;1,"Repeat","First"),"")</f>
        <v/>
      </c>
      <c r="N107" s="7" t="str">
        <f aca="false">IF(E107&gt;QUARTILE($E$2:$E$151,3)+Assumptions!$B$5*(QUARTILE($E$2:$E$151,3)-QUARTILE($E$2:$E$151,1)),"Outlier","")</f>
        <v/>
      </c>
    </row>
    <row r="108" customFormat="false" ht="15" hidden="false" customHeight="false" outlineLevel="0" collapsed="false">
      <c r="A108" s="7" t="s">
        <v>16</v>
      </c>
      <c r="B108" s="20" t="n">
        <v>44407</v>
      </c>
      <c r="C108" s="7" t="s">
        <v>107</v>
      </c>
      <c r="D108" s="7" t="s">
        <v>106</v>
      </c>
      <c r="E108" s="21" t="n">
        <v>13.25</v>
      </c>
      <c r="F108" s="22" t="n">
        <v>620</v>
      </c>
      <c r="G108" s="22" t="n">
        <v>0</v>
      </c>
      <c r="H108" s="22" t="n">
        <v>20</v>
      </c>
      <c r="I108" s="7" t="s">
        <v>89</v>
      </c>
      <c r="J108" s="23" t="n">
        <f aca="false">E108*F108</f>
        <v>8215</v>
      </c>
      <c r="K108" s="24" t="n">
        <f aca="false">IF(H108&gt;0,F108/H108,"")</f>
        <v>31</v>
      </c>
      <c r="L108" s="7" t="str">
        <f aca="false">IF(I108="Yes",IF(F108&gt;0,"Discontinued - in stock","Discontinued"),IF(F108=0,IF(G108&gt;0,"Stock-out - on order","Stock-out"),IF(H108=0,"No reorder level",IF(K108&gt;=Assumptions!$B$4,"Overstock","OK"))))</f>
        <v>Overstock</v>
      </c>
      <c r="M108" s="7" t="str">
        <f aca="false">IF(COUNTIFS($A$2:$A$151,A108,$B$2:$B$151,B108,$C$2:$C$151,C108,$D$2:$D$151,D108,$E$2:$E$151,E108,$F$2:$F$151,F108,$G$2:$G$151,G108,$H$2:$H$151,H108,$I$2:$I$151,I108)&gt;1,IF(COUNTIFS($A$2:A108,A108,$B$2:B108,B108,$C$2:C108,C108,$D$2:D108,D108,$E$2:E108,E108,$F$2:F108,F108,$G$2:G108,G108,$H$2:H108,H108,$I$2:I108,I108)&gt;1,"Repeat","First"),"")</f>
        <v/>
      </c>
      <c r="N108" s="7" t="str">
        <f aca="false">IF(E108&gt;QUARTILE($E$2:$E$151,3)+Assumptions!$B$5*(QUARTILE($E$2:$E$151,3)-QUARTILE($E$2:$E$151,1)),"Outlier","")</f>
        <v/>
      </c>
    </row>
    <row r="109" customFormat="false" ht="15" hidden="false" customHeight="false" outlineLevel="0" collapsed="false">
      <c r="A109" s="7" t="s">
        <v>16</v>
      </c>
      <c r="B109" s="20" t="n">
        <v>44407</v>
      </c>
      <c r="C109" s="7" t="s">
        <v>108</v>
      </c>
      <c r="D109" s="7" t="s">
        <v>106</v>
      </c>
      <c r="E109" s="21" t="n">
        <v>13.25</v>
      </c>
      <c r="F109" s="22" t="n">
        <v>620</v>
      </c>
      <c r="G109" s="22" t="n">
        <v>0</v>
      </c>
      <c r="H109" s="22" t="n">
        <v>20</v>
      </c>
      <c r="I109" s="7" t="s">
        <v>89</v>
      </c>
      <c r="J109" s="23" t="n">
        <f aca="false">E109*F109</f>
        <v>8215</v>
      </c>
      <c r="K109" s="24" t="n">
        <f aca="false">IF(H109&gt;0,F109/H109,"")</f>
        <v>31</v>
      </c>
      <c r="L109" s="7" t="str">
        <f aca="false">IF(I109="Yes",IF(F109&gt;0,"Discontinued - in stock","Discontinued"),IF(F109=0,IF(G109&gt;0,"Stock-out - on order","Stock-out"),IF(H109=0,"No reorder level",IF(K109&gt;=Assumptions!$B$4,"Overstock","OK"))))</f>
        <v>Overstock</v>
      </c>
      <c r="M109" s="7" t="str">
        <f aca="false">IF(COUNTIFS($A$2:$A$151,A109,$B$2:$B$151,B109,$C$2:$C$151,C109,$D$2:$D$151,D109,$E$2:$E$151,E109,$F$2:$F$151,F109,$G$2:$G$151,G109,$H$2:$H$151,H109,$I$2:$I$151,I109)&gt;1,IF(COUNTIFS($A$2:A109,A109,$B$2:B109,B109,$C$2:C109,C109,$D$2:D109,D109,$E$2:E109,E109,$F$2:F109,F109,$G$2:G109,G109,$H$2:H109,H109,$I$2:I109,I109)&gt;1,"Repeat","First"),"")</f>
        <v/>
      </c>
      <c r="N109" s="7" t="str">
        <f aca="false">IF(E109&gt;QUARTILE($E$2:$E$151,3)+Assumptions!$B$5*(QUARTILE($E$2:$E$151,3)-QUARTILE($E$2:$E$151,1)),"Outlier","")</f>
        <v/>
      </c>
    </row>
    <row r="110" customFormat="false" ht="15" hidden="false" customHeight="false" outlineLevel="0" collapsed="false">
      <c r="A110" s="7" t="s">
        <v>16</v>
      </c>
      <c r="B110" s="20" t="n">
        <v>44574</v>
      </c>
      <c r="C110" s="7" t="s">
        <v>105</v>
      </c>
      <c r="D110" s="7" t="s">
        <v>106</v>
      </c>
      <c r="E110" s="21" t="n">
        <v>62.5</v>
      </c>
      <c r="F110" s="22" t="n">
        <v>420</v>
      </c>
      <c r="G110" s="22" t="n">
        <v>0</v>
      </c>
      <c r="H110" s="22" t="n">
        <v>0</v>
      </c>
      <c r="I110" s="7" t="s">
        <v>89</v>
      </c>
      <c r="J110" s="23" t="n">
        <f aca="false">E110*F110</f>
        <v>26250</v>
      </c>
      <c r="K110" s="24" t="str">
        <f aca="false">IF(H110&gt;0,F110/H110,"")</f>
        <v/>
      </c>
      <c r="L110" s="7" t="str">
        <f aca="false">IF(I110="Yes",IF(F110&gt;0,"Discontinued - in stock","Discontinued"),IF(F110=0,IF(G110&gt;0,"Stock-out - on order","Stock-out"),IF(H110=0,"No reorder level",IF(K110&gt;=Assumptions!$B$4,"Overstock","OK"))))</f>
        <v>No reorder level</v>
      </c>
      <c r="M110" s="7" t="str">
        <f aca="false">IF(COUNTIFS($A$2:$A$151,A110,$B$2:$B$151,B110,$C$2:$C$151,C110,$D$2:$D$151,D110,$E$2:$E$151,E110,$F$2:$F$151,F110,$G$2:$G$151,G110,$H$2:$H$151,H110,$I$2:$I$151,I110)&gt;1,IF(COUNTIFS($A$2:A110,A110,$B$2:B110,B110,$C$2:C110,C110,$D$2:D110,D110,$E$2:E110,E110,$F$2:F110,F110,$G$2:G110,G110,$H$2:H110,H110,$I$2:I110,I110)&gt;1,"Repeat","First"),"")</f>
        <v/>
      </c>
      <c r="N110" s="7" t="str">
        <f aca="false">IF(E110&gt;QUARTILE($E$2:$E$151,3)+Assumptions!$B$5*(QUARTILE($E$2:$E$151,3)-QUARTILE($E$2:$E$151,1)),"Outlier","")</f>
        <v/>
      </c>
    </row>
    <row r="111" customFormat="false" ht="15" hidden="false" customHeight="false" outlineLevel="0" collapsed="false">
      <c r="A111" s="7" t="s">
        <v>16</v>
      </c>
      <c r="B111" s="20" t="n">
        <v>44574</v>
      </c>
      <c r="C111" s="7" t="s">
        <v>108</v>
      </c>
      <c r="D111" s="7" t="s">
        <v>106</v>
      </c>
      <c r="E111" s="21" t="n">
        <v>62.5</v>
      </c>
      <c r="F111" s="22" t="n">
        <v>420</v>
      </c>
      <c r="G111" s="22" t="n">
        <v>0</v>
      </c>
      <c r="H111" s="22" t="n">
        <v>0</v>
      </c>
      <c r="I111" s="7" t="s">
        <v>89</v>
      </c>
      <c r="J111" s="23" t="n">
        <f aca="false">E111*F111</f>
        <v>26250</v>
      </c>
      <c r="K111" s="24" t="str">
        <f aca="false">IF(H111&gt;0,F111/H111,"")</f>
        <v/>
      </c>
      <c r="L111" s="7" t="str">
        <f aca="false">IF(I111="Yes",IF(F111&gt;0,"Discontinued - in stock","Discontinued"),IF(F111=0,IF(G111&gt;0,"Stock-out - on order","Stock-out"),IF(H111=0,"No reorder level",IF(K111&gt;=Assumptions!$B$4,"Overstock","OK"))))</f>
        <v>No reorder level</v>
      </c>
      <c r="M111" s="7" t="str">
        <f aca="false">IF(COUNTIFS($A$2:$A$151,A111,$B$2:$B$151,B111,$C$2:$C$151,C111,$D$2:$D$151,D111,$E$2:$E$151,E111,$F$2:$F$151,F111,$G$2:$G$151,G111,$H$2:$H$151,H111,$I$2:$I$151,I111)&gt;1,IF(COUNTIFS($A$2:A111,A111,$B$2:B111,B111,$C$2:C111,C111,$D$2:D111,D111,$E$2:E111,E111,$F$2:F111,F111,$G$2:G111,G111,$H$2:H111,H111,$I$2:I111,I111)&gt;1,"Repeat","First"),"")</f>
        <v/>
      </c>
      <c r="N111" s="7" t="str">
        <f aca="false">IF(E111&gt;QUARTILE($E$2:$E$151,3)+Assumptions!$B$5*(QUARTILE($E$2:$E$151,3)-QUARTILE($E$2:$E$151,1)),"Outlier","")</f>
        <v/>
      </c>
    </row>
    <row r="112" customFormat="false" ht="15" hidden="false" customHeight="false" outlineLevel="0" collapsed="false">
      <c r="A112" s="7" t="s">
        <v>16</v>
      </c>
      <c r="B112" s="20" t="n">
        <v>44557</v>
      </c>
      <c r="C112" s="7" t="s">
        <v>105</v>
      </c>
      <c r="D112" s="7" t="s">
        <v>106</v>
      </c>
      <c r="E112" s="21" t="n">
        <v>23.25</v>
      </c>
      <c r="F112" s="22" t="n">
        <v>350</v>
      </c>
      <c r="G112" s="22" t="n">
        <v>0</v>
      </c>
      <c r="H112" s="22" t="n">
        <v>0</v>
      </c>
      <c r="I112" s="7" t="s">
        <v>89</v>
      </c>
      <c r="J112" s="23" t="n">
        <f aca="false">E112*F112</f>
        <v>8137.5</v>
      </c>
      <c r="K112" s="24" t="str">
        <f aca="false">IF(H112&gt;0,F112/H112,"")</f>
        <v/>
      </c>
      <c r="L112" s="7" t="str">
        <f aca="false">IF(I112="Yes",IF(F112&gt;0,"Discontinued - in stock","Discontinued"),IF(F112=0,IF(G112&gt;0,"Stock-out - on order","Stock-out"),IF(H112=0,"No reorder level",IF(K112&gt;=Assumptions!$B$4,"Overstock","OK"))))</f>
        <v>No reorder level</v>
      </c>
      <c r="M112" s="7" t="str">
        <f aca="false">IF(COUNTIFS($A$2:$A$151,A112,$B$2:$B$151,B112,$C$2:$C$151,C112,$D$2:$D$151,D112,$E$2:$E$151,E112,$F$2:$F$151,F112,$G$2:$G$151,G112,$H$2:$H$151,H112,$I$2:$I$151,I112)&gt;1,IF(COUNTIFS($A$2:A112,A112,$B$2:B112,B112,$C$2:C112,C112,$D$2:D112,D112,$E$2:E112,E112,$F$2:F112,F112,$G$2:G112,G112,$H$2:H112,H112,$I$2:I112,I112)&gt;1,"Repeat","First"),"")</f>
        <v/>
      </c>
      <c r="N112" s="7" t="str">
        <f aca="false">IF(E112&gt;QUARTILE($E$2:$E$151,3)+Assumptions!$B$5*(QUARTILE($E$2:$E$151,3)-QUARTILE($E$2:$E$151,1)),"Outlier","")</f>
        <v/>
      </c>
    </row>
    <row r="113" customFormat="false" ht="15" hidden="false" customHeight="false" outlineLevel="0" collapsed="false">
      <c r="A113" s="7" t="s">
        <v>16</v>
      </c>
      <c r="B113" s="20" t="n">
        <v>44557</v>
      </c>
      <c r="C113" s="7" t="s">
        <v>108</v>
      </c>
      <c r="D113" s="7" t="s">
        <v>106</v>
      </c>
      <c r="E113" s="21" t="n">
        <v>23.25</v>
      </c>
      <c r="F113" s="22" t="n">
        <v>350</v>
      </c>
      <c r="G113" s="22" t="n">
        <v>0</v>
      </c>
      <c r="H113" s="22" t="n">
        <v>0</v>
      </c>
      <c r="I113" s="7" t="s">
        <v>89</v>
      </c>
      <c r="J113" s="23" t="n">
        <f aca="false">E113*F113</f>
        <v>8137.5</v>
      </c>
      <c r="K113" s="24" t="str">
        <f aca="false">IF(H113&gt;0,F113/H113,"")</f>
        <v/>
      </c>
      <c r="L113" s="7" t="str">
        <f aca="false">IF(I113="Yes",IF(F113&gt;0,"Discontinued - in stock","Discontinued"),IF(F113=0,IF(G113&gt;0,"Stock-out - on order","Stock-out"),IF(H113=0,"No reorder level",IF(K113&gt;=Assumptions!$B$4,"Overstock","OK"))))</f>
        <v>No reorder level</v>
      </c>
      <c r="M113" s="7" t="str">
        <f aca="false">IF(COUNTIFS($A$2:$A$151,A113,$B$2:$B$151,B113,$C$2:$C$151,C113,$D$2:$D$151,D113,$E$2:$E$151,E113,$F$2:$F$151,F113,$G$2:$G$151,G113,$H$2:$H$151,H113,$I$2:$I$151,I113)&gt;1,IF(COUNTIFS($A$2:A113,A113,$B$2:B113,B113,$C$2:C113,C113,$D$2:D113,D113,$E$2:E113,E113,$F$2:F113,F113,$G$2:G113,G113,$H$2:H113,H113,$I$2:I113,I113)&gt;1,"Repeat","First"),"")</f>
        <v/>
      </c>
      <c r="N113" s="7" t="str">
        <f aca="false">IF(E113&gt;QUARTILE($E$2:$E$151,3)+Assumptions!$B$5*(QUARTILE($E$2:$E$151,3)-QUARTILE($E$2:$E$151,1)),"Outlier","")</f>
        <v/>
      </c>
    </row>
    <row r="114" customFormat="false" ht="15" hidden="false" customHeight="false" outlineLevel="0" collapsed="false">
      <c r="A114" s="7" t="s">
        <v>16</v>
      </c>
      <c r="B114" s="20" t="n">
        <v>44593</v>
      </c>
      <c r="C114" s="7" t="s">
        <v>107</v>
      </c>
      <c r="D114" s="7" t="s">
        <v>106</v>
      </c>
      <c r="E114" s="21" t="n">
        <v>31</v>
      </c>
      <c r="F114" s="22" t="n">
        <v>310</v>
      </c>
      <c r="G114" s="22" t="n">
        <v>0</v>
      </c>
      <c r="H114" s="22" t="n">
        <v>0</v>
      </c>
      <c r="I114" s="7" t="s">
        <v>89</v>
      </c>
      <c r="J114" s="23" t="n">
        <f aca="false">E114*F114</f>
        <v>9610</v>
      </c>
      <c r="K114" s="24" t="str">
        <f aca="false">IF(H114&gt;0,F114/H114,"")</f>
        <v/>
      </c>
      <c r="L114" s="7" t="str">
        <f aca="false">IF(I114="Yes",IF(F114&gt;0,"Discontinued - in stock","Discontinued"),IF(F114=0,IF(G114&gt;0,"Stock-out - on order","Stock-out"),IF(H114=0,"No reorder level",IF(K114&gt;=Assumptions!$B$4,"Overstock","OK"))))</f>
        <v>No reorder level</v>
      </c>
      <c r="M114" s="7" t="str">
        <f aca="false">IF(COUNTIFS($A$2:$A$151,A114,$B$2:$B$151,B114,$C$2:$C$151,C114,$D$2:$D$151,D114,$E$2:$E$151,E114,$F$2:$F$151,F114,$G$2:$G$151,G114,$H$2:$H$151,H114,$I$2:$I$151,I114)&gt;1,IF(COUNTIFS($A$2:A114,A114,$B$2:B114,B114,$C$2:C114,C114,$D$2:D114,D114,$E$2:E114,E114,$F$2:F114,F114,$G$2:G114,G114,$H$2:H114,H114,$I$2:I114,I114)&gt;1,"Repeat","First"),"")</f>
        <v/>
      </c>
      <c r="N114" s="7" t="str">
        <f aca="false">IF(E114&gt;QUARTILE($E$2:$E$151,3)+Assumptions!$B$5*(QUARTILE($E$2:$E$151,3)-QUARTILE($E$2:$E$151,1)),"Outlier","")</f>
        <v/>
      </c>
    </row>
    <row r="115" customFormat="false" ht="15" hidden="false" customHeight="false" outlineLevel="0" collapsed="false">
      <c r="A115" s="7" t="s">
        <v>16</v>
      </c>
      <c r="B115" s="20" t="n">
        <v>44593</v>
      </c>
      <c r="C115" s="7" t="s">
        <v>108</v>
      </c>
      <c r="D115" s="7" t="s">
        <v>106</v>
      </c>
      <c r="E115" s="21" t="n">
        <v>31</v>
      </c>
      <c r="F115" s="22" t="n">
        <v>310</v>
      </c>
      <c r="G115" s="22" t="n">
        <v>0</v>
      </c>
      <c r="H115" s="22" t="n">
        <v>0</v>
      </c>
      <c r="I115" s="7" t="s">
        <v>89</v>
      </c>
      <c r="J115" s="23" t="n">
        <f aca="false">E115*F115</f>
        <v>9610</v>
      </c>
      <c r="K115" s="24" t="str">
        <f aca="false">IF(H115&gt;0,F115/H115,"")</f>
        <v/>
      </c>
      <c r="L115" s="7" t="str">
        <f aca="false">IF(I115="Yes",IF(F115&gt;0,"Discontinued - in stock","Discontinued"),IF(F115=0,IF(G115&gt;0,"Stock-out - on order","Stock-out"),IF(H115=0,"No reorder level",IF(K115&gt;=Assumptions!$B$4,"Overstock","OK"))))</f>
        <v>No reorder level</v>
      </c>
      <c r="M115" s="7" t="str">
        <f aca="false">IF(COUNTIFS($A$2:$A$151,A115,$B$2:$B$151,B115,$C$2:$C$151,C115,$D$2:$D$151,D115,$E$2:$E$151,E115,$F$2:$F$151,F115,$G$2:$G$151,G115,$H$2:$H$151,H115,$I$2:$I$151,I115)&gt;1,IF(COUNTIFS($A$2:A115,A115,$B$2:B115,B115,$C$2:C115,C115,$D$2:D115,D115,$E$2:E115,E115,$F$2:F115,F115,$G$2:G115,G115,$H$2:H115,H115,$I$2:I115,I115)&gt;1,"Repeat","First"),"")</f>
        <v/>
      </c>
      <c r="N115" s="7" t="str">
        <f aca="false">IF(E115&gt;QUARTILE($E$2:$E$151,3)+Assumptions!$B$5*(QUARTILE($E$2:$E$151,3)-QUARTILE($E$2:$E$151,1)),"Outlier","")</f>
        <v/>
      </c>
    </row>
    <row r="116" customFormat="false" ht="15" hidden="false" customHeight="false" outlineLevel="0" collapsed="false">
      <c r="A116" s="7" t="s">
        <v>16</v>
      </c>
      <c r="B116" s="20" t="n">
        <v>44579</v>
      </c>
      <c r="C116" s="7" t="s">
        <v>105</v>
      </c>
      <c r="D116" s="7" t="s">
        <v>106</v>
      </c>
      <c r="E116" s="21" t="n">
        <v>45.6</v>
      </c>
      <c r="F116" s="22" t="n">
        <v>260</v>
      </c>
      <c r="G116" s="22" t="n">
        <v>0</v>
      </c>
      <c r="H116" s="22" t="n">
        <v>0</v>
      </c>
      <c r="I116" s="7" t="s">
        <v>92</v>
      </c>
      <c r="J116" s="23" t="n">
        <f aca="false">E116*F116</f>
        <v>11856</v>
      </c>
      <c r="K116" s="24" t="str">
        <f aca="false">IF(H116&gt;0,F116/H116,"")</f>
        <v/>
      </c>
      <c r="L116" s="7" t="str">
        <f aca="false">IF(I116="Yes",IF(F116&gt;0,"Discontinued - in stock","Discontinued"),IF(F116=0,IF(G116&gt;0,"Stock-out - on order","Stock-out"),IF(H116=0,"No reorder level",IF(K116&gt;=Assumptions!$B$4,"Overstock","OK"))))</f>
        <v>Discontinued - in stock</v>
      </c>
      <c r="M116" s="7" t="str">
        <f aca="false">IF(COUNTIFS($A$2:$A$151,A116,$B$2:$B$151,B116,$C$2:$C$151,C116,$D$2:$D$151,D116,$E$2:$E$151,E116,$F$2:$F$151,F116,$G$2:$G$151,G116,$H$2:$H$151,H116,$I$2:$I$151,I116)&gt;1,IF(COUNTIFS($A$2:A116,A116,$B$2:B116,B116,$C$2:C116,C116,$D$2:D116,D116,$E$2:E116,E116,$F$2:F116,F116,$G$2:G116,G116,$H$2:H116,H116,$I$2:I116,I116)&gt;1,"Repeat","First"),"")</f>
        <v/>
      </c>
      <c r="N116" s="7" t="str">
        <f aca="false">IF(E116&gt;QUARTILE($E$2:$E$151,3)+Assumptions!$B$5*(QUARTILE($E$2:$E$151,3)-QUARTILE($E$2:$E$151,1)),"Outlier","")</f>
        <v/>
      </c>
    </row>
    <row r="117" customFormat="false" ht="15" hidden="false" customHeight="false" outlineLevel="0" collapsed="false">
      <c r="A117" s="7" t="s">
        <v>16</v>
      </c>
      <c r="B117" s="20" t="n">
        <v>44579</v>
      </c>
      <c r="C117" s="7" t="s">
        <v>107</v>
      </c>
      <c r="D117" s="7" t="s">
        <v>106</v>
      </c>
      <c r="E117" s="21" t="n">
        <v>45.6</v>
      </c>
      <c r="F117" s="22" t="n">
        <v>260</v>
      </c>
      <c r="G117" s="22" t="n">
        <v>0</v>
      </c>
      <c r="H117" s="22" t="n">
        <v>0</v>
      </c>
      <c r="I117" s="7" t="s">
        <v>92</v>
      </c>
      <c r="J117" s="23" t="n">
        <f aca="false">E117*F117</f>
        <v>11856</v>
      </c>
      <c r="K117" s="24" t="str">
        <f aca="false">IF(H117&gt;0,F117/H117,"")</f>
        <v/>
      </c>
      <c r="L117" s="7" t="str">
        <f aca="false">IF(I117="Yes",IF(F117&gt;0,"Discontinued - in stock","Discontinued"),IF(F117=0,IF(G117&gt;0,"Stock-out - on order","Stock-out"),IF(H117=0,"No reorder level",IF(K117&gt;=Assumptions!$B$4,"Overstock","OK"))))</f>
        <v>Discontinued - in stock</v>
      </c>
      <c r="M117" s="7" t="str">
        <f aca="false">IF(COUNTIFS($A$2:$A$151,A117,$B$2:$B$151,B117,$C$2:$C$151,C117,$D$2:$D$151,D117,$E$2:$E$151,E117,$F$2:$F$151,F117,$G$2:$G$151,G117,$H$2:$H$151,H117,$I$2:$I$151,I117)&gt;1,IF(COUNTIFS($A$2:A117,A117,$B$2:B117,B117,$C$2:C117,C117,$D$2:D117,D117,$E$2:E117,E117,$F$2:F117,F117,$G$2:G117,G117,$H$2:H117,H117,$I$2:I117,I117)&gt;1,"Repeat","First"),"")</f>
        <v/>
      </c>
      <c r="N117" s="7" t="str">
        <f aca="false">IF(E117&gt;QUARTILE($E$2:$E$151,3)+Assumptions!$B$5*(QUARTILE($E$2:$E$151,3)-QUARTILE($E$2:$E$151,1)),"Outlier","")</f>
        <v/>
      </c>
    </row>
    <row r="118" customFormat="false" ht="15" hidden="false" customHeight="false" outlineLevel="0" collapsed="false">
      <c r="A118" s="7" t="s">
        <v>16</v>
      </c>
      <c r="B118" s="20" t="n">
        <v>44556</v>
      </c>
      <c r="C118" s="7" t="s">
        <v>108</v>
      </c>
      <c r="D118" s="7" t="s">
        <v>106</v>
      </c>
      <c r="E118" s="21" t="n">
        <v>6</v>
      </c>
      <c r="F118" s="22" t="n">
        <v>240</v>
      </c>
      <c r="G118" s="22" t="n">
        <v>0</v>
      </c>
      <c r="H118" s="22" t="n">
        <v>5</v>
      </c>
      <c r="I118" s="7" t="s">
        <v>89</v>
      </c>
      <c r="J118" s="23" t="n">
        <f aca="false">E118*F118</f>
        <v>1440</v>
      </c>
      <c r="K118" s="24" t="n">
        <f aca="false">IF(H118&gt;0,F118/H118,"")</f>
        <v>48</v>
      </c>
      <c r="L118" s="7" t="str">
        <f aca="false">IF(I118="Yes",IF(F118&gt;0,"Discontinued - in stock","Discontinued"),IF(F118=0,IF(G118&gt;0,"Stock-out - on order","Stock-out"),IF(H118=0,"No reorder level",IF(K118&gt;=Assumptions!$B$4,"Overstock","OK"))))</f>
        <v>Overstock</v>
      </c>
      <c r="M118" s="7" t="str">
        <f aca="false">IF(COUNTIFS($A$2:$A$151,A118,$B$2:$B$151,B118,$C$2:$C$151,C118,$D$2:$D$151,D118,$E$2:$E$151,E118,$F$2:$F$151,F118,$G$2:$G$151,G118,$H$2:$H$151,H118,$I$2:$I$151,I118)&gt;1,IF(COUNTIFS($A$2:A118,A118,$B$2:B118,B118,$C$2:C118,C118,$D$2:D118,D118,$E$2:E118,E118,$F$2:F118,F118,$G$2:G118,G118,$H$2:H118,H118,$I$2:I118,I118)&gt;1,"Repeat","First"),"")</f>
        <v>First</v>
      </c>
      <c r="N118" s="7" t="str">
        <f aca="false">IF(E118&gt;QUARTILE($E$2:$E$151,3)+Assumptions!$B$5*(QUARTILE($E$2:$E$151,3)-QUARTILE($E$2:$E$151,1)),"Outlier","")</f>
        <v/>
      </c>
    </row>
    <row r="119" customFormat="false" ht="15" hidden="false" customHeight="false" outlineLevel="0" collapsed="false">
      <c r="A119" s="7" t="s">
        <v>16</v>
      </c>
      <c r="B119" s="20" t="n">
        <v>44556</v>
      </c>
      <c r="C119" s="7" t="s">
        <v>108</v>
      </c>
      <c r="D119" s="7" t="s">
        <v>106</v>
      </c>
      <c r="E119" s="21" t="n">
        <v>6</v>
      </c>
      <c r="F119" s="22" t="n">
        <v>240</v>
      </c>
      <c r="G119" s="22" t="n">
        <v>0</v>
      </c>
      <c r="H119" s="22" t="n">
        <v>5</v>
      </c>
      <c r="I119" s="7" t="s">
        <v>89</v>
      </c>
      <c r="J119" s="23" t="n">
        <f aca="false">E119*F119</f>
        <v>1440</v>
      </c>
      <c r="K119" s="24" t="n">
        <f aca="false">IF(H119&gt;0,F119/H119,"")</f>
        <v>48</v>
      </c>
      <c r="L119" s="7" t="str">
        <f aca="false">IF(I119="Yes",IF(F119&gt;0,"Discontinued - in stock","Discontinued"),IF(F119=0,IF(G119&gt;0,"Stock-out - on order","Stock-out"),IF(H119=0,"No reorder level",IF(K119&gt;=Assumptions!$B$4,"Overstock","OK"))))</f>
        <v>Overstock</v>
      </c>
      <c r="M119" s="7" t="str">
        <f aca="false">IF(COUNTIFS($A$2:$A$151,A119,$B$2:$B$151,B119,$C$2:$C$151,C119,$D$2:$D$151,D119,$E$2:$E$151,E119,$F$2:$F$151,F119,$G$2:$G$151,G119,$H$2:$H$151,H119,$I$2:$I$151,I119)&gt;1,IF(COUNTIFS($A$2:A119,A119,$B$2:B119,B119,$C$2:C119,C119,$D$2:D119,D119,$E$2:E119,E119,$F$2:F119,F119,$G$2:G119,G119,$H$2:H119,H119,$I$2:I119,I119)&gt;1,"Repeat","First"),"")</f>
        <v>Repeat</v>
      </c>
      <c r="N119" s="7" t="str">
        <f aca="false">IF(E119&gt;QUARTILE($E$2:$E$151,3)+Assumptions!$B$5*(QUARTILE($E$2:$E$151,3)-QUARTILE($E$2:$E$151,1)),"Outlier","")</f>
        <v/>
      </c>
    </row>
    <row r="120" customFormat="false" ht="15" hidden="false" customHeight="false" outlineLevel="0" collapsed="false">
      <c r="A120" s="7" t="s">
        <v>16</v>
      </c>
      <c r="B120" s="20" t="n">
        <v>46306</v>
      </c>
      <c r="C120" s="7" t="s">
        <v>107</v>
      </c>
      <c r="D120" s="7" t="s">
        <v>106</v>
      </c>
      <c r="E120" s="21" t="n">
        <v>53</v>
      </c>
      <c r="F120" s="22" t="n">
        <v>200</v>
      </c>
      <c r="G120" s="22" t="n">
        <v>0</v>
      </c>
      <c r="H120" s="22" t="n">
        <v>10</v>
      </c>
      <c r="I120" s="7" t="s">
        <v>89</v>
      </c>
      <c r="J120" s="23" t="n">
        <f aca="false">E120*F120</f>
        <v>10600</v>
      </c>
      <c r="K120" s="24" t="n">
        <f aca="false">IF(H120&gt;0,F120/H120,"")</f>
        <v>20</v>
      </c>
      <c r="L120" s="7" t="str">
        <f aca="false">IF(I120="Yes",IF(F120&gt;0,"Discontinued - in stock","Discontinued"),IF(F120=0,IF(G120&gt;0,"Stock-out - on order","Stock-out"),IF(H120=0,"No reorder level",IF(K120&gt;=Assumptions!$B$4,"Overstock","OK"))))</f>
        <v>Overstock</v>
      </c>
      <c r="M120" s="7" t="str">
        <f aca="false">IF(COUNTIFS($A$2:$A$151,A120,$B$2:$B$151,B120,$C$2:$C$151,C120,$D$2:$D$151,D120,$E$2:$E$151,E120,$F$2:$F$151,F120,$G$2:$G$151,G120,$H$2:$H$151,H120,$I$2:$I$151,I120)&gt;1,IF(COUNTIFS($A$2:A120,A120,$B$2:B120,B120,$C$2:C120,C120,$D$2:D120,D120,$E$2:E120,E120,$F$2:F120,F120,$G$2:G120,G120,$H$2:H120,H120,$I$2:I120,I120)&gt;1,"Repeat","First"),"")</f>
        <v/>
      </c>
      <c r="N120" s="7" t="str">
        <f aca="false">IF(E120&gt;QUARTILE($E$2:$E$151,3)+Assumptions!$B$5*(QUARTILE($E$2:$E$151,3)-QUARTILE($E$2:$E$151,1)),"Outlier","")</f>
        <v/>
      </c>
    </row>
    <row r="121" customFormat="false" ht="15" hidden="false" customHeight="false" outlineLevel="0" collapsed="false">
      <c r="A121" s="7" t="s">
        <v>16</v>
      </c>
      <c r="B121" s="20" t="n">
        <v>46306</v>
      </c>
      <c r="C121" s="7" t="s">
        <v>108</v>
      </c>
      <c r="D121" s="7" t="s">
        <v>106</v>
      </c>
      <c r="E121" s="21" t="n">
        <v>53</v>
      </c>
      <c r="F121" s="22" t="n">
        <v>200</v>
      </c>
      <c r="G121" s="22" t="n">
        <v>0</v>
      </c>
      <c r="H121" s="22" t="n">
        <v>10</v>
      </c>
      <c r="I121" s="7" t="s">
        <v>89</v>
      </c>
      <c r="J121" s="23" t="n">
        <f aca="false">E121*F121</f>
        <v>10600</v>
      </c>
      <c r="K121" s="24" t="n">
        <f aca="false">IF(H121&gt;0,F121/H121,"")</f>
        <v>20</v>
      </c>
      <c r="L121" s="7" t="str">
        <f aca="false">IF(I121="Yes",IF(F121&gt;0,"Discontinued - in stock","Discontinued"),IF(F121=0,IF(G121&gt;0,"Stock-out - on order","Stock-out"),IF(H121=0,"No reorder level",IF(K121&gt;=Assumptions!$B$4,"Overstock","OK"))))</f>
        <v>Overstock</v>
      </c>
      <c r="M121" s="7" t="str">
        <f aca="false">IF(COUNTIFS($A$2:$A$151,A121,$B$2:$B$151,B121,$C$2:$C$151,C121,$D$2:$D$151,D121,$E$2:$E$151,E121,$F$2:$F$151,F121,$G$2:$G$151,G121,$H$2:$H$151,H121,$I$2:$I$151,I121)&gt;1,IF(COUNTIFS($A$2:A121,A121,$B$2:B121,B121,$C$2:C121,C121,$D$2:D121,D121,$E$2:E121,E121,$F$2:F121,F121,$G$2:G121,G121,$H$2:H121,H121,$I$2:I121,I121)&gt;1,"Repeat","First"),"")</f>
        <v/>
      </c>
      <c r="N121" s="7" t="str">
        <f aca="false">IF(E121&gt;QUARTILE($E$2:$E$151,3)+Assumptions!$B$5*(QUARTILE($E$2:$E$151,3)-QUARTILE($E$2:$E$151,1)),"Outlier","")</f>
        <v/>
      </c>
    </row>
    <row r="122" customFormat="false" ht="15" hidden="false" customHeight="false" outlineLevel="0" collapsed="false">
      <c r="A122" s="7" t="s">
        <v>16</v>
      </c>
      <c r="B122" s="20" t="n">
        <v>44527</v>
      </c>
      <c r="C122" s="7" t="s">
        <v>105</v>
      </c>
      <c r="D122" s="7" t="s">
        <v>106</v>
      </c>
      <c r="E122" s="21" t="n">
        <v>30</v>
      </c>
      <c r="F122" s="22" t="n">
        <v>150</v>
      </c>
      <c r="G122" s="22" t="n">
        <v>0</v>
      </c>
      <c r="H122" s="22" t="n">
        <v>10</v>
      </c>
      <c r="I122" s="7" t="s">
        <v>89</v>
      </c>
      <c r="J122" s="23" t="n">
        <f aca="false">E122*F122</f>
        <v>4500</v>
      </c>
      <c r="K122" s="24" t="n">
        <f aca="false">IF(H122&gt;0,F122/H122,"")</f>
        <v>15</v>
      </c>
      <c r="L122" s="7" t="str">
        <f aca="false">IF(I122="Yes",IF(F122&gt;0,"Discontinued - in stock","Discontinued"),IF(F122=0,IF(G122&gt;0,"Stock-out - on order","Stock-out"),IF(H122=0,"No reorder level",IF(K122&gt;=Assumptions!$B$4,"Overstock","OK"))))</f>
        <v>OK</v>
      </c>
      <c r="M122" s="7" t="str">
        <f aca="false">IF(COUNTIFS($A$2:$A$151,A122,$B$2:$B$151,B122,$C$2:$C$151,C122,$D$2:$D$151,D122,$E$2:$E$151,E122,$F$2:$F$151,F122,$G$2:$G$151,G122,$H$2:$H$151,H122,$I$2:$I$151,I122)&gt;1,IF(COUNTIFS($A$2:A122,A122,$B$2:B122,B122,$C$2:C122,C122,$D$2:D122,D122,$E$2:E122,E122,$F$2:F122,F122,$G$2:G122,G122,$H$2:H122,H122,$I$2:I122,I122)&gt;1,"Repeat","First"),"")</f>
        <v/>
      </c>
      <c r="N122" s="7" t="str">
        <f aca="false">IF(E122&gt;QUARTILE($E$2:$E$151,3)+Assumptions!$B$5*(QUARTILE($E$2:$E$151,3)-QUARTILE($E$2:$E$151,1)),"Outlier","")</f>
        <v/>
      </c>
    </row>
    <row r="123" customFormat="false" ht="15" hidden="false" customHeight="false" outlineLevel="0" collapsed="false">
      <c r="A123" s="7" t="s">
        <v>16</v>
      </c>
      <c r="B123" s="20" t="n">
        <v>44527</v>
      </c>
      <c r="C123" s="7" t="s">
        <v>108</v>
      </c>
      <c r="D123" s="7" t="s">
        <v>106</v>
      </c>
      <c r="E123" s="21" t="n">
        <v>30</v>
      </c>
      <c r="F123" s="22" t="n">
        <v>150</v>
      </c>
      <c r="G123" s="22" t="n">
        <v>0</v>
      </c>
      <c r="H123" s="22" t="n">
        <v>10</v>
      </c>
      <c r="I123" s="7" t="s">
        <v>89</v>
      </c>
      <c r="J123" s="23" t="n">
        <f aca="false">E123*F123</f>
        <v>4500</v>
      </c>
      <c r="K123" s="24" t="n">
        <f aca="false">IF(H123&gt;0,F123/H123,"")</f>
        <v>15</v>
      </c>
      <c r="L123" s="7" t="str">
        <f aca="false">IF(I123="Yes",IF(F123&gt;0,"Discontinued - in stock","Discontinued"),IF(F123=0,IF(G123&gt;0,"Stock-out - on order","Stock-out"),IF(H123=0,"No reorder level",IF(K123&gt;=Assumptions!$B$4,"Overstock","OK"))))</f>
        <v>OK</v>
      </c>
      <c r="M123" s="7" t="str">
        <f aca="false">IF(COUNTIFS($A$2:$A$151,A123,$B$2:$B$151,B123,$C$2:$C$151,C123,$D$2:$D$151,D123,$E$2:$E$151,E123,$F$2:$F$151,F123,$G$2:$G$151,G123,$H$2:$H$151,H123,$I$2:$I$151,I123)&gt;1,IF(COUNTIFS($A$2:A123,A123,$B$2:B123,B123,$C$2:C123,C123,$D$2:D123,D123,$E$2:E123,E123,$F$2:F123,F123,$G$2:G123,G123,$H$2:H123,H123,$I$2:I123,I123)&gt;1,"Repeat","First"),"")</f>
        <v/>
      </c>
      <c r="N123" s="7" t="str">
        <f aca="false">IF(E123&gt;QUARTILE($E$2:$E$151,3)+Assumptions!$B$5*(QUARTILE($E$2:$E$151,3)-QUARTILE($E$2:$E$151,1)),"Outlier","")</f>
        <v/>
      </c>
    </row>
    <row r="124" customFormat="false" ht="15" hidden="false" customHeight="false" outlineLevel="0" collapsed="false">
      <c r="A124" s="7" t="s">
        <v>16</v>
      </c>
      <c r="B124" s="20" t="n">
        <v>44590</v>
      </c>
      <c r="C124" s="7" t="s">
        <v>107</v>
      </c>
      <c r="D124" s="7" t="s">
        <v>106</v>
      </c>
      <c r="E124" s="21" t="n">
        <v>26</v>
      </c>
      <c r="F124" s="22" t="n">
        <v>110</v>
      </c>
      <c r="G124" s="22" t="n">
        <v>50</v>
      </c>
      <c r="H124" s="22" t="n">
        <v>25</v>
      </c>
      <c r="I124" s="7" t="s">
        <v>89</v>
      </c>
      <c r="J124" s="23" t="n">
        <f aca="false">E124*F124</f>
        <v>2860</v>
      </c>
      <c r="K124" s="24" t="n">
        <f aca="false">IF(H124&gt;0,F124/H124,"")</f>
        <v>4.4</v>
      </c>
      <c r="L124" s="7" t="str">
        <f aca="false">IF(I124="Yes",IF(F124&gt;0,"Discontinued - in stock","Discontinued"),IF(F124=0,IF(G124&gt;0,"Stock-out - on order","Stock-out"),IF(H124=0,"No reorder level",IF(K124&gt;=Assumptions!$B$4,"Overstock","OK"))))</f>
        <v>OK</v>
      </c>
      <c r="M124" s="7" t="str">
        <f aca="false">IF(COUNTIFS($A$2:$A$151,A124,$B$2:$B$151,B124,$C$2:$C$151,C124,$D$2:$D$151,D124,$E$2:$E$151,E124,$F$2:$F$151,F124,$G$2:$G$151,G124,$H$2:$H$151,H124,$I$2:$I$151,I124)&gt;1,IF(COUNTIFS($A$2:A124,A124,$B$2:B124,B124,$C$2:C124,C124,$D$2:D124,D124,$E$2:E124,E124,$F$2:F124,F124,$G$2:G124,G124,$H$2:H124,H124,$I$2:I124,I124)&gt;1,"Repeat","First"),"")</f>
        <v>First</v>
      </c>
      <c r="N124" s="7" t="str">
        <f aca="false">IF(E124&gt;QUARTILE($E$2:$E$151,3)+Assumptions!$B$5*(QUARTILE($E$2:$E$151,3)-QUARTILE($E$2:$E$151,1)),"Outlier","")</f>
        <v/>
      </c>
    </row>
    <row r="125" customFormat="false" ht="15" hidden="false" customHeight="false" outlineLevel="0" collapsed="false">
      <c r="A125" s="7" t="s">
        <v>16</v>
      </c>
      <c r="B125" s="20" t="n">
        <v>44590</v>
      </c>
      <c r="C125" s="7" t="s">
        <v>107</v>
      </c>
      <c r="D125" s="7" t="s">
        <v>106</v>
      </c>
      <c r="E125" s="21" t="n">
        <v>26</v>
      </c>
      <c r="F125" s="22" t="n">
        <v>110</v>
      </c>
      <c r="G125" s="22" t="n">
        <v>50</v>
      </c>
      <c r="H125" s="22" t="n">
        <v>25</v>
      </c>
      <c r="I125" s="7" t="s">
        <v>89</v>
      </c>
      <c r="J125" s="23" t="n">
        <f aca="false">E125*F125</f>
        <v>2860</v>
      </c>
      <c r="K125" s="24" t="n">
        <f aca="false">IF(H125&gt;0,F125/H125,"")</f>
        <v>4.4</v>
      </c>
      <c r="L125" s="7" t="str">
        <f aca="false">IF(I125="Yes",IF(F125&gt;0,"Discontinued - in stock","Discontinued"),IF(F125=0,IF(G125&gt;0,"Stock-out - on order","Stock-out"),IF(H125=0,"No reorder level",IF(K125&gt;=Assumptions!$B$4,"Overstock","OK"))))</f>
        <v>OK</v>
      </c>
      <c r="M125" s="7" t="str">
        <f aca="false">IF(COUNTIFS($A$2:$A$151,A125,$B$2:$B$151,B125,$C$2:$C$151,C125,$D$2:$D$151,D125,$E$2:$E$151,E125,$F$2:$F$151,F125,$G$2:$G$151,G125,$H$2:$H$151,H125,$I$2:$I$151,I125)&gt;1,IF(COUNTIFS($A$2:A125,A125,$B$2:B125,B125,$C$2:C125,C125,$D$2:D125,D125,$E$2:E125,E125,$F$2:F125,F125,$G$2:G125,G125,$H$2:H125,H125,$I$2:I125,I125)&gt;1,"Repeat","First"),"")</f>
        <v>Repeat</v>
      </c>
      <c r="N125" s="7" t="str">
        <f aca="false">IF(E125&gt;QUARTILE($E$2:$E$151,3)+Assumptions!$B$5*(QUARTILE($E$2:$E$151,3)-QUARTILE($E$2:$E$151,1)),"Outlier","")</f>
        <v/>
      </c>
    </row>
    <row r="126" customFormat="false" ht="15" hidden="false" customHeight="false" outlineLevel="0" collapsed="false">
      <c r="A126" s="7" t="s">
        <v>16</v>
      </c>
      <c r="B126" s="20" t="n">
        <v>44566</v>
      </c>
      <c r="C126" s="7" t="s">
        <v>105</v>
      </c>
      <c r="D126" s="7" t="s">
        <v>106</v>
      </c>
      <c r="E126" s="21" t="n">
        <v>25.89</v>
      </c>
      <c r="F126" s="22" t="n">
        <v>100</v>
      </c>
      <c r="G126" s="22" t="n">
        <v>0</v>
      </c>
      <c r="H126" s="22" t="n">
        <v>15</v>
      </c>
      <c r="I126" s="7" t="s">
        <v>89</v>
      </c>
      <c r="J126" s="23" t="n">
        <f aca="false">E126*F126</f>
        <v>2589</v>
      </c>
      <c r="K126" s="24" t="n">
        <f aca="false">IF(H126&gt;0,F126/H126,"")</f>
        <v>6.66666666666667</v>
      </c>
      <c r="L126" s="7" t="str">
        <f aca="false">IF(I126="Yes",IF(F126&gt;0,"Discontinued - in stock","Discontinued"),IF(F126=0,IF(G126&gt;0,"Stock-out - on order","Stock-out"),IF(H126=0,"No reorder level",IF(K126&gt;=Assumptions!$B$4,"Overstock","OK"))))</f>
        <v>OK</v>
      </c>
      <c r="M126" s="7" t="str">
        <f aca="false">IF(COUNTIFS($A$2:$A$151,A126,$B$2:$B$151,B126,$C$2:$C$151,C126,$D$2:$D$151,D126,$E$2:$E$151,E126,$F$2:$F$151,F126,$G$2:$G$151,G126,$H$2:$H$151,H126,$I$2:$I$151,I126)&gt;1,IF(COUNTIFS($A$2:A126,A126,$B$2:B126,B126,$C$2:C126,C126,$D$2:D126,D126,$E$2:E126,E126,$F$2:F126,F126,$G$2:G126,G126,$H$2:H126,H126,$I$2:I126,I126)&gt;1,"Repeat","First"),"")</f>
        <v/>
      </c>
      <c r="N126" s="7" t="str">
        <f aca="false">IF(E126&gt;QUARTILE($E$2:$E$151,3)+Assumptions!$B$5*(QUARTILE($E$2:$E$151,3)-QUARTILE($E$2:$E$151,1)),"Outlier","")</f>
        <v/>
      </c>
    </row>
    <row r="127" customFormat="false" ht="15" hidden="false" customHeight="false" outlineLevel="0" collapsed="false">
      <c r="A127" s="7" t="s">
        <v>16</v>
      </c>
      <c r="B127" s="20" t="n">
        <v>44566</v>
      </c>
      <c r="C127" s="7" t="s">
        <v>107</v>
      </c>
      <c r="D127" s="7" t="s">
        <v>106</v>
      </c>
      <c r="E127" s="21" t="n">
        <v>25.89</v>
      </c>
      <c r="F127" s="22" t="n">
        <v>100</v>
      </c>
      <c r="G127" s="22" t="n">
        <v>0</v>
      </c>
      <c r="H127" s="22" t="n">
        <v>15</v>
      </c>
      <c r="I127" s="7" t="s">
        <v>89</v>
      </c>
      <c r="J127" s="23" t="n">
        <f aca="false">E127*F127</f>
        <v>2589</v>
      </c>
      <c r="K127" s="24" t="n">
        <f aca="false">IF(H127&gt;0,F127/H127,"")</f>
        <v>6.66666666666667</v>
      </c>
      <c r="L127" s="7" t="str">
        <f aca="false">IF(I127="Yes",IF(F127&gt;0,"Discontinued - in stock","Discontinued"),IF(F127=0,IF(G127&gt;0,"Stock-out - on order","Stock-out"),IF(H127=0,"No reorder level",IF(K127&gt;=Assumptions!$B$4,"Overstock","OK"))))</f>
        <v>OK</v>
      </c>
      <c r="M127" s="7" t="str">
        <f aca="false">IF(COUNTIFS($A$2:$A$151,A127,$B$2:$B$151,B127,$C$2:$C$151,C127,$D$2:$D$151,D127,$E$2:$E$151,E127,$F$2:$F$151,F127,$G$2:$G$151,G127,$H$2:$H$151,H127,$I$2:$I$151,I127)&gt;1,IF(COUNTIFS($A$2:A127,A127,$B$2:B127,B127,$C$2:C127,C127,$D$2:D127,D127,$E$2:E127,E127,$F$2:F127,F127,$G$2:G127,G127,$H$2:H127,H127,$I$2:I127,I127)&gt;1,"Repeat","First"),"")</f>
        <v/>
      </c>
      <c r="N127" s="7" t="str">
        <f aca="false">IF(E127&gt;QUARTILE($E$2:$E$151,3)+Assumptions!$B$5*(QUARTILE($E$2:$E$151,3)-QUARTILE($E$2:$E$151,1)),"Outlier","")</f>
        <v/>
      </c>
    </row>
    <row r="128" customFormat="false" ht="15" hidden="false" customHeight="false" outlineLevel="0" collapsed="false">
      <c r="A128" s="7" t="s">
        <v>16</v>
      </c>
      <c r="B128" s="20" t="n">
        <v>46300</v>
      </c>
      <c r="C128" s="7" t="s">
        <v>105</v>
      </c>
      <c r="D128" s="7" t="s">
        <v>106</v>
      </c>
      <c r="E128" s="21" t="n">
        <v>9.5</v>
      </c>
      <c r="F128" s="22" t="n">
        <v>50</v>
      </c>
      <c r="G128" s="22" t="n">
        <v>70</v>
      </c>
      <c r="H128" s="22" t="n">
        <v>15</v>
      </c>
      <c r="I128" s="7" t="s">
        <v>89</v>
      </c>
      <c r="J128" s="23" t="n">
        <f aca="false">E128*F128</f>
        <v>475</v>
      </c>
      <c r="K128" s="24" t="n">
        <f aca="false">IF(H128&gt;0,F128/H128,"")</f>
        <v>3.33333333333333</v>
      </c>
      <c r="L128" s="7" t="str">
        <f aca="false">IF(I128="Yes",IF(F128&gt;0,"Discontinued - in stock","Discontinued"),IF(F128=0,IF(G128&gt;0,"Stock-out - on order","Stock-out"),IF(H128=0,"No reorder level",IF(K128&gt;=Assumptions!$B$4,"Overstock","OK"))))</f>
        <v>OK</v>
      </c>
      <c r="M128" s="7" t="str">
        <f aca="false">IF(COUNTIFS($A$2:$A$151,A128,$B$2:$B$151,B128,$C$2:$C$151,C128,$D$2:$D$151,D128,$E$2:$E$151,E128,$F$2:$F$151,F128,$G$2:$G$151,G128,$H$2:$H$151,H128,$I$2:$I$151,I128)&gt;1,IF(COUNTIFS($A$2:A128,A128,$B$2:B128,B128,$C$2:C128,C128,$D$2:D128,D128,$E$2:E128,E128,$F$2:F128,F128,$G$2:G128,G128,$H$2:H128,H128,$I$2:I128,I128)&gt;1,"Repeat","First"),"")</f>
        <v/>
      </c>
      <c r="N128" s="7" t="str">
        <f aca="false">IF(E128&gt;QUARTILE($E$2:$E$151,3)+Assumptions!$B$5*(QUARTILE($E$2:$E$151,3)-QUARTILE($E$2:$E$151,1)),"Outlier","")</f>
        <v/>
      </c>
    </row>
    <row r="129" customFormat="false" ht="15" hidden="false" customHeight="false" outlineLevel="0" collapsed="false">
      <c r="A129" s="7" t="s">
        <v>16</v>
      </c>
      <c r="B129" s="20" t="n">
        <v>46300</v>
      </c>
      <c r="C129" s="7" t="s">
        <v>108</v>
      </c>
      <c r="D129" s="7" t="s">
        <v>106</v>
      </c>
      <c r="E129" s="21" t="n">
        <v>9.5</v>
      </c>
      <c r="F129" s="22" t="n">
        <v>50</v>
      </c>
      <c r="G129" s="22" t="n">
        <v>70</v>
      </c>
      <c r="H129" s="22" t="n">
        <v>15</v>
      </c>
      <c r="I129" s="7" t="s">
        <v>89</v>
      </c>
      <c r="J129" s="23" t="n">
        <f aca="false">E129*F129</f>
        <v>475</v>
      </c>
      <c r="K129" s="24" t="n">
        <f aca="false">IF(H129&gt;0,F129/H129,"")</f>
        <v>3.33333333333333</v>
      </c>
      <c r="L129" s="7" t="str">
        <f aca="false">IF(I129="Yes",IF(F129&gt;0,"Discontinued - in stock","Discontinued"),IF(F129=0,IF(G129&gt;0,"Stock-out - on order","Stock-out"),IF(H129=0,"No reorder level",IF(K129&gt;=Assumptions!$B$4,"Overstock","OK"))))</f>
        <v>OK</v>
      </c>
      <c r="M129" s="7" t="str">
        <f aca="false">IF(COUNTIFS($A$2:$A$151,A129,$B$2:$B$151,B129,$C$2:$C$151,C129,$D$2:$D$151,D129,$E$2:$E$151,E129,$F$2:$F$151,F129,$G$2:$G$151,G129,$H$2:$H$151,H129,$I$2:$I$151,I129)&gt;1,IF(COUNTIFS($A$2:A129,A129,$B$2:B129,B129,$C$2:C129,C129,$D$2:D129,D129,$E$2:E129,E129,$F$2:F129,F129,$G$2:G129,G129,$H$2:H129,H129,$I$2:I129,I129)&gt;1,"Repeat","First"),"")</f>
        <v/>
      </c>
      <c r="N129" s="7" t="str">
        <f aca="false">IF(E129&gt;QUARTILE($E$2:$E$151,3)+Assumptions!$B$5*(QUARTILE($E$2:$E$151,3)-QUARTILE($E$2:$E$151,1)),"Outlier","")</f>
        <v/>
      </c>
    </row>
    <row r="130" customFormat="false" ht="15" hidden="false" customHeight="false" outlineLevel="0" collapsed="false">
      <c r="A130" s="7" t="s">
        <v>16</v>
      </c>
      <c r="B130" s="20" t="n">
        <v>46289</v>
      </c>
      <c r="C130" s="7" t="s">
        <v>107</v>
      </c>
      <c r="D130" s="7" t="s">
        <v>106</v>
      </c>
      <c r="E130" s="21" t="n">
        <v>10</v>
      </c>
      <c r="F130" s="22" t="n">
        <v>40</v>
      </c>
      <c r="G130" s="22" t="n">
        <v>20</v>
      </c>
      <c r="H130" s="22" t="n">
        <v>5</v>
      </c>
      <c r="I130" s="7" t="s">
        <v>89</v>
      </c>
      <c r="J130" s="23" t="n">
        <f aca="false">E130*F130</f>
        <v>400</v>
      </c>
      <c r="K130" s="24" t="n">
        <f aca="false">IF(H130&gt;0,F130/H130,"")</f>
        <v>8</v>
      </c>
      <c r="L130" s="7" t="str">
        <f aca="false">IF(I130="Yes",IF(F130&gt;0,"Discontinued - in stock","Discontinued"),IF(F130=0,IF(G130&gt;0,"Stock-out - on order","Stock-out"),IF(H130=0,"No reorder level",IF(K130&gt;=Assumptions!$B$4,"Overstock","OK"))))</f>
        <v>OK</v>
      </c>
      <c r="M130" s="7" t="str">
        <f aca="false">IF(COUNTIFS($A$2:$A$151,A130,$B$2:$B$151,B130,$C$2:$C$151,C130,$D$2:$D$151,D130,$E$2:$E$151,E130,$F$2:$F$151,F130,$G$2:$G$151,G130,$H$2:$H$151,H130,$I$2:$I$151,I130)&gt;1,IF(COUNTIFS($A$2:A130,A130,$B$2:B130,B130,$C$2:C130,C130,$D$2:D130,D130,$E$2:E130,E130,$F$2:F130,F130,$G$2:G130,G130,$H$2:H130,H130,$I$2:I130,I130)&gt;1,"Repeat","First"),"")</f>
        <v>First</v>
      </c>
      <c r="N130" s="7" t="str">
        <f aca="false">IF(E130&gt;QUARTILE($E$2:$E$151,3)+Assumptions!$B$5*(QUARTILE($E$2:$E$151,3)-QUARTILE($E$2:$E$151,1)),"Outlier","")</f>
        <v/>
      </c>
    </row>
    <row r="131" customFormat="false" ht="15" hidden="false" customHeight="false" outlineLevel="0" collapsed="false">
      <c r="A131" s="7" t="s">
        <v>16</v>
      </c>
      <c r="B131" s="20" t="n">
        <v>46289</v>
      </c>
      <c r="C131" s="7" t="s">
        <v>107</v>
      </c>
      <c r="D131" s="7" t="s">
        <v>106</v>
      </c>
      <c r="E131" s="21" t="n">
        <v>10</v>
      </c>
      <c r="F131" s="22" t="n">
        <v>40</v>
      </c>
      <c r="G131" s="22" t="n">
        <v>20</v>
      </c>
      <c r="H131" s="22" t="n">
        <v>5</v>
      </c>
      <c r="I131" s="7" t="s">
        <v>89</v>
      </c>
      <c r="J131" s="23" t="n">
        <f aca="false">E131*F131</f>
        <v>400</v>
      </c>
      <c r="K131" s="24" t="n">
        <f aca="false">IF(H131&gt;0,F131/H131,"")</f>
        <v>8</v>
      </c>
      <c r="L131" s="7" t="str">
        <f aca="false">IF(I131="Yes",IF(F131&gt;0,"Discontinued - in stock","Discontinued"),IF(F131=0,IF(G131&gt;0,"Stock-out - on order","Stock-out"),IF(H131=0,"No reorder level",IF(K131&gt;=Assumptions!$B$4,"Overstock","OK"))))</f>
        <v>OK</v>
      </c>
      <c r="M131" s="7" t="str">
        <f aca="false">IF(COUNTIFS($A$2:$A$151,A131,$B$2:$B$151,B131,$C$2:$C$151,C131,$D$2:$D$151,D131,$E$2:$E$151,E131,$F$2:$F$151,F131,$G$2:$G$151,G131,$H$2:$H$151,H131,$I$2:$I$151,I131)&gt;1,IF(COUNTIFS($A$2:A131,A131,$B$2:B131,B131,$C$2:C131,C131,$D$2:D131,D131,$E$2:E131,E131,$F$2:F131,F131,$G$2:G131,G131,$H$2:H131,H131,$I$2:I131,I131)&gt;1,"Repeat","First"),"")</f>
        <v>Repeat</v>
      </c>
      <c r="N131" s="7" t="str">
        <f aca="false">IF(E131&gt;QUARTILE($E$2:$E$151,3)+Assumptions!$B$5*(QUARTILE($E$2:$E$151,3)-QUARTILE($E$2:$E$151,1)),"Outlier","")</f>
        <v/>
      </c>
    </row>
    <row r="132" customFormat="false" ht="15" hidden="false" customHeight="false" outlineLevel="0" collapsed="false">
      <c r="A132" s="7" t="s">
        <v>18</v>
      </c>
      <c r="B132" s="20" t="n">
        <v>44567</v>
      </c>
      <c r="C132" s="7" t="s">
        <v>109</v>
      </c>
      <c r="D132" s="7" t="s">
        <v>110</v>
      </c>
      <c r="E132" s="21" t="n">
        <v>2.5</v>
      </c>
      <c r="F132" s="22" t="n">
        <v>1120</v>
      </c>
      <c r="G132" s="22" t="n">
        <v>0</v>
      </c>
      <c r="H132" s="22" t="n">
        <v>20</v>
      </c>
      <c r="I132" s="7" t="s">
        <v>89</v>
      </c>
      <c r="J132" s="23" t="n">
        <f aca="false">E132*F132</f>
        <v>2800</v>
      </c>
      <c r="K132" s="24" t="n">
        <f aca="false">IF(H132&gt;0,F132/H132,"")</f>
        <v>56</v>
      </c>
      <c r="L132" s="7" t="str">
        <f aca="false">IF(I132="Yes",IF(F132&gt;0,"Discontinued - in stock","Discontinued"),IF(F132=0,IF(G132&gt;0,"Stock-out - on order","Stock-out"),IF(H132=0,"No reorder level",IF(K132&gt;=Assumptions!$B$4,"Overstock","OK"))))</f>
        <v>Overstock</v>
      </c>
      <c r="M132" s="7" t="str">
        <f aca="false">IF(COUNTIFS($A$2:$A$151,A132,$B$2:$B$151,B132,$C$2:$C$151,C132,$D$2:$D$151,D132,$E$2:$E$151,E132,$F$2:$F$151,F132,$G$2:$G$151,G132,$H$2:$H$151,H132,$I$2:$I$151,I132)&gt;1,IF(COUNTIFS($A$2:A132,A132,$B$2:B132,B132,$C$2:C132,C132,$D$2:D132,D132,$E$2:E132,E132,$F$2:F132,F132,$G$2:G132,G132,$H$2:H132,H132,$I$2:I132,I132)&gt;1,"Repeat","First"),"")</f>
        <v/>
      </c>
      <c r="N132" s="7" t="str">
        <f aca="false">IF(E132&gt;QUARTILE($E$2:$E$151,3)+Assumptions!$B$5*(QUARTILE($E$2:$E$151,3)-QUARTILE($E$2:$E$151,1)),"Outlier","")</f>
        <v/>
      </c>
    </row>
    <row r="133" customFormat="false" ht="15" hidden="false" customHeight="false" outlineLevel="0" collapsed="false">
      <c r="A133" s="7" t="s">
        <v>18</v>
      </c>
      <c r="B133" s="20" t="n">
        <v>44567</v>
      </c>
      <c r="C133" s="7" t="s">
        <v>111</v>
      </c>
      <c r="D133" s="7" t="s">
        <v>110</v>
      </c>
      <c r="E133" s="21" t="n">
        <v>2.5</v>
      </c>
      <c r="F133" s="22" t="n">
        <v>1120</v>
      </c>
      <c r="G133" s="22" t="n">
        <v>0</v>
      </c>
      <c r="H133" s="22" t="n">
        <v>20</v>
      </c>
      <c r="I133" s="7" t="s">
        <v>89</v>
      </c>
      <c r="J133" s="23" t="n">
        <f aca="false">E133*F133</f>
        <v>2800</v>
      </c>
      <c r="K133" s="24" t="n">
        <f aca="false">IF(H133&gt;0,F133/H133,"")</f>
        <v>56</v>
      </c>
      <c r="L133" s="7" t="str">
        <f aca="false">IF(I133="Yes",IF(F133&gt;0,"Discontinued - in stock","Discontinued"),IF(F133=0,IF(G133&gt;0,"Stock-out - on order","Stock-out"),IF(H133=0,"No reorder level",IF(K133&gt;=Assumptions!$B$4,"Overstock","OK"))))</f>
        <v>Overstock</v>
      </c>
      <c r="M133" s="7" t="str">
        <f aca="false">IF(COUNTIFS($A$2:$A$151,A133,$B$2:$B$151,B133,$C$2:$C$151,C133,$D$2:$D$151,D133,$E$2:$E$151,E133,$F$2:$F$151,F133,$G$2:$G$151,G133,$H$2:$H$151,H133,$I$2:$I$151,I133)&gt;1,IF(COUNTIFS($A$2:A133,A133,$B$2:B133,B133,$C$2:C133,C133,$D$2:D133,D133,$E$2:E133,E133,$F$2:F133,F133,$G$2:G133,G133,$H$2:H133,H133,$I$2:I133,I133)&gt;1,"Repeat","First"),"")</f>
        <v/>
      </c>
      <c r="N133" s="7" t="str">
        <f aca="false">IF(E133&gt;QUARTILE($E$2:$E$151,3)+Assumptions!$B$5*(QUARTILE($E$2:$E$151,3)-QUARTILE($E$2:$E$151,1)),"Outlier","")</f>
        <v/>
      </c>
    </row>
    <row r="134" customFormat="false" ht="15" hidden="false" customHeight="false" outlineLevel="0" collapsed="false">
      <c r="A134" s="7" t="s">
        <v>18</v>
      </c>
      <c r="B134" s="20" t="n">
        <v>44399</v>
      </c>
      <c r="C134" s="7" t="s">
        <v>112</v>
      </c>
      <c r="D134" s="7" t="s">
        <v>110</v>
      </c>
      <c r="E134" s="21" t="n">
        <v>38</v>
      </c>
      <c r="F134" s="22" t="n">
        <v>860</v>
      </c>
      <c r="G134" s="22" t="n">
        <v>0</v>
      </c>
      <c r="H134" s="22" t="n">
        <v>0</v>
      </c>
      <c r="I134" s="7" t="s">
        <v>89</v>
      </c>
      <c r="J134" s="23" t="n">
        <f aca="false">E134*F134</f>
        <v>32680</v>
      </c>
      <c r="K134" s="24" t="str">
        <f aca="false">IF(H134&gt;0,F134/H134,"")</f>
        <v/>
      </c>
      <c r="L134" s="7" t="str">
        <f aca="false">IF(I134="Yes",IF(F134&gt;0,"Discontinued - in stock","Discontinued"),IF(F134=0,IF(G134&gt;0,"Stock-out - on order","Stock-out"),IF(H134=0,"No reorder level",IF(K134&gt;=Assumptions!$B$4,"Overstock","OK"))))</f>
        <v>No reorder level</v>
      </c>
      <c r="M134" s="7" t="str">
        <f aca="false">IF(COUNTIFS($A$2:$A$151,A134,$B$2:$B$151,B134,$C$2:$C$151,C134,$D$2:$D$151,D134,$E$2:$E$151,E134,$F$2:$F$151,F134,$G$2:$G$151,G134,$H$2:$H$151,H134,$I$2:$I$151,I134)&gt;1,IF(COUNTIFS($A$2:A134,A134,$B$2:B134,B134,$C$2:C134,C134,$D$2:D134,D134,$E$2:E134,E134,$F$2:F134,F134,$G$2:G134,G134,$H$2:H134,H134,$I$2:I134,I134)&gt;1,"Repeat","First"),"")</f>
        <v>First</v>
      </c>
      <c r="N134" s="7" t="str">
        <f aca="false">IF(E134&gt;QUARTILE($E$2:$E$151,3)+Assumptions!$B$5*(QUARTILE($E$2:$E$151,3)-QUARTILE($E$2:$E$151,1)),"Outlier","")</f>
        <v/>
      </c>
    </row>
    <row r="135" customFormat="false" ht="15" hidden="false" customHeight="false" outlineLevel="0" collapsed="false">
      <c r="A135" s="7" t="s">
        <v>18</v>
      </c>
      <c r="B135" s="20" t="n">
        <v>44399</v>
      </c>
      <c r="C135" s="7" t="s">
        <v>112</v>
      </c>
      <c r="D135" s="7" t="s">
        <v>110</v>
      </c>
      <c r="E135" s="21" t="n">
        <v>38</v>
      </c>
      <c r="F135" s="22" t="n">
        <v>860</v>
      </c>
      <c r="G135" s="22" t="n">
        <v>0</v>
      </c>
      <c r="H135" s="22" t="n">
        <v>0</v>
      </c>
      <c r="I135" s="7" t="s">
        <v>89</v>
      </c>
      <c r="J135" s="23" t="n">
        <f aca="false">E135*F135</f>
        <v>32680</v>
      </c>
      <c r="K135" s="24" t="str">
        <f aca="false">IF(H135&gt;0,F135/H135,"")</f>
        <v/>
      </c>
      <c r="L135" s="7" t="str">
        <f aca="false">IF(I135="Yes",IF(F135&gt;0,"Discontinued - in stock","Discontinued"),IF(F135=0,IF(G135&gt;0,"Stock-out - on order","Stock-out"),IF(H135=0,"No reorder level",IF(K135&gt;=Assumptions!$B$4,"Overstock","OK"))))</f>
        <v>No reorder level</v>
      </c>
      <c r="M135" s="7" t="str">
        <f aca="false">IF(COUNTIFS($A$2:$A$151,A135,$B$2:$B$151,B135,$C$2:$C$151,C135,$D$2:$D$151,D135,$E$2:$E$151,E135,$F$2:$F$151,F135,$G$2:$G$151,G135,$H$2:$H$151,H135,$I$2:$I$151,I135)&gt;1,IF(COUNTIFS($A$2:A135,A135,$B$2:B135,B135,$C$2:C135,C135,$D$2:D135,D135,$E$2:E135,E135,$F$2:F135,F135,$G$2:G135,G135,$H$2:H135,H135,$I$2:I135,I135)&gt;1,"Repeat","First"),"")</f>
        <v>Repeat</v>
      </c>
      <c r="N135" s="7" t="str">
        <f aca="false">IF(E135&gt;QUARTILE($E$2:$E$151,3)+Assumptions!$B$5*(QUARTILE($E$2:$E$151,3)-QUARTILE($E$2:$E$151,1)),"Outlier","")</f>
        <v/>
      </c>
    </row>
    <row r="136" customFormat="false" ht="15" hidden="false" customHeight="false" outlineLevel="0" collapsed="false">
      <c r="A136" s="7" t="s">
        <v>18</v>
      </c>
      <c r="B136" s="20" t="n">
        <v>44479</v>
      </c>
      <c r="C136" s="7" t="s">
        <v>113</v>
      </c>
      <c r="D136" s="7" t="s">
        <v>110</v>
      </c>
      <c r="E136" s="21" t="n">
        <v>55</v>
      </c>
      <c r="F136" s="22" t="n">
        <v>790</v>
      </c>
      <c r="G136" s="22" t="n">
        <v>0</v>
      </c>
      <c r="H136" s="22" t="n">
        <v>0</v>
      </c>
      <c r="I136" s="7" t="s">
        <v>89</v>
      </c>
      <c r="J136" s="23" t="n">
        <f aca="false">E136*F136</f>
        <v>43450</v>
      </c>
      <c r="K136" s="24" t="str">
        <f aca="false">IF(H136&gt;0,F136/H136,"")</f>
        <v/>
      </c>
      <c r="L136" s="7" t="str">
        <f aca="false">IF(I136="Yes",IF(F136&gt;0,"Discontinued - in stock","Discontinued"),IF(F136=0,IF(G136&gt;0,"Stock-out - on order","Stock-out"),IF(H136=0,"No reorder level",IF(K136&gt;=Assumptions!$B$4,"Overstock","OK"))))</f>
        <v>No reorder level</v>
      </c>
      <c r="M136" s="7" t="str">
        <f aca="false">IF(COUNTIFS($A$2:$A$151,A136,$B$2:$B$151,B136,$C$2:$C$151,C136,$D$2:$D$151,D136,$E$2:$E$151,E136,$F$2:$F$151,F136,$G$2:$G$151,G136,$H$2:$H$151,H136,$I$2:$I$151,I136)&gt;1,IF(COUNTIFS($A$2:A136,A136,$B$2:B136,B136,$C$2:C136,C136,$D$2:D136,D136,$E$2:E136,E136,$F$2:F136,F136,$G$2:G136,G136,$H$2:H136,H136,$I$2:I136,I136)&gt;1,"Repeat","First"),"")</f>
        <v/>
      </c>
      <c r="N136" s="7" t="str">
        <f aca="false">IF(E136&gt;QUARTILE($E$2:$E$151,3)+Assumptions!$B$5*(QUARTILE($E$2:$E$151,3)-QUARTILE($E$2:$E$151,1)),"Outlier","")</f>
        <v/>
      </c>
    </row>
    <row r="137" customFormat="false" ht="15" hidden="false" customHeight="false" outlineLevel="0" collapsed="false">
      <c r="A137" s="7" t="s">
        <v>18</v>
      </c>
      <c r="B137" s="20" t="n">
        <v>44479</v>
      </c>
      <c r="C137" s="7" t="s">
        <v>111</v>
      </c>
      <c r="D137" s="7" t="s">
        <v>110</v>
      </c>
      <c r="E137" s="21" t="n">
        <v>55</v>
      </c>
      <c r="F137" s="22" t="n">
        <v>790</v>
      </c>
      <c r="G137" s="22" t="n">
        <v>0</v>
      </c>
      <c r="H137" s="22" t="n">
        <v>0</v>
      </c>
      <c r="I137" s="7" t="s">
        <v>89</v>
      </c>
      <c r="J137" s="23" t="n">
        <f aca="false">E137*F137</f>
        <v>43450</v>
      </c>
      <c r="K137" s="24" t="str">
        <f aca="false">IF(H137&gt;0,F137/H137,"")</f>
        <v/>
      </c>
      <c r="L137" s="7" t="str">
        <f aca="false">IF(I137="Yes",IF(F137&gt;0,"Discontinued - in stock","Discontinued"),IF(F137=0,IF(G137&gt;0,"Stock-out - on order","Stock-out"),IF(H137=0,"No reorder level",IF(K137&gt;=Assumptions!$B$4,"Overstock","OK"))))</f>
        <v>No reorder level</v>
      </c>
      <c r="M137" s="7" t="str">
        <f aca="false">IF(COUNTIFS($A$2:$A$151,A137,$B$2:$B$151,B137,$C$2:$C$151,C137,$D$2:$D$151,D137,$E$2:$E$151,E137,$F$2:$F$151,F137,$G$2:$G$151,G137,$H$2:$H$151,H137,$I$2:$I$151,I137)&gt;1,IF(COUNTIFS($A$2:A137,A137,$B$2:B137,B137,$C$2:C137,C137,$D$2:D137,D137,$E$2:E137,E137,$F$2:F137,F137,$G$2:G137,G137,$H$2:H137,H137,$I$2:I137,I137)&gt;1,"Repeat","First"),"")</f>
        <v/>
      </c>
      <c r="N137" s="7" t="str">
        <f aca="false">IF(E137&gt;QUARTILE($E$2:$E$151,3)+Assumptions!$B$5*(QUARTILE($E$2:$E$151,3)-QUARTILE($E$2:$E$151,1)),"Outlier","")</f>
        <v/>
      </c>
    </row>
    <row r="138" customFormat="false" ht="15" hidden="false" customHeight="false" outlineLevel="0" collapsed="false">
      <c r="A138" s="7" t="s">
        <v>18</v>
      </c>
      <c r="B138" s="20" t="n">
        <v>46249</v>
      </c>
      <c r="C138" s="7" t="s">
        <v>109</v>
      </c>
      <c r="D138" s="7" t="s">
        <v>110</v>
      </c>
      <c r="E138" s="21" t="n">
        <v>36</v>
      </c>
      <c r="F138" s="22" t="n">
        <v>260</v>
      </c>
      <c r="G138" s="22" t="n">
        <v>0</v>
      </c>
      <c r="H138" s="22" t="n">
        <v>15</v>
      </c>
      <c r="I138" s="7" t="s">
        <v>89</v>
      </c>
      <c r="J138" s="23" t="n">
        <f aca="false">E138*F138</f>
        <v>9360</v>
      </c>
      <c r="K138" s="24" t="n">
        <f aca="false">IF(H138&gt;0,F138/H138,"")</f>
        <v>17.3333333333333</v>
      </c>
      <c r="L138" s="7" t="str">
        <f aca="false">IF(I138="Yes",IF(F138&gt;0,"Discontinued - in stock","Discontinued"),IF(F138=0,IF(G138&gt;0,"Stock-out - on order","Stock-out"),IF(H138=0,"No reorder level",IF(K138&gt;=Assumptions!$B$4,"Overstock","OK"))))</f>
        <v>OK</v>
      </c>
      <c r="M138" s="7" t="str">
        <f aca="false">IF(COUNTIFS($A$2:$A$151,A138,$B$2:$B$151,B138,$C$2:$C$151,C138,$D$2:$D$151,D138,$E$2:$E$151,E138,$F$2:$F$151,F138,$G$2:$G$151,G138,$H$2:$H$151,H138,$I$2:$I$151,I138)&gt;1,IF(COUNTIFS($A$2:A138,A138,$B$2:B138,B138,$C$2:C138,C138,$D$2:D138,D138,$E$2:E138,E138,$F$2:F138,F138,$G$2:G138,G138,$H$2:H138,H138,$I$2:I138,I138)&gt;1,"Repeat","First"),"")</f>
        <v>First</v>
      </c>
      <c r="N138" s="7" t="str">
        <f aca="false">IF(E138&gt;QUARTILE($E$2:$E$151,3)+Assumptions!$B$5*(QUARTILE($E$2:$E$151,3)-QUARTILE($E$2:$E$151,1)),"Outlier","")</f>
        <v/>
      </c>
    </row>
    <row r="139" customFormat="false" ht="15" hidden="false" customHeight="false" outlineLevel="0" collapsed="false">
      <c r="A139" s="7" t="s">
        <v>18</v>
      </c>
      <c r="B139" s="20" t="n">
        <v>46249</v>
      </c>
      <c r="C139" s="7" t="s">
        <v>109</v>
      </c>
      <c r="D139" s="7" t="s">
        <v>110</v>
      </c>
      <c r="E139" s="21" t="n">
        <v>36</v>
      </c>
      <c r="F139" s="22" t="n">
        <v>260</v>
      </c>
      <c r="G139" s="22" t="n">
        <v>0</v>
      </c>
      <c r="H139" s="22" t="n">
        <v>15</v>
      </c>
      <c r="I139" s="7" t="s">
        <v>89</v>
      </c>
      <c r="J139" s="23" t="n">
        <f aca="false">E139*F139</f>
        <v>9360</v>
      </c>
      <c r="K139" s="24" t="n">
        <f aca="false">IF(H139&gt;0,F139/H139,"")</f>
        <v>17.3333333333333</v>
      </c>
      <c r="L139" s="7" t="str">
        <f aca="false">IF(I139="Yes",IF(F139&gt;0,"Discontinued - in stock","Discontinued"),IF(F139=0,IF(G139&gt;0,"Stock-out - on order","Stock-out"),IF(H139=0,"No reorder level",IF(K139&gt;=Assumptions!$B$4,"Overstock","OK"))))</f>
        <v>OK</v>
      </c>
      <c r="M139" s="7" t="str">
        <f aca="false">IF(COUNTIFS($A$2:$A$151,A139,$B$2:$B$151,B139,$C$2:$C$151,C139,$D$2:$D$151,D139,$E$2:$E$151,E139,$F$2:$F$151,F139,$G$2:$G$151,G139,$H$2:$H$151,H139,$I$2:$I$151,I139)&gt;1,IF(COUNTIFS($A$2:A139,A139,$B$2:B139,B139,$C$2:C139,C139,$D$2:D139,D139,$E$2:E139,E139,$F$2:F139,F139,$G$2:G139,G139,$H$2:H139,H139,$I$2:I139,I139)&gt;1,"Repeat","First"),"")</f>
        <v>Repeat</v>
      </c>
      <c r="N139" s="7" t="str">
        <f aca="false">IF(E139&gt;QUARTILE($E$2:$E$151,3)+Assumptions!$B$5*(QUARTILE($E$2:$E$151,3)-QUARTILE($E$2:$E$151,1)),"Outlier","")</f>
        <v/>
      </c>
    </row>
    <row r="140" customFormat="false" ht="15" hidden="false" customHeight="false" outlineLevel="0" collapsed="false">
      <c r="A140" s="7" t="s">
        <v>18</v>
      </c>
      <c r="B140" s="20" t="n">
        <v>46296</v>
      </c>
      <c r="C140" s="7" t="s">
        <v>112</v>
      </c>
      <c r="D140" s="7" t="s">
        <v>110</v>
      </c>
      <c r="E140" s="21" t="n">
        <v>21.5</v>
      </c>
      <c r="F140" s="22" t="n">
        <v>260</v>
      </c>
      <c r="G140" s="22" t="n">
        <v>0</v>
      </c>
      <c r="H140" s="22" t="n">
        <v>0</v>
      </c>
      <c r="I140" s="7" t="s">
        <v>89</v>
      </c>
      <c r="J140" s="23" t="n">
        <f aca="false">E140*F140</f>
        <v>5590</v>
      </c>
      <c r="K140" s="24" t="str">
        <f aca="false">IF(H140&gt;0,F140/H140,"")</f>
        <v/>
      </c>
      <c r="L140" s="7" t="str">
        <f aca="false">IF(I140="Yes",IF(F140&gt;0,"Discontinued - in stock","Discontinued"),IF(F140=0,IF(G140&gt;0,"Stock-out - on order","Stock-out"),IF(H140=0,"No reorder level",IF(K140&gt;=Assumptions!$B$4,"Overstock","OK"))))</f>
        <v>No reorder level</v>
      </c>
      <c r="M140" s="7" t="str">
        <f aca="false">IF(COUNTIFS($A$2:$A$151,A140,$B$2:$B$151,B140,$C$2:$C$151,C140,$D$2:$D$151,D140,$E$2:$E$151,E140,$F$2:$F$151,F140,$G$2:$G$151,G140,$H$2:$H$151,H140,$I$2:$I$151,I140)&gt;1,IF(COUNTIFS($A$2:A140,A140,$B$2:B140,B140,$C$2:C140,C140,$D$2:D140,D140,$E$2:E140,E140,$F$2:F140,F140,$G$2:G140,G140,$H$2:H140,H140,$I$2:I140,I140)&gt;1,"Repeat","First"),"")</f>
        <v/>
      </c>
      <c r="N140" s="7" t="str">
        <f aca="false">IF(E140&gt;QUARTILE($E$2:$E$151,3)+Assumptions!$B$5*(QUARTILE($E$2:$E$151,3)-QUARTILE($E$2:$E$151,1)),"Outlier","")</f>
        <v/>
      </c>
    </row>
    <row r="141" customFormat="false" ht="15" hidden="false" customHeight="false" outlineLevel="0" collapsed="false">
      <c r="A141" s="7" t="s">
        <v>18</v>
      </c>
      <c r="B141" s="20" t="n">
        <v>46296</v>
      </c>
      <c r="C141" s="7" t="s">
        <v>111</v>
      </c>
      <c r="D141" s="7" t="s">
        <v>110</v>
      </c>
      <c r="E141" s="21" t="n">
        <v>21.5</v>
      </c>
      <c r="F141" s="22" t="n">
        <v>260</v>
      </c>
      <c r="G141" s="22" t="n">
        <v>0</v>
      </c>
      <c r="H141" s="22" t="n">
        <v>0</v>
      </c>
      <c r="I141" s="7" t="s">
        <v>89</v>
      </c>
      <c r="J141" s="23" t="n">
        <f aca="false">E141*F141</f>
        <v>5590</v>
      </c>
      <c r="K141" s="24" t="str">
        <f aca="false">IF(H141&gt;0,F141/H141,"")</f>
        <v/>
      </c>
      <c r="L141" s="7" t="str">
        <f aca="false">IF(I141="Yes",IF(F141&gt;0,"Discontinued - in stock","Discontinued"),IF(F141=0,IF(G141&gt;0,"Stock-out - on order","Stock-out"),IF(H141=0,"No reorder level",IF(K141&gt;=Assumptions!$B$4,"Overstock","OK"))))</f>
        <v>No reorder level</v>
      </c>
      <c r="M141" s="7" t="str">
        <f aca="false">IF(COUNTIFS($A$2:$A$151,A141,$B$2:$B$151,B141,$C$2:$C$151,C141,$D$2:$D$151,D141,$E$2:$E$151,E141,$F$2:$F$151,F141,$G$2:$G$151,G141,$H$2:$H$151,H141,$I$2:$I$151,I141)&gt;1,IF(COUNTIFS($A$2:A141,A141,$B$2:B141,B141,$C$2:C141,C141,$D$2:D141,D141,$E$2:E141,E141,$F$2:F141,F141,$G$2:G141,G141,$H$2:H141,H141,$I$2:I141,I141)&gt;1,"Repeat","First"),"")</f>
        <v/>
      </c>
      <c r="N141" s="7" t="str">
        <f aca="false">IF(E141&gt;QUARTILE($E$2:$E$151,3)+Assumptions!$B$5*(QUARTILE($E$2:$E$151,3)-QUARTILE($E$2:$E$151,1)),"Outlier","")</f>
        <v/>
      </c>
    </row>
    <row r="142" customFormat="false" ht="15" hidden="false" customHeight="false" outlineLevel="0" collapsed="false">
      <c r="A142" s="7" t="s">
        <v>18</v>
      </c>
      <c r="B142" s="20" t="n">
        <v>44391</v>
      </c>
      <c r="C142" s="7" t="s">
        <v>113</v>
      </c>
      <c r="D142" s="7" t="s">
        <v>110</v>
      </c>
      <c r="E142" s="21" t="n">
        <v>21</v>
      </c>
      <c r="F142" s="22" t="n">
        <v>220</v>
      </c>
      <c r="G142" s="22" t="n">
        <v>30</v>
      </c>
      <c r="H142" s="22" t="n">
        <v>30</v>
      </c>
      <c r="I142" s="7" t="s">
        <v>89</v>
      </c>
      <c r="J142" s="23" t="n">
        <f aca="false">E142*F142</f>
        <v>4620</v>
      </c>
      <c r="K142" s="24" t="n">
        <f aca="false">IF(H142&gt;0,F142/H142,"")</f>
        <v>7.33333333333333</v>
      </c>
      <c r="L142" s="7" t="str">
        <f aca="false">IF(I142="Yes",IF(F142&gt;0,"Discontinued - in stock","Discontinued"),IF(F142=0,IF(G142&gt;0,"Stock-out - on order","Stock-out"),IF(H142=0,"No reorder level",IF(K142&gt;=Assumptions!$B$4,"Overstock","OK"))))</f>
        <v>OK</v>
      </c>
      <c r="M142" s="7" t="str">
        <f aca="false">IF(COUNTIFS($A$2:$A$151,A142,$B$2:$B$151,B142,$C$2:$C$151,C142,$D$2:$D$151,D142,$E$2:$E$151,E142,$F$2:$F$151,F142,$G$2:$G$151,G142,$H$2:$H$151,H142,$I$2:$I$151,I142)&gt;1,IF(COUNTIFS($A$2:A142,A142,$B$2:B142,B142,$C$2:C142,C142,$D$2:D142,D142,$E$2:E142,E142,$F$2:F142,F142,$G$2:G142,G142,$H$2:H142,H142,$I$2:I142,I142)&gt;1,"Repeat","First"),"")</f>
        <v>First</v>
      </c>
      <c r="N142" s="7" t="str">
        <f aca="false">IF(E142&gt;QUARTILE($E$2:$E$151,3)+Assumptions!$B$5*(QUARTILE($E$2:$E$151,3)-QUARTILE($E$2:$E$151,1)),"Outlier","")</f>
        <v/>
      </c>
    </row>
    <row r="143" customFormat="false" ht="15" hidden="false" customHeight="false" outlineLevel="0" collapsed="false">
      <c r="A143" s="7" t="s">
        <v>18</v>
      </c>
      <c r="B143" s="20" t="n">
        <v>44391</v>
      </c>
      <c r="C143" s="7" t="s">
        <v>113</v>
      </c>
      <c r="D143" s="7" t="s">
        <v>110</v>
      </c>
      <c r="E143" s="21" t="n">
        <v>21</v>
      </c>
      <c r="F143" s="22" t="n">
        <v>220</v>
      </c>
      <c r="G143" s="22" t="n">
        <v>30</v>
      </c>
      <c r="H143" s="22" t="n">
        <v>30</v>
      </c>
      <c r="I143" s="7" t="s">
        <v>89</v>
      </c>
      <c r="J143" s="23" t="n">
        <f aca="false">E143*F143</f>
        <v>4620</v>
      </c>
      <c r="K143" s="24" t="n">
        <f aca="false">IF(H143&gt;0,F143/H143,"")</f>
        <v>7.33333333333333</v>
      </c>
      <c r="L143" s="7" t="str">
        <f aca="false">IF(I143="Yes",IF(F143&gt;0,"Discontinued - in stock","Discontinued"),IF(F143=0,IF(G143&gt;0,"Stock-out - on order","Stock-out"),IF(H143=0,"No reorder level",IF(K143&gt;=Assumptions!$B$4,"Overstock","OK"))))</f>
        <v>OK</v>
      </c>
      <c r="M143" s="7" t="str">
        <f aca="false">IF(COUNTIFS($A$2:$A$151,A143,$B$2:$B$151,B143,$C$2:$C$151,C143,$D$2:$D$151,D143,$E$2:$E$151,E143,$F$2:$F$151,F143,$G$2:$G$151,G143,$H$2:$H$151,H143,$I$2:$I$151,I143)&gt;1,IF(COUNTIFS($A$2:A143,A143,$B$2:B143,B143,$C$2:C143,C143,$D$2:D143,D143,$E$2:E143,E143,$F$2:F143,F143,$G$2:G143,G143,$H$2:H143,H143,$I$2:I143,I143)&gt;1,"Repeat","First"),"")</f>
        <v>Repeat</v>
      </c>
      <c r="N143" s="7" t="str">
        <f aca="false">IF(E143&gt;QUARTILE($E$2:$E$151,3)+Assumptions!$B$5*(QUARTILE($E$2:$E$151,3)-QUARTILE($E$2:$E$151,1)),"Outlier","")</f>
        <v/>
      </c>
    </row>
    <row r="144" customFormat="false" ht="15" hidden="false" customHeight="false" outlineLevel="0" collapsed="false">
      <c r="A144" s="7" t="s">
        <v>18</v>
      </c>
      <c r="B144" s="20" t="n">
        <v>44487</v>
      </c>
      <c r="C144" s="7" t="s">
        <v>114</v>
      </c>
      <c r="D144" s="7" t="s">
        <v>110</v>
      </c>
      <c r="E144" s="21" t="n">
        <v>34</v>
      </c>
      <c r="F144" s="22" t="n">
        <v>190</v>
      </c>
      <c r="G144" s="22" t="n">
        <v>0</v>
      </c>
      <c r="H144" s="22" t="n">
        <v>0</v>
      </c>
      <c r="I144" s="7" t="s">
        <v>89</v>
      </c>
      <c r="J144" s="23" t="n">
        <f aca="false">E144*F144</f>
        <v>6460</v>
      </c>
      <c r="K144" s="24" t="str">
        <f aca="false">IF(H144&gt;0,F144/H144,"")</f>
        <v/>
      </c>
      <c r="L144" s="7" t="str">
        <f aca="false">IF(I144="Yes",IF(F144&gt;0,"Discontinued - in stock","Discontinued"),IF(F144=0,IF(G144&gt;0,"Stock-out - on order","Stock-out"),IF(H144=0,"No reorder level",IF(K144&gt;=Assumptions!$B$4,"Overstock","OK"))))</f>
        <v>No reorder level</v>
      </c>
      <c r="M144" s="7" t="str">
        <f aca="false">IF(COUNTIFS($A$2:$A$151,A144,$B$2:$B$151,B144,$C$2:$C$151,C144,$D$2:$D$151,D144,$E$2:$E$151,E144,$F$2:$F$151,F144,$G$2:$G$151,G144,$H$2:$H$151,H144,$I$2:$I$151,I144)&gt;1,IF(COUNTIFS($A$2:A144,A144,$B$2:B144,B144,$C$2:C144,C144,$D$2:D144,D144,$E$2:E144,E144,$F$2:F144,F144,$G$2:G144,G144,$H$2:H144,H144,$I$2:I144,I144)&gt;1,"Repeat","First"),"")</f>
        <v/>
      </c>
      <c r="N144" s="7" t="str">
        <f aca="false">IF(E144&gt;QUARTILE($E$2:$E$151,3)+Assumptions!$B$5*(QUARTILE($E$2:$E$151,3)-QUARTILE($E$2:$E$151,1)),"Outlier","")</f>
        <v/>
      </c>
    </row>
    <row r="145" customFormat="false" ht="15" hidden="false" customHeight="false" outlineLevel="0" collapsed="false">
      <c r="A145" s="7" t="s">
        <v>18</v>
      </c>
      <c r="B145" s="20" t="n">
        <v>44487</v>
      </c>
      <c r="C145" s="7" t="s">
        <v>113</v>
      </c>
      <c r="D145" s="7" t="s">
        <v>110</v>
      </c>
      <c r="E145" s="21" t="n">
        <v>34</v>
      </c>
      <c r="F145" s="22" t="n">
        <v>190</v>
      </c>
      <c r="G145" s="22" t="n">
        <v>0</v>
      </c>
      <c r="H145" s="22" t="n">
        <v>0</v>
      </c>
      <c r="I145" s="7" t="s">
        <v>89</v>
      </c>
      <c r="J145" s="23" t="n">
        <f aca="false">E145*F145</f>
        <v>6460</v>
      </c>
      <c r="K145" s="24" t="str">
        <f aca="false">IF(H145&gt;0,F145/H145,"")</f>
        <v/>
      </c>
      <c r="L145" s="7" t="str">
        <f aca="false">IF(I145="Yes",IF(F145&gt;0,"Discontinued - in stock","Discontinued"),IF(F145=0,IF(G145&gt;0,"Stock-out - on order","Stock-out"),IF(H145=0,"No reorder level",IF(K145&gt;=Assumptions!$B$4,"Overstock","OK"))))</f>
        <v>No reorder level</v>
      </c>
      <c r="M145" s="7" t="str">
        <f aca="false">IF(COUNTIFS($A$2:$A$151,A145,$B$2:$B$151,B145,$C$2:$C$151,C145,$D$2:$D$151,D145,$E$2:$E$151,E145,$F$2:$F$151,F145,$G$2:$G$151,G145,$H$2:$H$151,H145,$I$2:$I$151,I145)&gt;1,IF(COUNTIFS($A$2:A145,A145,$B$2:B145,B145,$C$2:C145,C145,$D$2:D145,D145,$E$2:E145,E145,$F$2:F145,F145,$G$2:G145,G145,$H$2:H145,H145,$I$2:I145,I145)&gt;1,"Repeat","First"),"")</f>
        <v/>
      </c>
      <c r="N145" s="7" t="str">
        <f aca="false">IF(E145&gt;QUARTILE($E$2:$E$151,3)+Assumptions!$B$5*(QUARTILE($E$2:$E$151,3)-QUARTILE($E$2:$E$151,1)),"Outlier","")</f>
        <v/>
      </c>
    </row>
    <row r="146" customFormat="false" ht="15" hidden="false" customHeight="false" outlineLevel="0" collapsed="false">
      <c r="A146" s="7" t="s">
        <v>18</v>
      </c>
      <c r="B146" s="20" t="n">
        <v>46254</v>
      </c>
      <c r="C146" s="7" t="s">
        <v>114</v>
      </c>
      <c r="D146" s="7" t="s">
        <v>110</v>
      </c>
      <c r="E146" s="21" t="n">
        <v>34.8</v>
      </c>
      <c r="F146" s="22" t="n">
        <v>140</v>
      </c>
      <c r="G146" s="22" t="n">
        <v>0</v>
      </c>
      <c r="H146" s="22" t="n">
        <v>0</v>
      </c>
      <c r="I146" s="7" t="s">
        <v>89</v>
      </c>
      <c r="J146" s="23" t="n">
        <f aca="false">E146*F146</f>
        <v>4872</v>
      </c>
      <c r="K146" s="24" t="str">
        <f aca="false">IF(H146&gt;0,F146/H146,"")</f>
        <v/>
      </c>
      <c r="L146" s="7" t="str">
        <f aca="false">IF(I146="Yes",IF(F146&gt;0,"Discontinued - in stock","Discontinued"),IF(F146=0,IF(G146&gt;0,"Stock-out - on order","Stock-out"),IF(H146=0,"No reorder level",IF(K146&gt;=Assumptions!$B$4,"Overstock","OK"))))</f>
        <v>No reorder level</v>
      </c>
      <c r="M146" s="7" t="str">
        <f aca="false">IF(COUNTIFS($A$2:$A$151,A146,$B$2:$B$151,B146,$C$2:$C$151,C146,$D$2:$D$151,D146,$E$2:$E$151,E146,$F$2:$F$151,F146,$G$2:$G$151,G146,$H$2:$H$151,H146,$I$2:$I$151,I146)&gt;1,IF(COUNTIFS($A$2:A146,A146,$B$2:B146,B146,$C$2:C146,C146,$D$2:D146,D146,$E$2:E146,E146,$F$2:F146,F146,$G$2:G146,G146,$H$2:H146,H146,$I$2:I146,I146)&gt;1,"Repeat","First"),"")</f>
        <v>First</v>
      </c>
      <c r="N146" s="7" t="str">
        <f aca="false">IF(E146&gt;QUARTILE($E$2:$E$151,3)+Assumptions!$B$5*(QUARTILE($E$2:$E$151,3)-QUARTILE($E$2:$E$151,1)),"Outlier","")</f>
        <v/>
      </c>
    </row>
    <row r="147" customFormat="false" ht="15" hidden="false" customHeight="false" outlineLevel="0" collapsed="false">
      <c r="A147" s="7" t="s">
        <v>18</v>
      </c>
      <c r="B147" s="20" t="n">
        <v>46254</v>
      </c>
      <c r="C147" s="7" t="s">
        <v>114</v>
      </c>
      <c r="D147" s="7" t="s">
        <v>110</v>
      </c>
      <c r="E147" s="21" t="n">
        <v>34.8</v>
      </c>
      <c r="F147" s="22" t="n">
        <v>140</v>
      </c>
      <c r="G147" s="22" t="n">
        <v>0</v>
      </c>
      <c r="H147" s="22" t="n">
        <v>0</v>
      </c>
      <c r="I147" s="7" t="s">
        <v>89</v>
      </c>
      <c r="J147" s="23" t="n">
        <f aca="false">E147*F147</f>
        <v>4872</v>
      </c>
      <c r="K147" s="24" t="str">
        <f aca="false">IF(H147&gt;0,F147/H147,"")</f>
        <v/>
      </c>
      <c r="L147" s="7" t="str">
        <f aca="false">IF(I147="Yes",IF(F147&gt;0,"Discontinued - in stock","Discontinued"),IF(F147=0,IF(G147&gt;0,"Stock-out - on order","Stock-out"),IF(H147=0,"No reorder level",IF(K147&gt;=Assumptions!$B$4,"Overstock","OK"))))</f>
        <v>No reorder level</v>
      </c>
      <c r="M147" s="7" t="str">
        <f aca="false">IF(COUNTIFS($A$2:$A$151,A147,$B$2:$B$151,B147,$C$2:$C$151,C147,$D$2:$D$151,D147,$E$2:$E$151,E147,$F$2:$F$151,F147,$G$2:$G$151,G147,$H$2:$H$151,H147,$I$2:$I$151,I147)&gt;1,IF(COUNTIFS($A$2:A147,A147,$B$2:B147,B147,$C$2:C147,C147,$D$2:D147,D147,$E$2:E147,E147,$F$2:F147,F147,$G$2:G147,G147,$H$2:H147,H147,$I$2:I147,I147)&gt;1,"Repeat","First"),"")</f>
        <v>Repeat</v>
      </c>
      <c r="N147" s="7" t="str">
        <f aca="false">IF(E147&gt;QUARTILE($E$2:$E$151,3)+Assumptions!$B$5*(QUARTILE($E$2:$E$151,3)-QUARTILE($E$2:$E$151,1)),"Outlier","")</f>
        <v/>
      </c>
    </row>
    <row r="148" customFormat="false" ht="15" hidden="false" customHeight="false" outlineLevel="0" collapsed="false">
      <c r="A148" s="7" t="s">
        <v>18</v>
      </c>
      <c r="B148" s="20" t="n">
        <v>44463</v>
      </c>
      <c r="C148" s="7" t="s">
        <v>114</v>
      </c>
      <c r="D148" s="7" t="s">
        <v>110</v>
      </c>
      <c r="E148" s="21" t="n">
        <v>32</v>
      </c>
      <c r="F148" s="22" t="n">
        <v>90</v>
      </c>
      <c r="G148" s="22" t="n">
        <v>40</v>
      </c>
      <c r="H148" s="22" t="n">
        <v>25</v>
      </c>
      <c r="I148" s="7" t="s">
        <v>89</v>
      </c>
      <c r="J148" s="23" t="n">
        <f aca="false">E148*F148</f>
        <v>2880</v>
      </c>
      <c r="K148" s="24" t="n">
        <f aca="false">IF(H148&gt;0,F148/H148,"")</f>
        <v>3.6</v>
      </c>
      <c r="L148" s="7" t="str">
        <f aca="false">IF(I148="Yes",IF(F148&gt;0,"Discontinued - in stock","Discontinued"),IF(F148=0,IF(G148&gt;0,"Stock-out - on order","Stock-out"),IF(H148=0,"No reorder level",IF(K148&gt;=Assumptions!$B$4,"Overstock","OK"))))</f>
        <v>OK</v>
      </c>
      <c r="M148" s="7" t="str">
        <f aca="false">IF(COUNTIFS($A$2:$A$151,A148,$B$2:$B$151,B148,$C$2:$C$151,C148,$D$2:$D$151,D148,$E$2:$E$151,E148,$F$2:$F$151,F148,$G$2:$G$151,G148,$H$2:$H$151,H148,$I$2:$I$151,I148)&gt;1,IF(COUNTIFS($A$2:A148,A148,$B$2:B148,B148,$C$2:C148,C148,$D$2:D148,D148,$E$2:E148,E148,$F$2:F148,F148,$G$2:G148,G148,$H$2:H148,H148,$I$2:I148,I148)&gt;1,"Repeat","First"),"")</f>
        <v>First</v>
      </c>
      <c r="N148" s="7" t="str">
        <f aca="false">IF(E148&gt;QUARTILE($E$2:$E$151,3)+Assumptions!$B$5*(QUARTILE($E$2:$E$151,3)-QUARTILE($E$2:$E$151,1)),"Outlier","")</f>
        <v/>
      </c>
    </row>
    <row r="149" customFormat="false" ht="15" hidden="false" customHeight="false" outlineLevel="0" collapsed="false">
      <c r="A149" s="7" t="s">
        <v>18</v>
      </c>
      <c r="B149" s="20" t="n">
        <v>44463</v>
      </c>
      <c r="C149" s="7" t="s">
        <v>114</v>
      </c>
      <c r="D149" s="7" t="s">
        <v>110</v>
      </c>
      <c r="E149" s="21" t="n">
        <v>32</v>
      </c>
      <c r="F149" s="22" t="n">
        <v>90</v>
      </c>
      <c r="G149" s="22" t="n">
        <v>40</v>
      </c>
      <c r="H149" s="22" t="n">
        <v>25</v>
      </c>
      <c r="I149" s="7" t="s">
        <v>89</v>
      </c>
      <c r="J149" s="23" t="n">
        <f aca="false">E149*F149</f>
        <v>2880</v>
      </c>
      <c r="K149" s="24" t="n">
        <f aca="false">IF(H149&gt;0,F149/H149,"")</f>
        <v>3.6</v>
      </c>
      <c r="L149" s="7" t="str">
        <f aca="false">IF(I149="Yes",IF(F149&gt;0,"Discontinued - in stock","Discontinued"),IF(F149=0,IF(G149&gt;0,"Stock-out - on order","Stock-out"),IF(H149=0,"No reorder level",IF(K149&gt;=Assumptions!$B$4,"Overstock","OK"))))</f>
        <v>OK</v>
      </c>
      <c r="M149" s="7" t="str">
        <f aca="false">IF(COUNTIFS($A$2:$A$151,A149,$B$2:$B$151,B149,$C$2:$C$151,C149,$D$2:$D$151,D149,$E$2:$E$151,E149,$F$2:$F$151,F149,$G$2:$G$151,G149,$H$2:$H$151,H149,$I$2:$I$151,I149)&gt;1,IF(COUNTIFS($A$2:A149,A149,$B$2:B149,B149,$C$2:C149,C149,$D$2:D149,D149,$E$2:E149,E149,$F$2:F149,F149,$G$2:G149,G149,$H$2:H149,H149,$I$2:I149,I149)&gt;1,"Repeat","First"),"")</f>
        <v>Repeat</v>
      </c>
      <c r="N149" s="7" t="str">
        <f aca="false">IF(E149&gt;QUARTILE($E$2:$E$151,3)+Assumptions!$B$5*(QUARTILE($E$2:$E$151,3)-QUARTILE($E$2:$E$151,1)),"Outlier","")</f>
        <v/>
      </c>
    </row>
    <row r="150" customFormat="false" ht="15" hidden="false" customHeight="false" outlineLevel="0" collapsed="false">
      <c r="A150" s="7" t="s">
        <v>18</v>
      </c>
      <c r="B150" s="20" t="n">
        <v>44455</v>
      </c>
      <c r="C150" s="7" t="s">
        <v>111</v>
      </c>
      <c r="D150" s="7" t="s">
        <v>110</v>
      </c>
      <c r="E150" s="21" t="n">
        <v>12.5</v>
      </c>
      <c r="F150" s="22" t="n">
        <v>0</v>
      </c>
      <c r="G150" s="22" t="n">
        <v>70</v>
      </c>
      <c r="H150" s="22" t="n">
        <v>20</v>
      </c>
      <c r="I150" s="7" t="s">
        <v>89</v>
      </c>
      <c r="J150" s="23" t="n">
        <f aca="false">E150*F150</f>
        <v>0</v>
      </c>
      <c r="K150" s="24" t="n">
        <f aca="false">IF(H150&gt;0,F150/H150,"")</f>
        <v>0</v>
      </c>
      <c r="L150" s="7" t="str">
        <f aca="false">IF(I150="Yes",IF(F150&gt;0,"Discontinued - in stock","Discontinued"),IF(F150=0,IF(G150&gt;0,"Stock-out - on order","Stock-out"),IF(H150=0,"No reorder level",IF(K150&gt;=Assumptions!$B$4,"Overstock","OK"))))</f>
        <v>Stock-out - on order</v>
      </c>
      <c r="M150" s="7" t="str">
        <f aca="false">IF(COUNTIFS($A$2:$A$151,A150,$B$2:$B$151,B150,$C$2:$C$151,C150,$D$2:$D$151,D150,$E$2:$E$151,E150,$F$2:$F$151,F150,$G$2:$G$151,G150,$H$2:$H$151,H150,$I$2:$I$151,I150)&gt;1,IF(COUNTIFS($A$2:A150,A150,$B$2:B150,B150,$C$2:C150,C150,$D$2:D150,D150,$E$2:E150,E150,$F$2:F150,F150,$G$2:G150,G150,$H$2:H150,H150,$I$2:I150,I150)&gt;1,"Repeat","First"),"")</f>
        <v>First</v>
      </c>
      <c r="N150" s="7" t="str">
        <f aca="false">IF(E150&gt;QUARTILE($E$2:$E$151,3)+Assumptions!$B$5*(QUARTILE($E$2:$E$151,3)-QUARTILE($E$2:$E$151,1)),"Outlier","")</f>
        <v/>
      </c>
    </row>
    <row r="151" customFormat="false" ht="15" hidden="false" customHeight="false" outlineLevel="0" collapsed="false">
      <c r="A151" s="7" t="s">
        <v>18</v>
      </c>
      <c r="B151" s="20" t="n">
        <v>44455</v>
      </c>
      <c r="C151" s="7" t="s">
        <v>111</v>
      </c>
      <c r="D151" s="7" t="s">
        <v>110</v>
      </c>
      <c r="E151" s="21" t="n">
        <v>12.5</v>
      </c>
      <c r="F151" s="22" t="n">
        <v>0</v>
      </c>
      <c r="G151" s="22" t="n">
        <v>70</v>
      </c>
      <c r="H151" s="22" t="n">
        <v>20</v>
      </c>
      <c r="I151" s="7" t="s">
        <v>89</v>
      </c>
      <c r="J151" s="23" t="n">
        <f aca="false">E151*F151</f>
        <v>0</v>
      </c>
      <c r="K151" s="24" t="n">
        <f aca="false">IF(H151&gt;0,F151/H151,"")</f>
        <v>0</v>
      </c>
      <c r="L151" s="7" t="str">
        <f aca="false">IF(I151="Yes",IF(F151&gt;0,"Discontinued - in stock","Discontinued"),IF(F151=0,IF(G151&gt;0,"Stock-out - on order","Stock-out"),IF(H151=0,"No reorder level",IF(K151&gt;=Assumptions!$B$4,"Overstock","OK"))))</f>
        <v>Stock-out - on order</v>
      </c>
      <c r="M151" s="7" t="str">
        <f aca="false">IF(COUNTIFS($A$2:$A$151,A151,$B$2:$B$151,B151,$C$2:$C$151,C151,$D$2:$D$151,D151,$E$2:$E$151,E151,$F$2:$F$151,F151,$G$2:$G$151,G151,$H$2:$H$151,H151,$I$2:$I$151,I151)&gt;1,IF(COUNTIFS($A$2:A151,A151,$B$2:B151,B151,$C$2:C151,C151,$D$2:D151,D151,$E$2:E151,E151,$F$2:F151,F151,$G$2:G151,G151,$H$2:H151,H151,$I$2:I151,I151)&gt;1,"Repeat","First"),"")</f>
        <v>Repeat</v>
      </c>
      <c r="N151" s="7" t="str">
        <f aca="false">IF(E151&gt;QUARTILE($E$2:$E$151,3)+Assumptions!$B$5*(QUARTILE($E$2:$E$151,3)-QUARTILE($E$2:$E$151,1)),"Outlier","")</f>
        <v/>
      </c>
    </row>
  </sheetData>
  <autoFilter ref="A1:N151"/>
  <conditionalFormatting sqref="L2:L151">
    <cfRule type="expression" priority="2" aboveAverage="0" equalAverage="0" bottom="0" percent="0" rank="0" text="" dxfId="6">
      <formula>OR(L2="Overstock",L2="No reorder level")</formula>
    </cfRule>
    <cfRule type="expression" priority="3" aboveAverage="0" equalAverage="0" bottom="0" percent="0" rank="0" text="" dxfId="7">
      <formula>L2="Discontinued - in stock"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2026-10-04T10:03:49Z</dcterms:created>
  <dc:creator>openpyxl</dc:creator>
  <dc:description/>
  <dc:language>en-US</dc:language>
  <cp:lastModifiedBy/>
  <dcterms:modified xsi:type="dcterms:W3CDTF">2026-10-04T10:03:49Z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